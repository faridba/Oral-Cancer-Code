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arid\oral cancer paper\"/>
    </mc:Choice>
  </mc:AlternateContent>
  <xr:revisionPtr revIDLastSave="0" documentId="13_ncr:1_{72AD0291-DC18-47B0-A5C8-692D6AD0F5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NSCC (UK)" sheetId="1" r:id="rId1"/>
    <sheet name="HNSCC (IN-KGMU)" sheetId="2" r:id="rId2"/>
    <sheet name="HNSCC (IN-MU)" sheetId="3" r:id="rId3"/>
    <sheet name="Sheet1" sheetId="4" r:id="rId4"/>
    <sheet name="HNSCC (CN)" sheetId="5" r:id="rId5"/>
    <sheet name="NPSCC (CN)" sheetId="6" r:id="rId6"/>
  </sheets>
  <definedNames>
    <definedName name="_xlnm._FilterDatabase" localSheetId="4" hidden="1">'HNSCC (CN)'!$A$8:$AM$43</definedName>
    <definedName name="_xlnm._FilterDatabase" localSheetId="1" hidden="1">'HNSCC (IN-KGMU)'!$B$8:$AH$8</definedName>
    <definedName name="_xlnm._FilterDatabase" localSheetId="2" hidden="1">'HNSCC (IN-MU)'!$B$8:$AJ$8</definedName>
    <definedName name="_xlnm._FilterDatabase" localSheetId="0" hidden="1">'HNSCC (UK)'!$A$8:$AJ$8</definedName>
    <definedName name="_xlnm._FilterDatabase" localSheetId="5" hidden="1">'NPSCC (CN)'!$A$8:$AJ$8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1MQoRwV35BNZfVBhWbbMr8HZ76iceRNjfBLers+5L1U="/>
    </ext>
  </extLst>
</workbook>
</file>

<file path=xl/calcChain.xml><?xml version="1.0" encoding="utf-8"?>
<calcChain xmlns="http://schemas.openxmlformats.org/spreadsheetml/2006/main">
  <c r="AJ70" i="6" l="1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AI70" i="6" s="1"/>
  <c r="B70" i="6"/>
  <c r="AJ69" i="6"/>
  <c r="AI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B69" i="6" s="1"/>
  <c r="T69" i="6"/>
  <c r="AJ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B68" i="6" s="1"/>
  <c r="V68" i="6"/>
  <c r="U68" i="6"/>
  <c r="T68" i="6"/>
  <c r="AI68" i="6" s="1"/>
  <c r="AJ67" i="6"/>
  <c r="AI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B67" i="6" s="1"/>
  <c r="T67" i="6"/>
  <c r="AJ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B66" i="6" s="1"/>
  <c r="V66" i="6"/>
  <c r="U66" i="6"/>
  <c r="T66" i="6"/>
  <c r="AI66" i="6" s="1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B65" i="6" s="1"/>
  <c r="T65" i="6"/>
  <c r="AJ64" i="6"/>
  <c r="AI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B64" i="6" s="1"/>
  <c r="T64" i="6"/>
  <c r="AJ63" i="6"/>
  <c r="AH63" i="6"/>
  <c r="AG63" i="6"/>
  <c r="AF63" i="6"/>
  <c r="AE63" i="6"/>
  <c r="AD63" i="6"/>
  <c r="AC63" i="6"/>
  <c r="AB63" i="6"/>
  <c r="AA63" i="6"/>
  <c r="Z63" i="6"/>
  <c r="Y63" i="6"/>
  <c r="X63" i="6"/>
  <c r="W63" i="6"/>
  <c r="B63" i="6" s="1"/>
  <c r="V63" i="6"/>
  <c r="U63" i="6"/>
  <c r="T63" i="6"/>
  <c r="AI63" i="6" s="1"/>
  <c r="AJ62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B62" i="6"/>
  <c r="AJ61" i="6"/>
  <c r="AI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B61" i="6" s="1"/>
  <c r="T61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B60" i="6" s="1"/>
  <c r="V60" i="6"/>
  <c r="U60" i="6"/>
  <c r="T60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B59" i="6" s="1"/>
  <c r="T59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B58" i="6" s="1"/>
  <c r="V58" i="6"/>
  <c r="U58" i="6"/>
  <c r="T58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B57" i="6" s="1"/>
  <c r="T57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B56" i="6" s="1"/>
  <c r="T56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B55" i="6" s="1"/>
  <c r="V55" i="6"/>
  <c r="U55" i="6"/>
  <c r="T55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B54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B53" i="6" s="1"/>
  <c r="T53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B52" i="6" s="1"/>
  <c r="V52" i="6"/>
  <c r="U52" i="6"/>
  <c r="T52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B51" i="6" s="1"/>
  <c r="T51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B50" i="6" s="1"/>
  <c r="V50" i="6"/>
  <c r="U50" i="6"/>
  <c r="T50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B49" i="6" s="1"/>
  <c r="T49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B48" i="6" s="1"/>
  <c r="T48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B47" i="6" s="1"/>
  <c r="V47" i="6"/>
  <c r="U47" i="6"/>
  <c r="T47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B46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B45" i="6" s="1"/>
  <c r="T45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B44" i="6" s="1"/>
  <c r="V44" i="6"/>
  <c r="U44" i="6"/>
  <c r="T44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B43" i="6" s="1"/>
  <c r="T43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B42" i="6" s="1"/>
  <c r="V42" i="6"/>
  <c r="U42" i="6"/>
  <c r="T42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B41" i="6" s="1"/>
  <c r="T41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B40" i="6" s="1"/>
  <c r="T40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B39" i="6" s="1"/>
  <c r="V39" i="6"/>
  <c r="U39" i="6"/>
  <c r="T39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B38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B37" i="6" s="1"/>
  <c r="T37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B36" i="6" s="1"/>
  <c r="V36" i="6"/>
  <c r="U36" i="6"/>
  <c r="T36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B35" i="6" s="1"/>
  <c r="T35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B34" i="6" s="1"/>
  <c r="V34" i="6"/>
  <c r="U34" i="6"/>
  <c r="T34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B33" i="6" s="1"/>
  <c r="T33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B32" i="6" s="1"/>
  <c r="T32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B31" i="6" s="1"/>
  <c r="V31" i="6"/>
  <c r="U31" i="6"/>
  <c r="T31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B30" i="6"/>
  <c r="AJ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B29" i="6" s="1"/>
  <c r="T29" i="6"/>
  <c r="AI29" i="6" s="1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B28" i="6" s="1"/>
  <c r="V28" i="6"/>
  <c r="U28" i="6"/>
  <c r="T28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B27" i="6" s="1"/>
  <c r="T27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B26" i="6" s="1"/>
  <c r="V26" i="6"/>
  <c r="U26" i="6"/>
  <c r="T26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B25" i="6" s="1"/>
  <c r="T25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B24" i="6" s="1"/>
  <c r="V24" i="6"/>
  <c r="U24" i="6"/>
  <c r="T24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B23" i="6" s="1"/>
  <c r="T23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B22" i="6"/>
  <c r="AJ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B21" i="6" s="1"/>
  <c r="T21" i="6"/>
  <c r="AI21" i="6" s="1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B20" i="6" s="1"/>
  <c r="V20" i="6"/>
  <c r="U20" i="6"/>
  <c r="T20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B19" i="6" s="1"/>
  <c r="T19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B18" i="6" s="1"/>
  <c r="V18" i="6"/>
  <c r="U18" i="6"/>
  <c r="T18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B17" i="6" s="1"/>
  <c r="T17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B16" i="6" s="1"/>
  <c r="V16" i="6"/>
  <c r="U16" i="6"/>
  <c r="T16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B15" i="6" s="1"/>
  <c r="T15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B14" i="6"/>
  <c r="AJ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B13" i="6" s="1"/>
  <c r="T13" i="6"/>
  <c r="AI13" i="6" s="1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B12" i="6" s="1"/>
  <c r="V12" i="6"/>
  <c r="U12" i="6"/>
  <c r="T12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B11" i="6" s="1"/>
  <c r="T11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B10" i="6" s="1"/>
  <c r="V10" i="6"/>
  <c r="U10" i="6"/>
  <c r="T10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B9" i="6" s="1"/>
  <c r="T9" i="6"/>
  <c r="AH8" i="6"/>
  <c r="AG8" i="6"/>
  <c r="AC8" i="6"/>
  <c r="AB8" i="6"/>
  <c r="Y8" i="6"/>
  <c r="X8" i="6"/>
  <c r="V8" i="6"/>
  <c r="U8" i="6"/>
  <c r="S8" i="6"/>
  <c r="R8" i="6"/>
  <c r="Q8" i="6"/>
  <c r="AF8" i="6" s="1"/>
  <c r="P8" i="6"/>
  <c r="AE8" i="6" s="1"/>
  <c r="O8" i="6"/>
  <c r="AD8" i="6" s="1"/>
  <c r="N8" i="6"/>
  <c r="M8" i="6"/>
  <c r="L8" i="6"/>
  <c r="AA8" i="6" s="1"/>
  <c r="K8" i="6"/>
  <c r="Z8" i="6" s="1"/>
  <c r="J8" i="6"/>
  <c r="I8" i="6"/>
  <c r="H8" i="6"/>
  <c r="W8" i="6" s="1"/>
  <c r="G8" i="6"/>
  <c r="F8" i="6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AJ43" i="5"/>
  <c r="AH43" i="5"/>
  <c r="AG43" i="5"/>
  <c r="AF43" i="5"/>
  <c r="AE43" i="5"/>
  <c r="AD43" i="5"/>
  <c r="AC43" i="5"/>
  <c r="AB43" i="5"/>
  <c r="AA43" i="5"/>
  <c r="Z43" i="5"/>
  <c r="Y43" i="5"/>
  <c r="X43" i="5"/>
  <c r="B43" i="5" s="1"/>
  <c r="W43" i="5"/>
  <c r="V43" i="5"/>
  <c r="U43" i="5"/>
  <c r="T43" i="5"/>
  <c r="AI43" i="5" s="1"/>
  <c r="AJ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AI42" i="5" s="1"/>
  <c r="B42" i="5"/>
  <c r="AJ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B41" i="5" s="1"/>
  <c r="T41" i="5"/>
  <c r="AI41" i="5" s="1"/>
  <c r="AJ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B40" i="5" s="1"/>
  <c r="T40" i="5"/>
  <c r="AI40" i="5" s="1"/>
  <c r="AJ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B39" i="5" s="1"/>
  <c r="T39" i="5"/>
  <c r="AI39" i="5" s="1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B38" i="5" s="1"/>
  <c r="U38" i="5"/>
  <c r="T38" i="5"/>
  <c r="AJ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B37" i="5" s="1"/>
  <c r="T37" i="5"/>
  <c r="AI37" i="5" s="1"/>
  <c r="AJ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AI36" i="5" s="1"/>
  <c r="AJ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AI35" i="5" s="1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B34" i="5"/>
  <c r="AJ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B33" i="5" s="1"/>
  <c r="T33" i="5"/>
  <c r="AI33" i="5" s="1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B32" i="5" s="1"/>
  <c r="T32" i="5"/>
  <c r="AJ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AI31" i="5" s="1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B30" i="5" s="1"/>
  <c r="U30" i="5"/>
  <c r="T30" i="5"/>
  <c r="AJ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B29" i="5" s="1"/>
  <c r="T29" i="5"/>
  <c r="AI29" i="5" s="1"/>
  <c r="AJ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B28" i="5" s="1"/>
  <c r="T28" i="5"/>
  <c r="AI28" i="5" s="1"/>
  <c r="AJ27" i="5"/>
  <c r="AH27" i="5"/>
  <c r="AG27" i="5"/>
  <c r="AF27" i="5"/>
  <c r="AE27" i="5"/>
  <c r="AD27" i="5"/>
  <c r="AC27" i="5"/>
  <c r="AB27" i="5"/>
  <c r="AA27" i="5"/>
  <c r="Z27" i="5"/>
  <c r="Y27" i="5"/>
  <c r="X27" i="5"/>
  <c r="B27" i="5" s="1"/>
  <c r="W27" i="5"/>
  <c r="V27" i="5"/>
  <c r="U27" i="5"/>
  <c r="T27" i="5"/>
  <c r="AI27" i="5" s="1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B26" i="5"/>
  <c r="AJ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B25" i="5" s="1"/>
  <c r="T25" i="5"/>
  <c r="AI25" i="5" s="1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AJ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AI23" i="5" s="1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AJ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AI21" i="5" s="1"/>
  <c r="AJ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AI20" i="5" s="1"/>
  <c r="AJ19" i="5"/>
  <c r="AH19" i="5"/>
  <c r="AG19" i="5"/>
  <c r="AF19" i="5"/>
  <c r="AE19" i="5"/>
  <c r="AD19" i="5"/>
  <c r="AC19" i="5"/>
  <c r="AB19" i="5"/>
  <c r="AA19" i="5"/>
  <c r="Z19" i="5"/>
  <c r="Y19" i="5"/>
  <c r="X19" i="5"/>
  <c r="B19" i="5" s="1"/>
  <c r="W19" i="5"/>
  <c r="V19" i="5"/>
  <c r="U19" i="5"/>
  <c r="T19" i="5"/>
  <c r="AI19" i="5" s="1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B18" i="5"/>
  <c r="AJ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B17" i="5" s="1"/>
  <c r="T17" i="5"/>
  <c r="AI17" i="5" s="1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B16" i="5" s="1"/>
  <c r="T16" i="5"/>
  <c r="AJ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B15" i="5" s="1"/>
  <c r="T15" i="5"/>
  <c r="AI15" i="5" s="1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AJ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AI13" i="5" s="1"/>
  <c r="AJ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AI12" i="5" s="1"/>
  <c r="AJ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AI11" i="5" s="1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B10" i="5"/>
  <c r="AJ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B9" i="5" s="1"/>
  <c r="T9" i="5"/>
  <c r="AI9" i="5" s="1"/>
  <c r="AF8" i="5"/>
  <c r="AC8" i="5"/>
  <c r="AB8" i="5"/>
  <c r="X8" i="5"/>
  <c r="W8" i="5"/>
  <c r="U8" i="5"/>
  <c r="S8" i="5"/>
  <c r="AH8" i="5" s="1"/>
  <c r="R8" i="5"/>
  <c r="AG8" i="5" s="1"/>
  <c r="Q8" i="5"/>
  <c r="P8" i="5"/>
  <c r="AE8" i="5" s="1"/>
  <c r="O8" i="5"/>
  <c r="AD8" i="5" s="1"/>
  <c r="N8" i="5"/>
  <c r="M8" i="5"/>
  <c r="L8" i="5"/>
  <c r="AA8" i="5" s="1"/>
  <c r="K8" i="5"/>
  <c r="Z8" i="5" s="1"/>
  <c r="J8" i="5"/>
  <c r="Y8" i="5" s="1"/>
  <c r="I8" i="5"/>
  <c r="H8" i="5"/>
  <c r="G8" i="5"/>
  <c r="V8" i="5" s="1"/>
  <c r="F8" i="5"/>
  <c r="AJ41" i="3"/>
  <c r="AI41" i="3"/>
  <c r="AH41" i="3"/>
  <c r="AG41" i="3"/>
  <c r="AF41" i="3"/>
  <c r="AE41" i="3"/>
  <c r="B41" i="3" s="1"/>
  <c r="AD41" i="3"/>
  <c r="AC41" i="3"/>
  <c r="AB41" i="3"/>
  <c r="AA41" i="3"/>
  <c r="Z41" i="3"/>
  <c r="Y41" i="3"/>
  <c r="X41" i="3"/>
  <c r="W41" i="3"/>
  <c r="V41" i="3"/>
  <c r="U41" i="3"/>
  <c r="T41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B40" i="3" s="1"/>
  <c r="T40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B39" i="3" s="1"/>
  <c r="W39" i="3"/>
  <c r="V39" i="3"/>
  <c r="U39" i="3"/>
  <c r="T39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B38" i="3" s="1"/>
  <c r="T38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B37" i="3" s="1"/>
  <c r="V37" i="3"/>
  <c r="U37" i="3"/>
  <c r="T37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AJ35" i="3"/>
  <c r="AI35" i="3"/>
  <c r="AH35" i="3"/>
  <c r="AG35" i="3"/>
  <c r="AF35" i="3"/>
  <c r="AE35" i="3"/>
  <c r="AD35" i="3"/>
  <c r="AC35" i="3"/>
  <c r="AB35" i="3"/>
  <c r="AA35" i="3"/>
  <c r="B35" i="3" s="1"/>
  <c r="Z35" i="3"/>
  <c r="Y35" i="3"/>
  <c r="X35" i="3"/>
  <c r="W35" i="3"/>
  <c r="V35" i="3"/>
  <c r="U35" i="3"/>
  <c r="T35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B34" i="3" s="1"/>
  <c r="T34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B33" i="3" s="1"/>
  <c r="V33" i="3"/>
  <c r="U33" i="3"/>
  <c r="T33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B31" i="3" s="1"/>
  <c r="W31" i="3"/>
  <c r="V31" i="3"/>
  <c r="U31" i="3"/>
  <c r="T31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B30" i="3" s="1"/>
  <c r="T30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B29" i="3" s="1"/>
  <c r="V29" i="3"/>
  <c r="U29" i="3"/>
  <c r="T29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B28" i="3" s="1"/>
  <c r="T28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B25" i="3" s="1"/>
  <c r="V25" i="3"/>
  <c r="U25" i="3"/>
  <c r="T25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B24" i="3" s="1"/>
  <c r="T24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B23" i="3" s="1"/>
  <c r="W23" i="3"/>
  <c r="V23" i="3"/>
  <c r="U23" i="3"/>
  <c r="T23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B22" i="3" s="1"/>
  <c r="T22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B21" i="3" s="1"/>
  <c r="V21" i="3"/>
  <c r="U21" i="3"/>
  <c r="T21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AJ19" i="3"/>
  <c r="AI19" i="3"/>
  <c r="AH19" i="3"/>
  <c r="AG19" i="3"/>
  <c r="AF19" i="3"/>
  <c r="AE19" i="3"/>
  <c r="AD19" i="3"/>
  <c r="AC19" i="3"/>
  <c r="AB19" i="3"/>
  <c r="AA19" i="3"/>
  <c r="B19" i="3" s="1"/>
  <c r="Z19" i="3"/>
  <c r="Y19" i="3"/>
  <c r="X19" i="3"/>
  <c r="W19" i="3"/>
  <c r="V19" i="3"/>
  <c r="U19" i="3"/>
  <c r="T19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B18" i="3" s="1"/>
  <c r="T18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B17" i="3" s="1"/>
  <c r="V17" i="3"/>
  <c r="U17" i="3"/>
  <c r="T17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B15" i="3" s="1"/>
  <c r="W15" i="3"/>
  <c r="V15" i="3"/>
  <c r="U15" i="3"/>
  <c r="T15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B14" i="3" s="1"/>
  <c r="T14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B13" i="3" s="1"/>
  <c r="V13" i="3"/>
  <c r="U13" i="3"/>
  <c r="T13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B12" i="3" s="1"/>
  <c r="T12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B10" i="3" s="1"/>
  <c r="T10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B9" i="3" s="1"/>
  <c r="V9" i="3"/>
  <c r="U9" i="3"/>
  <c r="T9" i="3"/>
  <c r="AE8" i="3"/>
  <c r="AB8" i="3"/>
  <c r="AA8" i="3"/>
  <c r="W8" i="3"/>
  <c r="V8" i="3"/>
  <c r="S8" i="3"/>
  <c r="AH8" i="3" s="1"/>
  <c r="R8" i="3"/>
  <c r="AG8" i="3" s="1"/>
  <c r="Q8" i="3"/>
  <c r="AF8" i="3" s="1"/>
  <c r="P8" i="3"/>
  <c r="O8" i="3"/>
  <c r="AD8" i="3" s="1"/>
  <c r="N8" i="3"/>
  <c r="AC8" i="3" s="1"/>
  <c r="M8" i="3"/>
  <c r="L8" i="3"/>
  <c r="K8" i="3"/>
  <c r="Z8" i="3" s="1"/>
  <c r="J8" i="3"/>
  <c r="Y8" i="3" s="1"/>
  <c r="I8" i="3"/>
  <c r="X8" i="3" s="1"/>
  <c r="H8" i="3"/>
  <c r="G8" i="3"/>
  <c r="F8" i="3"/>
  <c r="U8" i="3" s="1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B177" i="2" s="1"/>
  <c r="T177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B176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B175" i="2" s="1"/>
  <c r="V175" i="2"/>
  <c r="U175" i="2"/>
  <c r="T175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B174" i="2" s="1"/>
  <c r="T174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B171" i="2" s="1"/>
  <c r="W171" i="2"/>
  <c r="V171" i="2"/>
  <c r="U171" i="2"/>
  <c r="T171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B168" i="2" s="1"/>
  <c r="U168" i="2"/>
  <c r="T168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B167" i="2" s="1"/>
  <c r="V167" i="2"/>
  <c r="U167" i="2"/>
  <c r="T167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AI163" i="2"/>
  <c r="AH163" i="2"/>
  <c r="AG163" i="2"/>
  <c r="AF163" i="2"/>
  <c r="AE163" i="2"/>
  <c r="AD163" i="2"/>
  <c r="AC163" i="2"/>
  <c r="AB163" i="2"/>
  <c r="AA163" i="2"/>
  <c r="B163" i="2" s="1"/>
  <c r="Z163" i="2"/>
  <c r="Y163" i="2"/>
  <c r="X163" i="2"/>
  <c r="W163" i="2"/>
  <c r="V163" i="2"/>
  <c r="U163" i="2"/>
  <c r="T163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B162" i="2" s="1"/>
  <c r="W162" i="2"/>
  <c r="V162" i="2"/>
  <c r="U162" i="2"/>
  <c r="T162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AI160" i="2"/>
  <c r="AH160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B160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B159" i="2" s="1"/>
  <c r="V159" i="2"/>
  <c r="U159" i="2"/>
  <c r="T159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B158" i="2" s="1"/>
  <c r="T158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B155" i="2" s="1"/>
  <c r="W155" i="2"/>
  <c r="V155" i="2"/>
  <c r="U155" i="2"/>
  <c r="T155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AI151" i="2"/>
  <c r="AH151" i="2"/>
  <c r="AG151" i="2"/>
  <c r="AF151" i="2"/>
  <c r="AE151" i="2"/>
  <c r="AD151" i="2"/>
  <c r="AC151" i="2"/>
  <c r="AB151" i="2"/>
  <c r="AA151" i="2"/>
  <c r="Z151" i="2"/>
  <c r="Y151" i="2"/>
  <c r="X151" i="2"/>
  <c r="W151" i="2"/>
  <c r="B151" i="2" s="1"/>
  <c r="V151" i="2"/>
  <c r="U151" i="2"/>
  <c r="T151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AI149" i="2"/>
  <c r="AH149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AI147" i="2"/>
  <c r="AH147" i="2"/>
  <c r="AG147" i="2"/>
  <c r="AF147" i="2"/>
  <c r="AE147" i="2"/>
  <c r="AD147" i="2"/>
  <c r="AC147" i="2"/>
  <c r="AB147" i="2"/>
  <c r="AA147" i="2"/>
  <c r="B147" i="2" s="1"/>
  <c r="Z147" i="2"/>
  <c r="Y147" i="2"/>
  <c r="X147" i="2"/>
  <c r="W147" i="2"/>
  <c r="V147" i="2"/>
  <c r="U147" i="2"/>
  <c r="T147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B146" i="2" s="1"/>
  <c r="W146" i="2"/>
  <c r="V146" i="2"/>
  <c r="U146" i="2"/>
  <c r="T146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B144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B143" i="2" s="1"/>
  <c r="V143" i="2"/>
  <c r="U143" i="2"/>
  <c r="T143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B142" i="2" s="1"/>
  <c r="T142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B141" i="2" s="1"/>
  <c r="T141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B139" i="2" s="1"/>
  <c r="W139" i="2"/>
  <c r="V139" i="2"/>
  <c r="U139" i="2"/>
  <c r="T139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AI131" i="2"/>
  <c r="AH131" i="2"/>
  <c r="AG131" i="2"/>
  <c r="AF131" i="2"/>
  <c r="AE131" i="2"/>
  <c r="AD131" i="2"/>
  <c r="AC131" i="2"/>
  <c r="AB131" i="2"/>
  <c r="AA131" i="2"/>
  <c r="B131" i="2" s="1"/>
  <c r="Z131" i="2"/>
  <c r="Y131" i="2"/>
  <c r="X131" i="2"/>
  <c r="W131" i="2"/>
  <c r="V131" i="2"/>
  <c r="U131" i="2"/>
  <c r="T131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B130" i="2" s="1"/>
  <c r="W130" i="2"/>
  <c r="V130" i="2"/>
  <c r="U130" i="2"/>
  <c r="T130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B129" i="2" s="1"/>
  <c r="T129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B128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B127" i="2" s="1"/>
  <c r="V127" i="2"/>
  <c r="U127" i="2"/>
  <c r="T127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B126" i="2" s="1"/>
  <c r="T126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B125" i="2" s="1"/>
  <c r="T125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B124" i="2" s="1"/>
  <c r="T124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B123" i="2" s="1"/>
  <c r="W123" i="2"/>
  <c r="V123" i="2"/>
  <c r="U123" i="2"/>
  <c r="T123" i="2"/>
  <c r="AI122" i="2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B121" i="2" s="1"/>
  <c r="T121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B118" i="2" s="1"/>
  <c r="T118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B117" i="2" s="1"/>
  <c r="T117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B116" i="2" s="1"/>
  <c r="T116" i="2"/>
  <c r="AI115" i="2"/>
  <c r="AH115" i="2"/>
  <c r="AG115" i="2"/>
  <c r="AF115" i="2"/>
  <c r="AE115" i="2"/>
  <c r="AD115" i="2"/>
  <c r="AC115" i="2"/>
  <c r="AB115" i="2"/>
  <c r="AA115" i="2"/>
  <c r="B115" i="2" s="1"/>
  <c r="Z115" i="2"/>
  <c r="Y115" i="2"/>
  <c r="X115" i="2"/>
  <c r="W115" i="2"/>
  <c r="V115" i="2"/>
  <c r="U115" i="2"/>
  <c r="T115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B113" i="2" s="1"/>
  <c r="T113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B112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B111" i="2" s="1"/>
  <c r="V111" i="2"/>
  <c r="U111" i="2"/>
  <c r="T111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B110" i="2" s="1"/>
  <c r="T110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B107" i="2" s="1"/>
  <c r="W107" i="2"/>
  <c r="V107" i="2"/>
  <c r="U107" i="2"/>
  <c r="T107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B106" i="2" s="1"/>
  <c r="T106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B104" i="2" s="1"/>
  <c r="U104" i="2"/>
  <c r="T104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B100" i="2" s="1"/>
  <c r="U100" i="2"/>
  <c r="T100" i="2"/>
  <c r="AI99" i="2"/>
  <c r="AH99" i="2"/>
  <c r="AG99" i="2"/>
  <c r="AF99" i="2"/>
  <c r="AE99" i="2"/>
  <c r="AD99" i="2"/>
  <c r="AC99" i="2"/>
  <c r="AB99" i="2"/>
  <c r="AA99" i="2"/>
  <c r="B99" i="2" s="1"/>
  <c r="Z99" i="2"/>
  <c r="Y99" i="2"/>
  <c r="X99" i="2"/>
  <c r="W99" i="2"/>
  <c r="V99" i="2"/>
  <c r="U99" i="2"/>
  <c r="T99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B96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B95" i="2" s="1"/>
  <c r="V95" i="2"/>
  <c r="U95" i="2"/>
  <c r="T95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B94" i="2" s="1"/>
  <c r="T94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AI91" i="2"/>
  <c r="AH91" i="2"/>
  <c r="AG91" i="2"/>
  <c r="AF91" i="2"/>
  <c r="AE91" i="2"/>
  <c r="AD91" i="2"/>
  <c r="AC91" i="2"/>
  <c r="AB91" i="2"/>
  <c r="AA91" i="2"/>
  <c r="Z91" i="2"/>
  <c r="Y91" i="2"/>
  <c r="X91" i="2"/>
  <c r="B91" i="2" s="1"/>
  <c r="W91" i="2"/>
  <c r="V91" i="2"/>
  <c r="U91" i="2"/>
  <c r="T91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B90" i="2" s="1"/>
  <c r="V90" i="2"/>
  <c r="U90" i="2"/>
  <c r="T90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B87" i="2" s="1"/>
  <c r="V87" i="2"/>
  <c r="U87" i="2"/>
  <c r="T87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AI83" i="2"/>
  <c r="AH83" i="2"/>
  <c r="AG83" i="2"/>
  <c r="AF83" i="2"/>
  <c r="AE83" i="2"/>
  <c r="AD83" i="2"/>
  <c r="AC83" i="2"/>
  <c r="AB83" i="2"/>
  <c r="AA83" i="2"/>
  <c r="B83" i="2" s="1"/>
  <c r="Z83" i="2"/>
  <c r="Y83" i="2"/>
  <c r="X83" i="2"/>
  <c r="W83" i="2"/>
  <c r="V83" i="2"/>
  <c r="U83" i="2"/>
  <c r="T83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B80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B79" i="2" s="1"/>
  <c r="V79" i="2"/>
  <c r="U79" i="2"/>
  <c r="T79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B78" i="2" s="1"/>
  <c r="T78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B77" i="2" s="1"/>
  <c r="T77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B76" i="2" s="1"/>
  <c r="T76" i="2"/>
  <c r="AI75" i="2"/>
  <c r="AH75" i="2"/>
  <c r="AG75" i="2"/>
  <c r="AF75" i="2"/>
  <c r="AE75" i="2"/>
  <c r="AD75" i="2"/>
  <c r="AC75" i="2"/>
  <c r="AB75" i="2"/>
  <c r="AA75" i="2"/>
  <c r="Z75" i="2"/>
  <c r="Y75" i="2"/>
  <c r="X75" i="2"/>
  <c r="B75" i="2" s="1"/>
  <c r="W75" i="2"/>
  <c r="V75" i="2"/>
  <c r="U75" i="2"/>
  <c r="T75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B74" i="2" s="1"/>
  <c r="V74" i="2"/>
  <c r="U74" i="2"/>
  <c r="T74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B73" i="2" s="1"/>
  <c r="T73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B65" i="2" s="1"/>
  <c r="T65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B64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B63" i="2" s="1"/>
  <c r="V63" i="2"/>
  <c r="U63" i="2"/>
  <c r="T63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B62" i="2" s="1"/>
  <c r="T62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B61" i="2" s="1"/>
  <c r="T61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B60" i="2" s="1"/>
  <c r="T60" i="2"/>
  <c r="AI59" i="2"/>
  <c r="AH59" i="2"/>
  <c r="AG59" i="2"/>
  <c r="AF59" i="2"/>
  <c r="AE59" i="2"/>
  <c r="AD59" i="2"/>
  <c r="AC59" i="2"/>
  <c r="AB59" i="2"/>
  <c r="AA59" i="2"/>
  <c r="Z59" i="2"/>
  <c r="Y59" i="2"/>
  <c r="X59" i="2"/>
  <c r="B59" i="2" s="1"/>
  <c r="W59" i="2"/>
  <c r="V59" i="2"/>
  <c r="U59" i="2"/>
  <c r="T59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B57" i="2" s="1"/>
  <c r="T57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B56" i="2" s="1"/>
  <c r="U56" i="2"/>
  <c r="T56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B55" i="2" s="1"/>
  <c r="T55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B53" i="2" s="1"/>
  <c r="T53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B50" i="2" s="1"/>
  <c r="T50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B49" i="2" s="1"/>
  <c r="T49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B48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B47" i="2" s="1"/>
  <c r="V47" i="2"/>
  <c r="U47" i="2"/>
  <c r="T47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B46" i="2" s="1"/>
  <c r="T46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AI43" i="2"/>
  <c r="AH43" i="2"/>
  <c r="AG43" i="2"/>
  <c r="AF43" i="2"/>
  <c r="AE43" i="2"/>
  <c r="AD43" i="2"/>
  <c r="AC43" i="2"/>
  <c r="AB43" i="2"/>
  <c r="AA43" i="2"/>
  <c r="Z43" i="2"/>
  <c r="Y43" i="2"/>
  <c r="X43" i="2"/>
  <c r="B43" i="2" s="1"/>
  <c r="W43" i="2"/>
  <c r="V43" i="2"/>
  <c r="U43" i="2"/>
  <c r="T43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B42" i="2" s="1"/>
  <c r="V42" i="2"/>
  <c r="U42" i="2"/>
  <c r="T42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B40" i="2" s="1"/>
  <c r="U40" i="2"/>
  <c r="T40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B39" i="2" s="1"/>
  <c r="V39" i="2"/>
  <c r="U39" i="2"/>
  <c r="T39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B38" i="2" s="1"/>
  <c r="T38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B36" i="2" s="1"/>
  <c r="V36" i="2"/>
  <c r="U36" i="2"/>
  <c r="T36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B33" i="2" s="1"/>
  <c r="T33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B32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B31" i="2" s="1"/>
  <c r="V31" i="2"/>
  <c r="U31" i="2"/>
  <c r="T31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B30" i="2" s="1"/>
  <c r="T30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AI27" i="2"/>
  <c r="AH27" i="2"/>
  <c r="AG27" i="2"/>
  <c r="AF27" i="2"/>
  <c r="AE27" i="2"/>
  <c r="AD27" i="2"/>
  <c r="AC27" i="2"/>
  <c r="AB27" i="2"/>
  <c r="AA27" i="2"/>
  <c r="Z27" i="2"/>
  <c r="Y27" i="2"/>
  <c r="X27" i="2"/>
  <c r="B27" i="2" s="1"/>
  <c r="W27" i="2"/>
  <c r="V27" i="2"/>
  <c r="U27" i="2"/>
  <c r="T27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B26" i="2" s="1"/>
  <c r="T26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B25" i="2" s="1"/>
  <c r="T25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B23" i="2" s="1"/>
  <c r="V23" i="2"/>
  <c r="U23" i="2"/>
  <c r="T23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B22" i="2" s="1"/>
  <c r="T22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B21" i="2" s="1"/>
  <c r="T21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AI19" i="2"/>
  <c r="AH19" i="2"/>
  <c r="AG19" i="2"/>
  <c r="AF19" i="2"/>
  <c r="AE19" i="2"/>
  <c r="AD19" i="2"/>
  <c r="AC19" i="2"/>
  <c r="AB19" i="2"/>
  <c r="AA19" i="2"/>
  <c r="B19" i="2" s="1"/>
  <c r="Z19" i="2"/>
  <c r="Y19" i="2"/>
  <c r="X19" i="2"/>
  <c r="W19" i="2"/>
  <c r="V19" i="2"/>
  <c r="U19" i="2"/>
  <c r="T19" i="2"/>
  <c r="AI18" i="2"/>
  <c r="AH18" i="2"/>
  <c r="AG18" i="2"/>
  <c r="AF18" i="2"/>
  <c r="AE18" i="2"/>
  <c r="AD18" i="2"/>
  <c r="AC18" i="2"/>
  <c r="AB18" i="2"/>
  <c r="AA18" i="2"/>
  <c r="Z18" i="2"/>
  <c r="Y18" i="2"/>
  <c r="X18" i="2"/>
  <c r="B18" i="2" s="1"/>
  <c r="W18" i="2"/>
  <c r="V18" i="2"/>
  <c r="U18" i="2"/>
  <c r="T18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B17" i="2" s="1"/>
  <c r="T17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B16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B15" i="2" s="1"/>
  <c r="V15" i="2"/>
  <c r="U15" i="2"/>
  <c r="T15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B14" i="2" s="1"/>
  <c r="T14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AI11" i="2"/>
  <c r="AH11" i="2"/>
  <c r="AG11" i="2"/>
  <c r="AF11" i="2"/>
  <c r="AE11" i="2"/>
  <c r="AD11" i="2"/>
  <c r="AC11" i="2"/>
  <c r="AB11" i="2"/>
  <c r="AA11" i="2"/>
  <c r="Z11" i="2"/>
  <c r="Y11" i="2"/>
  <c r="X11" i="2"/>
  <c r="B11" i="2" s="1"/>
  <c r="W11" i="2"/>
  <c r="V11" i="2"/>
  <c r="U11" i="2"/>
  <c r="T11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B9" i="2" s="1"/>
  <c r="T9" i="2"/>
  <c r="AH8" i="2"/>
  <c r="AG8" i="2"/>
  <c r="AC8" i="2"/>
  <c r="Z8" i="2"/>
  <c r="Y8" i="2"/>
  <c r="U8" i="2"/>
  <c r="S8" i="2"/>
  <c r="R8" i="2"/>
  <c r="Q8" i="2"/>
  <c r="AF8" i="2" s="1"/>
  <c r="P8" i="2"/>
  <c r="AE8" i="2" s="1"/>
  <c r="O8" i="2"/>
  <c r="AD8" i="2" s="1"/>
  <c r="N8" i="2"/>
  <c r="M8" i="2"/>
  <c r="AB8" i="2" s="1"/>
  <c r="L8" i="2"/>
  <c r="AA8" i="2" s="1"/>
  <c r="K8" i="2"/>
  <c r="J8" i="2"/>
  <c r="I8" i="2"/>
  <c r="X8" i="2" s="1"/>
  <c r="H8" i="2"/>
  <c r="W8" i="2" s="1"/>
  <c r="G8" i="2"/>
  <c r="V8" i="2" s="1"/>
  <c r="F8" i="2"/>
  <c r="AJ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AI317" i="1" s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AJ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B315" i="1" s="1"/>
  <c r="T315" i="1"/>
  <c r="AI315" i="1" s="1"/>
  <c r="AJ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B314" i="1" s="1"/>
  <c r="T314" i="1"/>
  <c r="AI314" i="1" s="1"/>
  <c r="AJ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B313" i="1" s="1"/>
  <c r="T313" i="1"/>
  <c r="AI313" i="1" s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B312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B311" i="1" s="1"/>
  <c r="T311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B310" i="1" s="1"/>
  <c r="T310" i="1"/>
  <c r="AJ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AI309" i="1" s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B308" i="1" s="1"/>
  <c r="U308" i="1"/>
  <c r="T308" i="1"/>
  <c r="AJ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AI307" i="1" s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AJ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AI305" i="1" s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B304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B303" i="1" s="1"/>
  <c r="T303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AJ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B301" i="1" s="1"/>
  <c r="T301" i="1"/>
  <c r="AI301" i="1" s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B300" i="1" s="1"/>
  <c r="U300" i="1"/>
  <c r="T300" i="1"/>
  <c r="AJ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B299" i="1" s="1"/>
  <c r="T299" i="1"/>
  <c r="AI299" i="1" s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B298" i="1" s="1"/>
  <c r="T298" i="1"/>
  <c r="AJ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AI297" i="1" s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B296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B295" i="1" s="1"/>
  <c r="T295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B294" i="1" s="1"/>
  <c r="T294" i="1"/>
  <c r="AJ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B293" i="1" s="1"/>
  <c r="T293" i="1"/>
  <c r="AI293" i="1" s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B292" i="1" s="1"/>
  <c r="U292" i="1"/>
  <c r="T292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AJ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AI290" i="1" s="1"/>
  <c r="AJ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B289" i="1" s="1"/>
  <c r="V289" i="1"/>
  <c r="U289" i="1"/>
  <c r="T289" i="1"/>
  <c r="AI289" i="1" s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B288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B287" i="1" s="1"/>
  <c r="T287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AJ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B285" i="1" s="1"/>
  <c r="T285" i="1"/>
  <c r="AI285" i="1" s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B284" i="1" s="1"/>
  <c r="U284" i="1"/>
  <c r="T284" i="1"/>
  <c r="AJ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B283" i="1" s="1"/>
  <c r="T283" i="1"/>
  <c r="AI283" i="1" s="1"/>
  <c r="AJ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B282" i="1" s="1"/>
  <c r="T282" i="1"/>
  <c r="AI282" i="1" s="1"/>
  <c r="AJ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AI281" i="1" s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B280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B279" i="1" s="1"/>
  <c r="T279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B278" i="1" s="1"/>
  <c r="T278" i="1"/>
  <c r="AJ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B277" i="1" s="1"/>
  <c r="T277" i="1"/>
  <c r="AI277" i="1" s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B276" i="1" s="1"/>
  <c r="U276" i="1"/>
  <c r="T276" i="1"/>
  <c r="AJ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AI275" i="1" s="1"/>
  <c r="AJ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B274" i="1" s="1"/>
  <c r="T274" i="1"/>
  <c r="AI274" i="1" s="1"/>
  <c r="AJ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AI273" i="1" s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B272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B271" i="1" s="1"/>
  <c r="T271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B270" i="1" s="1"/>
  <c r="T270" i="1"/>
  <c r="AJ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B269" i="1" s="1"/>
  <c r="T269" i="1"/>
  <c r="AI269" i="1" s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B268" i="1" s="1"/>
  <c r="U268" i="1"/>
  <c r="T268" i="1"/>
  <c r="AJ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AI267" i="1" s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AJ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AI265" i="1" s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B264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B263" i="1" s="1"/>
  <c r="T263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AJ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B261" i="1" s="1"/>
  <c r="T261" i="1"/>
  <c r="AI261" i="1" s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B260" i="1" s="1"/>
  <c r="U260" i="1"/>
  <c r="T260" i="1"/>
  <c r="AJ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B259" i="1" s="1"/>
  <c r="T259" i="1"/>
  <c r="AI259" i="1" s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B258" i="1" s="1"/>
  <c r="T258" i="1"/>
  <c r="AJ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AI257" i="1" s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B256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B255" i="1" s="1"/>
  <c r="T255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AJ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AI253" i="1" s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AJ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B251" i="1" s="1"/>
  <c r="T251" i="1"/>
  <c r="AI251" i="1" s="1"/>
  <c r="AJ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B250" i="1" s="1"/>
  <c r="T250" i="1"/>
  <c r="AI250" i="1" s="1"/>
  <c r="AJ249" i="1"/>
  <c r="AH249" i="1"/>
  <c r="AG249" i="1"/>
  <c r="AF249" i="1"/>
  <c r="AE249" i="1"/>
  <c r="AD249" i="1"/>
  <c r="AC249" i="1"/>
  <c r="AB249" i="1"/>
  <c r="AA249" i="1"/>
  <c r="Z249" i="1"/>
  <c r="Y249" i="1"/>
  <c r="X249" i="1"/>
  <c r="B249" i="1" s="1"/>
  <c r="W249" i="1"/>
  <c r="V249" i="1"/>
  <c r="U249" i="1"/>
  <c r="T249" i="1"/>
  <c r="AI249" i="1" s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B248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B247" i="1" s="1"/>
  <c r="T247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AJ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AI245" i="1" s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AJ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AI243" i="1" s="1"/>
  <c r="AJ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AI242" i="1" s="1"/>
  <c r="AJ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B241" i="1" s="1"/>
  <c r="V241" i="1"/>
  <c r="U241" i="1"/>
  <c r="T241" i="1"/>
  <c r="AI241" i="1" s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B240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B239" i="1" s="1"/>
  <c r="T239" i="1"/>
  <c r="AJ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B238" i="1" s="1"/>
  <c r="T238" i="1"/>
  <c r="AI238" i="1" s="1"/>
  <c r="AJ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B237" i="1" s="1"/>
  <c r="V237" i="1"/>
  <c r="U237" i="1"/>
  <c r="T237" i="1"/>
  <c r="AI237" i="1" s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AJ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AI235" i="1" s="1"/>
  <c r="AJ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AI234" i="1" s="1"/>
  <c r="AJ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AI233" i="1" s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B232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B231" i="1" s="1"/>
  <c r="T231" i="1"/>
  <c r="AJ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AI230" i="1" s="1"/>
  <c r="AJ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B229" i="1" s="1"/>
  <c r="V229" i="1"/>
  <c r="U229" i="1"/>
  <c r="T229" i="1"/>
  <c r="AI229" i="1" s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B228" i="1" s="1"/>
  <c r="U228" i="1"/>
  <c r="T228" i="1"/>
  <c r="AJ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B227" i="1" s="1"/>
  <c r="T227" i="1"/>
  <c r="AI227" i="1" s="1"/>
  <c r="AJ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AI226" i="1" s="1"/>
  <c r="AJ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B225" i="1" s="1"/>
  <c r="V225" i="1"/>
  <c r="U225" i="1"/>
  <c r="T225" i="1"/>
  <c r="AI225" i="1" s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B224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B223" i="1" s="1"/>
  <c r="T223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B222" i="1" s="1"/>
  <c r="T222" i="1"/>
  <c r="AJ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AI221" i="1" s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AJ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AI219" i="1" s="1"/>
  <c r="AJ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AI218" i="1" s="1"/>
  <c r="AJ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B217" i="1" s="1"/>
  <c r="V217" i="1"/>
  <c r="U217" i="1"/>
  <c r="T217" i="1"/>
  <c r="AI217" i="1" s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B216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B215" i="1" s="1"/>
  <c r="T215" i="1"/>
  <c r="AJ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AI214" i="1" s="1"/>
  <c r="AJ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B213" i="1" s="1"/>
  <c r="V213" i="1"/>
  <c r="U213" i="1"/>
  <c r="T213" i="1"/>
  <c r="AI213" i="1" s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AJ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AI211" i="1" s="1"/>
  <c r="AJ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AI210" i="1" s="1"/>
  <c r="AJ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AI209" i="1" s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B208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B207" i="1" s="1"/>
  <c r="T207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AJ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B205" i="1" s="1"/>
  <c r="V205" i="1"/>
  <c r="U205" i="1"/>
  <c r="T205" i="1"/>
  <c r="AI205" i="1" s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B204" i="1" s="1"/>
  <c r="U204" i="1"/>
  <c r="T204" i="1"/>
  <c r="AJ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AI203" i="1" s="1"/>
  <c r="AJ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B202" i="1" s="1"/>
  <c r="T202" i="1"/>
  <c r="AI202" i="1" s="1"/>
  <c r="AJ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AI201" i="1" s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B200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B199" i="1" s="1"/>
  <c r="T199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AJ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AI197" i="1" s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AJ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B195" i="1" s="1"/>
  <c r="T195" i="1"/>
  <c r="AI195" i="1" s="1"/>
  <c r="AJ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B194" i="1" s="1"/>
  <c r="T194" i="1"/>
  <c r="AI194" i="1" s="1"/>
  <c r="AJ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B193" i="1" s="1"/>
  <c r="V193" i="1"/>
  <c r="U193" i="1"/>
  <c r="T193" i="1"/>
  <c r="AI193" i="1" s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B192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B191" i="1" s="1"/>
  <c r="T191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AJ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AI189" i="1" s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AJ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AI187" i="1" s="1"/>
  <c r="AJ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AI186" i="1" s="1"/>
  <c r="AJ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B185" i="1" s="1"/>
  <c r="V185" i="1"/>
  <c r="U185" i="1"/>
  <c r="T185" i="1"/>
  <c r="AI185" i="1" s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B184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B183" i="1" s="1"/>
  <c r="T183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AJ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B181" i="1" s="1"/>
  <c r="T181" i="1"/>
  <c r="AI181" i="1" s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B180" i="1" s="1"/>
  <c r="U180" i="1"/>
  <c r="T180" i="1"/>
  <c r="AJ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B179" i="1" s="1"/>
  <c r="T179" i="1"/>
  <c r="AI179" i="1" s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B178" i="1" s="1"/>
  <c r="T178" i="1"/>
  <c r="AJ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AI177" i="1" s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B176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B175" i="1" s="1"/>
  <c r="T175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AJ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AI173" i="1" s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AJ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B171" i="1" s="1"/>
  <c r="T171" i="1"/>
  <c r="AI171" i="1" s="1"/>
  <c r="AJ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B170" i="1" s="1"/>
  <c r="T170" i="1"/>
  <c r="AI170" i="1" s="1"/>
  <c r="AJ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B169" i="1" s="1"/>
  <c r="V169" i="1"/>
  <c r="U169" i="1"/>
  <c r="T169" i="1"/>
  <c r="AI169" i="1" s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B168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B167" i="1" s="1"/>
  <c r="T167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AJ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AI165" i="1" s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AJ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AI161" i="1" s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B160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B159" i="1" s="1"/>
  <c r="T159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B158" i="1" s="1"/>
  <c r="T158" i="1"/>
  <c r="AJ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AI157" i="1" s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B156" i="1" s="1"/>
  <c r="U156" i="1"/>
  <c r="T156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B155" i="1" s="1"/>
  <c r="T155" i="1"/>
  <c r="AJ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AI154" i="1" s="1"/>
  <c r="AJ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B153" i="1" s="1"/>
  <c r="U153" i="1"/>
  <c r="T153" i="1"/>
  <c r="AI153" i="1" s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B152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B151" i="1" s="1"/>
  <c r="T151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B150" i="1" s="1"/>
  <c r="T150" i="1"/>
  <c r="AJ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AI149" i="1" s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B147" i="1" s="1"/>
  <c r="T147" i="1"/>
  <c r="AJ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B146" i="1" s="1"/>
  <c r="T146" i="1"/>
  <c r="AI146" i="1" s="1"/>
  <c r="AJ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AI145" i="1" s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B144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B143" i="1" s="1"/>
  <c r="T143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B142" i="1" s="1"/>
  <c r="T142" i="1"/>
  <c r="AJ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AI141" i="1" s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B140" i="1" s="1"/>
  <c r="U140" i="1"/>
  <c r="T140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AJ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AI138" i="1" s="1"/>
  <c r="AJ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B137" i="1" s="1"/>
  <c r="U137" i="1"/>
  <c r="T137" i="1"/>
  <c r="AI137" i="1" s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B136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B135" i="1" s="1"/>
  <c r="T135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AJ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B133" i="1" s="1"/>
  <c r="T133" i="1"/>
  <c r="AI133" i="1" s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AJ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B131" i="1" s="1"/>
  <c r="T131" i="1"/>
  <c r="AI131" i="1" s="1"/>
  <c r="AJ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B130" i="1" s="1"/>
  <c r="T130" i="1"/>
  <c r="AI130" i="1" s="1"/>
  <c r="AJ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B129" i="1" s="1"/>
  <c r="U129" i="1"/>
  <c r="T129" i="1"/>
  <c r="AI129" i="1" s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B128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B127" i="1" s="1"/>
  <c r="T127" i="1"/>
  <c r="AJ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B126" i="1" s="1"/>
  <c r="T126" i="1"/>
  <c r="AI126" i="1" s="1"/>
  <c r="AJ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AI125" i="1" s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AJ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AI123" i="1" s="1"/>
  <c r="AJ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AI122" i="1" s="1"/>
  <c r="AJ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B121" i="1" s="1"/>
  <c r="U121" i="1"/>
  <c r="T121" i="1"/>
  <c r="AI121" i="1" s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B120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B119" i="1" s="1"/>
  <c r="T119" i="1"/>
  <c r="AJ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AI118" i="1" s="1"/>
  <c r="AJ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AI117" i="1" s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AJ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AI115" i="1" s="1"/>
  <c r="AJ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AI114" i="1" s="1"/>
  <c r="AJ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AI113" i="1" s="1"/>
  <c r="AJ112" i="1"/>
  <c r="AI112" i="1"/>
  <c r="AH112" i="1"/>
  <c r="AG112" i="1"/>
  <c r="AF112" i="1"/>
  <c r="AE112" i="1"/>
  <c r="AD112" i="1"/>
  <c r="B112" i="1" s="1"/>
  <c r="AC112" i="1"/>
  <c r="AB112" i="1"/>
  <c r="AA112" i="1"/>
  <c r="Z112" i="1"/>
  <c r="Y112" i="1"/>
  <c r="X112" i="1"/>
  <c r="W112" i="1"/>
  <c r="V112" i="1"/>
  <c r="U112" i="1"/>
  <c r="T112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AJ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AI110" i="1" s="1"/>
  <c r="AJ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AI109" i="1" s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AJ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B107" i="1" s="1"/>
  <c r="T107" i="1"/>
  <c r="AI107" i="1" s="1"/>
  <c r="AJ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AI106" i="1" s="1"/>
  <c r="AJ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AI105" i="1" s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B104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B103" i="1" s="1"/>
  <c r="T103" i="1"/>
  <c r="AJ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B102" i="1" s="1"/>
  <c r="T102" i="1"/>
  <c r="AI102" i="1" s="1"/>
  <c r="AJ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B101" i="1" s="1"/>
  <c r="T101" i="1"/>
  <c r="AI101" i="1" s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B100" i="1" s="1"/>
  <c r="U100" i="1"/>
  <c r="T100" i="1"/>
  <c r="AJ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B99" i="1" s="1"/>
  <c r="T99" i="1"/>
  <c r="AI99" i="1" s="1"/>
  <c r="AJ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AI98" i="1" s="1"/>
  <c r="AJ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B97" i="1" s="1"/>
  <c r="T97" i="1"/>
  <c r="AI97" i="1" s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B96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B95" i="1" s="1"/>
  <c r="T95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AJ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AI93" i="1" s="1"/>
  <c r="AJ92" i="1"/>
  <c r="AI92" i="1"/>
  <c r="AH92" i="1"/>
  <c r="AG92" i="1"/>
  <c r="AF92" i="1"/>
  <c r="AE92" i="1"/>
  <c r="AD92" i="1"/>
  <c r="AC92" i="1"/>
  <c r="AB92" i="1"/>
  <c r="AA92" i="1"/>
  <c r="B92" i="1" s="1"/>
  <c r="Z92" i="1"/>
  <c r="Y92" i="1"/>
  <c r="X92" i="1"/>
  <c r="W92" i="1"/>
  <c r="V92" i="1"/>
  <c r="U92" i="1"/>
  <c r="T92" i="1"/>
  <c r="AJ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AI91" i="1" s="1"/>
  <c r="AJ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AI90" i="1" s="1"/>
  <c r="AJ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AI89" i="1" s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B88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B87" i="1" s="1"/>
  <c r="T87" i="1"/>
  <c r="AJ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AI86" i="1" s="1"/>
  <c r="AJ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B85" i="1" s="1"/>
  <c r="T85" i="1"/>
  <c r="AI85" i="1" s="1"/>
  <c r="AJ84" i="1"/>
  <c r="AI84" i="1"/>
  <c r="AH84" i="1"/>
  <c r="AG84" i="1"/>
  <c r="AF84" i="1"/>
  <c r="AE84" i="1"/>
  <c r="AD84" i="1"/>
  <c r="B84" i="1" s="1"/>
  <c r="AC84" i="1"/>
  <c r="AB84" i="1"/>
  <c r="AA84" i="1"/>
  <c r="Z84" i="1"/>
  <c r="Y84" i="1"/>
  <c r="X84" i="1"/>
  <c r="W84" i="1"/>
  <c r="V84" i="1"/>
  <c r="U84" i="1"/>
  <c r="T84" i="1"/>
  <c r="AJ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B83" i="1" s="1"/>
  <c r="T83" i="1"/>
  <c r="AI83" i="1" s="1"/>
  <c r="AJ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AI82" i="1" s="1"/>
  <c r="AJ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AI81" i="1" s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B80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B79" i="1" s="1"/>
  <c r="T79" i="1"/>
  <c r="AJ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B78" i="1" s="1"/>
  <c r="T78" i="1"/>
  <c r="AI78" i="1" s="1"/>
  <c r="AJ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AI77" i="1" s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B76" i="1" s="1"/>
  <c r="U76" i="1"/>
  <c r="T76" i="1"/>
  <c r="AJ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B75" i="1" s="1"/>
  <c r="T75" i="1"/>
  <c r="AI75" i="1" s="1"/>
  <c r="AJ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B74" i="1" s="1"/>
  <c r="T74" i="1"/>
  <c r="AI74" i="1" s="1"/>
  <c r="AJ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B73" i="1" s="1"/>
  <c r="T73" i="1"/>
  <c r="AI73" i="1" s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B72" i="1" s="1"/>
  <c r="U72" i="1"/>
  <c r="T72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B71" i="1" s="1"/>
  <c r="W71" i="1"/>
  <c r="V71" i="1"/>
  <c r="U71" i="1"/>
  <c r="T71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B70" i="1" s="1"/>
  <c r="T70" i="1"/>
  <c r="AJ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B69" i="1" s="1"/>
  <c r="T69" i="1"/>
  <c r="AI69" i="1" s="1"/>
  <c r="AJ68" i="1"/>
  <c r="AI68" i="1"/>
  <c r="AH68" i="1"/>
  <c r="AG68" i="1"/>
  <c r="AF68" i="1"/>
  <c r="AE68" i="1"/>
  <c r="AD68" i="1"/>
  <c r="B68" i="1" s="1"/>
  <c r="AC68" i="1"/>
  <c r="AB68" i="1"/>
  <c r="AA68" i="1"/>
  <c r="Z68" i="1"/>
  <c r="Y68" i="1"/>
  <c r="X68" i="1"/>
  <c r="W68" i="1"/>
  <c r="V68" i="1"/>
  <c r="U68" i="1"/>
  <c r="T68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B67" i="1" s="1"/>
  <c r="T67" i="1"/>
  <c r="AJ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B66" i="1" s="1"/>
  <c r="T66" i="1"/>
  <c r="AI66" i="1" s="1"/>
  <c r="AJ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B65" i="1" s="1"/>
  <c r="T65" i="1"/>
  <c r="AI65" i="1" s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B64" i="1" s="1"/>
  <c r="U64" i="1"/>
  <c r="T64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B63" i="1" s="1"/>
  <c r="W63" i="1"/>
  <c r="V63" i="1"/>
  <c r="U63" i="1"/>
  <c r="T63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B62" i="1" s="1"/>
  <c r="T62" i="1"/>
  <c r="AJ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B61" i="1" s="1"/>
  <c r="T61" i="1"/>
  <c r="AI61" i="1" s="1"/>
  <c r="AJ60" i="1"/>
  <c r="AI60" i="1"/>
  <c r="AH60" i="1"/>
  <c r="AG60" i="1"/>
  <c r="AF60" i="1"/>
  <c r="AE60" i="1"/>
  <c r="AD60" i="1"/>
  <c r="B60" i="1" s="1"/>
  <c r="AC60" i="1"/>
  <c r="AB60" i="1"/>
  <c r="AA60" i="1"/>
  <c r="Z60" i="1"/>
  <c r="Y60" i="1"/>
  <c r="X60" i="1"/>
  <c r="W60" i="1"/>
  <c r="V60" i="1"/>
  <c r="U60" i="1"/>
  <c r="T60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B59" i="1" s="1"/>
  <c r="T59" i="1"/>
  <c r="AJ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B58" i="1" s="1"/>
  <c r="T58" i="1"/>
  <c r="AI58" i="1" s="1"/>
  <c r="AJ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B57" i="1" s="1"/>
  <c r="T57" i="1"/>
  <c r="AI57" i="1" s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B56" i="1" s="1"/>
  <c r="U56" i="1"/>
  <c r="T56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B55" i="1" s="1"/>
  <c r="W55" i="1"/>
  <c r="V55" i="1"/>
  <c r="U55" i="1"/>
  <c r="T55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B54" i="1" s="1"/>
  <c r="T54" i="1"/>
  <c r="AJ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B53" i="1" s="1"/>
  <c r="T53" i="1"/>
  <c r="AI53" i="1" s="1"/>
  <c r="AJ52" i="1"/>
  <c r="AI52" i="1"/>
  <c r="AH52" i="1"/>
  <c r="AG52" i="1"/>
  <c r="AF52" i="1"/>
  <c r="AE52" i="1"/>
  <c r="AD52" i="1"/>
  <c r="B52" i="1" s="1"/>
  <c r="AC52" i="1"/>
  <c r="AB52" i="1"/>
  <c r="AA52" i="1"/>
  <c r="Z52" i="1"/>
  <c r="Y52" i="1"/>
  <c r="X52" i="1"/>
  <c r="W52" i="1"/>
  <c r="V52" i="1"/>
  <c r="U52" i="1"/>
  <c r="T52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B51" i="1" s="1"/>
  <c r="T51" i="1"/>
  <c r="AJ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B50" i="1" s="1"/>
  <c r="T50" i="1"/>
  <c r="AI50" i="1" s="1"/>
  <c r="AJ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B49" i="1" s="1"/>
  <c r="T49" i="1"/>
  <c r="AI49" i="1" s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B48" i="1" s="1"/>
  <c r="U48" i="1"/>
  <c r="T48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B47" i="1" s="1"/>
  <c r="W47" i="1"/>
  <c r="V47" i="1"/>
  <c r="U47" i="1"/>
  <c r="T47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B46" i="1" s="1"/>
  <c r="T46" i="1"/>
  <c r="AJ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B45" i="1" s="1"/>
  <c r="T45" i="1"/>
  <c r="AI45" i="1" s="1"/>
  <c r="AJ44" i="1"/>
  <c r="AI44" i="1"/>
  <c r="AH44" i="1"/>
  <c r="AG44" i="1"/>
  <c r="AF44" i="1"/>
  <c r="AE44" i="1"/>
  <c r="AD44" i="1"/>
  <c r="B44" i="1" s="1"/>
  <c r="AC44" i="1"/>
  <c r="AB44" i="1"/>
  <c r="AA44" i="1"/>
  <c r="Z44" i="1"/>
  <c r="Y44" i="1"/>
  <c r="X44" i="1"/>
  <c r="W44" i="1"/>
  <c r="V44" i="1"/>
  <c r="U44" i="1"/>
  <c r="T44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B43" i="1" s="1"/>
  <c r="T43" i="1"/>
  <c r="AJ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B42" i="1" s="1"/>
  <c r="T42" i="1"/>
  <c r="AI42" i="1" s="1"/>
  <c r="AJ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B41" i="1" s="1"/>
  <c r="T41" i="1"/>
  <c r="AI41" i="1" s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B40" i="1" s="1"/>
  <c r="U40" i="1"/>
  <c r="T40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B39" i="1" s="1"/>
  <c r="W39" i="1"/>
  <c r="V39" i="1"/>
  <c r="U39" i="1"/>
  <c r="T39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B38" i="1" s="1"/>
  <c r="T38" i="1"/>
  <c r="AJ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B37" i="1" s="1"/>
  <c r="T37" i="1"/>
  <c r="AI37" i="1" s="1"/>
  <c r="AJ36" i="1"/>
  <c r="AI36" i="1"/>
  <c r="AH36" i="1"/>
  <c r="AG36" i="1"/>
  <c r="AF36" i="1"/>
  <c r="AE36" i="1"/>
  <c r="AD36" i="1"/>
  <c r="B36" i="1" s="1"/>
  <c r="AC36" i="1"/>
  <c r="AB36" i="1"/>
  <c r="AA36" i="1"/>
  <c r="Z36" i="1"/>
  <c r="Y36" i="1"/>
  <c r="X36" i="1"/>
  <c r="W36" i="1"/>
  <c r="V36" i="1"/>
  <c r="U36" i="1"/>
  <c r="T36" i="1"/>
  <c r="AJ35" i="1"/>
  <c r="AI35" i="1"/>
  <c r="AH35" i="1"/>
  <c r="AG35" i="1"/>
  <c r="AF35" i="1"/>
  <c r="B35" i="1" s="1"/>
  <c r="AE35" i="1"/>
  <c r="AD35" i="1"/>
  <c r="AC35" i="1"/>
  <c r="AB35" i="1"/>
  <c r="AA35" i="1"/>
  <c r="Z35" i="1"/>
  <c r="Y35" i="1"/>
  <c r="X35" i="1"/>
  <c r="W35" i="1"/>
  <c r="V35" i="1"/>
  <c r="U35" i="1"/>
  <c r="T35" i="1"/>
  <c r="AJ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B34" i="1" s="1"/>
  <c r="T34" i="1"/>
  <c r="AI34" i="1" s="1"/>
  <c r="AJ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B33" i="1" s="1"/>
  <c r="T33" i="1"/>
  <c r="AI33" i="1" s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B32" i="1" s="1"/>
  <c r="U32" i="1"/>
  <c r="T32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B31" i="1" s="1"/>
  <c r="W31" i="1"/>
  <c r="V31" i="1"/>
  <c r="U31" i="1"/>
  <c r="T31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B30" i="1" s="1"/>
  <c r="T30" i="1"/>
  <c r="AJ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B29" i="1" s="1"/>
  <c r="T29" i="1"/>
  <c r="AI29" i="1" s="1"/>
  <c r="AJ28" i="1"/>
  <c r="AI28" i="1"/>
  <c r="AH28" i="1"/>
  <c r="AG28" i="1"/>
  <c r="AF28" i="1"/>
  <c r="AE28" i="1"/>
  <c r="AD28" i="1"/>
  <c r="B28" i="1" s="1"/>
  <c r="AC28" i="1"/>
  <c r="AB28" i="1"/>
  <c r="AA28" i="1"/>
  <c r="Z28" i="1"/>
  <c r="Y28" i="1"/>
  <c r="X28" i="1"/>
  <c r="W28" i="1"/>
  <c r="V28" i="1"/>
  <c r="U28" i="1"/>
  <c r="T28" i="1"/>
  <c r="AJ27" i="1"/>
  <c r="AI27" i="1"/>
  <c r="AH27" i="1"/>
  <c r="AG27" i="1"/>
  <c r="AF27" i="1"/>
  <c r="B27" i="1" s="1"/>
  <c r="AE27" i="1"/>
  <c r="AD27" i="1"/>
  <c r="AC27" i="1"/>
  <c r="AB27" i="1"/>
  <c r="AA27" i="1"/>
  <c r="Z27" i="1"/>
  <c r="Y27" i="1"/>
  <c r="X27" i="1"/>
  <c r="W27" i="1"/>
  <c r="V27" i="1"/>
  <c r="U27" i="1"/>
  <c r="T27" i="1"/>
  <c r="AJ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B26" i="1" s="1"/>
  <c r="T26" i="1"/>
  <c r="AI26" i="1" s="1"/>
  <c r="AJ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B25" i="1" s="1"/>
  <c r="T25" i="1"/>
  <c r="AI25" i="1" s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B24" i="1" s="1"/>
  <c r="U24" i="1"/>
  <c r="T24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B23" i="1" s="1"/>
  <c r="W23" i="1"/>
  <c r="V23" i="1"/>
  <c r="U23" i="1"/>
  <c r="T23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B22" i="1" s="1"/>
  <c r="T22" i="1"/>
  <c r="AJ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B21" i="1" s="1"/>
  <c r="T21" i="1"/>
  <c r="AI21" i="1" s="1"/>
  <c r="AJ20" i="1"/>
  <c r="AI20" i="1"/>
  <c r="AH20" i="1"/>
  <c r="AG20" i="1"/>
  <c r="AF20" i="1"/>
  <c r="AE20" i="1"/>
  <c r="AD20" i="1"/>
  <c r="B20" i="1" s="1"/>
  <c r="AC20" i="1"/>
  <c r="AB20" i="1"/>
  <c r="AA20" i="1"/>
  <c r="Z20" i="1"/>
  <c r="Y20" i="1"/>
  <c r="X20" i="1"/>
  <c r="W20" i="1"/>
  <c r="V20" i="1"/>
  <c r="U20" i="1"/>
  <c r="T20" i="1"/>
  <c r="AJ19" i="1"/>
  <c r="AI19" i="1"/>
  <c r="AH19" i="1"/>
  <c r="AG19" i="1"/>
  <c r="AF19" i="1"/>
  <c r="B19" i="1" s="1"/>
  <c r="AE19" i="1"/>
  <c r="AD19" i="1"/>
  <c r="AC19" i="1"/>
  <c r="AB19" i="1"/>
  <c r="AA19" i="1"/>
  <c r="Z19" i="1"/>
  <c r="Y19" i="1"/>
  <c r="X19" i="1"/>
  <c r="W19" i="1"/>
  <c r="V19" i="1"/>
  <c r="U19" i="1"/>
  <c r="T19" i="1"/>
  <c r="AJ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B18" i="1" s="1"/>
  <c r="T18" i="1"/>
  <c r="AI18" i="1" s="1"/>
  <c r="AJ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B17" i="1" s="1"/>
  <c r="T17" i="1"/>
  <c r="AI17" i="1" s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B16" i="1" s="1"/>
  <c r="U16" i="1"/>
  <c r="T16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B15" i="1" s="1"/>
  <c r="W15" i="1"/>
  <c r="V15" i="1"/>
  <c r="U15" i="1"/>
  <c r="T15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B14" i="1" s="1"/>
  <c r="T14" i="1"/>
  <c r="AJ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B13" i="1" s="1"/>
  <c r="T13" i="1"/>
  <c r="AI13" i="1" s="1"/>
  <c r="AJ12" i="1"/>
  <c r="AI12" i="1"/>
  <c r="AH12" i="1"/>
  <c r="AG12" i="1"/>
  <c r="AF12" i="1"/>
  <c r="AE12" i="1"/>
  <c r="AD12" i="1"/>
  <c r="B12" i="1" s="1"/>
  <c r="AC12" i="1"/>
  <c r="AB12" i="1"/>
  <c r="AA12" i="1"/>
  <c r="Z12" i="1"/>
  <c r="Y12" i="1"/>
  <c r="X12" i="1"/>
  <c r="W12" i="1"/>
  <c r="V12" i="1"/>
  <c r="U12" i="1"/>
  <c r="T12" i="1"/>
  <c r="AJ11" i="1"/>
  <c r="AI11" i="1"/>
  <c r="AH11" i="1"/>
  <c r="AG11" i="1"/>
  <c r="AF11" i="1"/>
  <c r="B11" i="1" s="1"/>
  <c r="AE11" i="1"/>
  <c r="AD11" i="1"/>
  <c r="AC11" i="1"/>
  <c r="AB11" i="1"/>
  <c r="AA11" i="1"/>
  <c r="Z11" i="1"/>
  <c r="Y11" i="1"/>
  <c r="X11" i="1"/>
  <c r="W11" i="1"/>
  <c r="V11" i="1"/>
  <c r="U11" i="1"/>
  <c r="T11" i="1"/>
  <c r="AJ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B10" i="1" s="1"/>
  <c r="T10" i="1"/>
  <c r="AI10" i="1" s="1"/>
  <c r="AJ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B9" i="1" s="1"/>
  <c r="T9" i="1"/>
  <c r="AI9" i="1" s="1"/>
  <c r="AG8" i="1"/>
  <c r="AF8" i="1"/>
  <c r="AE8" i="1"/>
  <c r="AB8" i="1"/>
  <c r="Z8" i="1"/>
  <c r="Y8" i="1"/>
  <c r="W8" i="1"/>
  <c r="V8" i="1"/>
  <c r="S8" i="1"/>
  <c r="AH8" i="1" s="1"/>
  <c r="R8" i="1"/>
  <c r="Q8" i="1"/>
  <c r="P8" i="1"/>
  <c r="O8" i="1"/>
  <c r="AD8" i="1" s="1"/>
  <c r="N8" i="1"/>
  <c r="AC8" i="1" s="1"/>
  <c r="M8" i="1"/>
  <c r="L8" i="1"/>
  <c r="AA8" i="1" s="1"/>
  <c r="K8" i="1"/>
  <c r="J8" i="1"/>
  <c r="I8" i="1"/>
  <c r="X8" i="1" s="1"/>
  <c r="H8" i="1"/>
  <c r="G8" i="1"/>
  <c r="F8" i="1"/>
  <c r="U8" i="1" s="1"/>
  <c r="B122" i="1" l="1"/>
  <c r="B123" i="1"/>
  <c r="B145" i="1"/>
  <c r="B165" i="1"/>
  <c r="B218" i="1"/>
  <c r="B219" i="1"/>
  <c r="B245" i="1"/>
  <c r="B316" i="1"/>
  <c r="B317" i="1"/>
  <c r="B124" i="1"/>
  <c r="B125" i="1"/>
  <c r="B148" i="1"/>
  <c r="B149" i="1"/>
  <c r="B220" i="1"/>
  <c r="B6" i="6"/>
  <c r="B98" i="1"/>
  <c r="B31" i="5"/>
  <c r="B77" i="1"/>
  <c r="B6" i="1" s="1"/>
  <c r="B172" i="1"/>
  <c r="B174" i="1"/>
  <c r="B196" i="1"/>
  <c r="B198" i="1"/>
  <c r="B221" i="1"/>
  <c r="B252" i="1"/>
  <c r="B254" i="1"/>
  <c r="B275" i="1"/>
  <c r="B297" i="1"/>
  <c r="B26" i="3"/>
  <c r="B12" i="2"/>
  <c r="B6" i="2" s="1"/>
  <c r="B13" i="2"/>
  <c r="B82" i="1"/>
  <c r="B132" i="1"/>
  <c r="B134" i="1"/>
  <c r="B154" i="1"/>
  <c r="B173" i="1"/>
  <c r="B197" i="1"/>
  <c r="B226" i="1"/>
  <c r="B253" i="1"/>
  <c r="B273" i="1"/>
  <c r="B302" i="1"/>
  <c r="B28" i="2"/>
  <c r="B29" i="2"/>
  <c r="B36" i="5"/>
  <c r="B81" i="1"/>
  <c r="B230" i="1"/>
  <c r="B10" i="2"/>
  <c r="B20" i="2"/>
  <c r="B24" i="2"/>
  <c r="B34" i="2"/>
  <c r="B41" i="2"/>
  <c r="B44" i="2"/>
  <c r="B45" i="2"/>
  <c r="B86" i="1"/>
  <c r="B203" i="1"/>
  <c r="B37" i="2"/>
  <c r="B54" i="2"/>
  <c r="B105" i="1"/>
  <c r="B106" i="1"/>
  <c r="B206" i="1"/>
  <c r="B69" i="2"/>
  <c r="B70" i="2"/>
  <c r="B35" i="5"/>
  <c r="B108" i="1"/>
  <c r="B109" i="1"/>
  <c r="B110" i="1"/>
  <c r="B111" i="1"/>
  <c r="B138" i="1"/>
  <c r="B139" i="1"/>
  <c r="B157" i="1"/>
  <c r="B177" i="1"/>
  <c r="B182" i="1"/>
  <c r="B201" i="1"/>
  <c r="B234" i="1"/>
  <c r="B235" i="1"/>
  <c r="B257" i="1"/>
  <c r="B262" i="1"/>
  <c r="B286" i="1"/>
  <c r="B305" i="1"/>
  <c r="B306" i="1"/>
  <c r="B52" i="2"/>
  <c r="B58" i="2"/>
  <c r="B68" i="2"/>
  <c r="B72" i="2"/>
  <c r="B81" i="2"/>
  <c r="B84" i="2"/>
  <c r="B85" i="2"/>
  <c r="B86" i="2"/>
  <c r="B89" i="2"/>
  <c r="B92" i="2"/>
  <c r="B93" i="2"/>
  <c r="B16" i="3"/>
  <c r="B32" i="3"/>
  <c r="B12" i="5"/>
  <c r="B13" i="5"/>
  <c r="B7" i="5" s="1"/>
  <c r="B236" i="1"/>
  <c r="B281" i="1"/>
  <c r="B307" i="1"/>
  <c r="B71" i="2"/>
  <c r="B88" i="2"/>
  <c r="B97" i="2"/>
  <c r="B101" i="2"/>
  <c r="B102" i="2"/>
  <c r="B105" i="2"/>
  <c r="B108" i="2"/>
  <c r="B109" i="2"/>
  <c r="B11" i="3"/>
  <c r="B6" i="3" s="1"/>
  <c r="B27" i="3"/>
  <c r="B14" i="5"/>
  <c r="B90" i="1"/>
  <c r="B91" i="1"/>
  <c r="B141" i="1"/>
  <c r="B162" i="1"/>
  <c r="B233" i="1"/>
  <c r="B309" i="1"/>
  <c r="B122" i="2"/>
  <c r="B89" i="1"/>
  <c r="B113" i="1"/>
  <c r="B114" i="1"/>
  <c r="B115" i="1"/>
  <c r="B163" i="1"/>
  <c r="B210" i="1"/>
  <c r="B211" i="1"/>
  <c r="B35" i="2"/>
  <c r="B66" i="2"/>
  <c r="B82" i="2"/>
  <c r="B103" i="2"/>
  <c r="B120" i="2"/>
  <c r="B132" i="2"/>
  <c r="B133" i="2"/>
  <c r="B134" i="2"/>
  <c r="B137" i="2"/>
  <c r="B138" i="2"/>
  <c r="B140" i="2"/>
  <c r="B11" i="5"/>
  <c r="B93" i="1"/>
  <c r="B94" i="1"/>
  <c r="B116" i="1"/>
  <c r="B117" i="1"/>
  <c r="B118" i="1"/>
  <c r="B161" i="1"/>
  <c r="B186" i="1"/>
  <c r="B187" i="1"/>
  <c r="B212" i="1"/>
  <c r="B214" i="1"/>
  <c r="B242" i="1"/>
  <c r="B243" i="1"/>
  <c r="B265" i="1"/>
  <c r="B266" i="1"/>
  <c r="B290" i="1"/>
  <c r="B291" i="1"/>
  <c r="B51" i="2"/>
  <c r="B98" i="2"/>
  <c r="B119" i="2"/>
  <c r="B136" i="2"/>
  <c r="B145" i="2"/>
  <c r="B148" i="2"/>
  <c r="B149" i="2"/>
  <c r="B150" i="2"/>
  <c r="B153" i="2"/>
  <c r="B154" i="2"/>
  <c r="B156" i="2"/>
  <c r="B157" i="2"/>
  <c r="B20" i="3"/>
  <c r="B36" i="3"/>
  <c r="B20" i="5"/>
  <c r="B21" i="5"/>
  <c r="B164" i="1"/>
  <c r="B166" i="1"/>
  <c r="B188" i="1"/>
  <c r="B189" i="1"/>
  <c r="B190" i="1"/>
  <c r="B209" i="1"/>
  <c r="B244" i="1"/>
  <c r="B246" i="1"/>
  <c r="B267" i="1"/>
  <c r="B67" i="2"/>
  <c r="B114" i="2"/>
  <c r="B135" i="2"/>
  <c r="B152" i="2"/>
  <c r="B161" i="2"/>
  <c r="B164" i="2"/>
  <c r="B165" i="2"/>
  <c r="B166" i="2"/>
  <c r="B169" i="2"/>
  <c r="B170" i="2"/>
  <c r="B172" i="2"/>
  <c r="B173" i="2"/>
  <c r="B22" i="5"/>
  <c r="B23" i="5"/>
  <c r="B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ID#AAAA1YvJiJA
MT Teh    (2023-07-19 19:05:25)
This is qMIDS Index calculated using my algorithm for malignancy: &lt;4 (normal), &gt;4 Cancer</t>
        </r>
      </text>
    </comment>
    <comment ref="D8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ID#AAAA1YvJiI4
MT Teh    (2023-07-19 19:05:25)
value is inversely proproptional the quality of the data for each sample, ie higher the value, poorer the quality</t>
        </r>
      </text>
    </comment>
    <comment ref="AJ8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ID#AAAA1YvJiJE
tc={69501C04-5CB1-480E-AA1D-DAB1FDA215CE}    (2023-07-19 19:05:25)
[Threaded comment]
Your version of Excel allows you to read this threaded comment; however, any edits to it will get removed if the file is opened in a newer version of Excel. Learn more: https://go.microsoft.com/fwlink/?linkid=870924
Comment:
    Correction factor based on Quality of data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Z1bo6JNFLudIst7gRx+MxjfFgE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500-000001000000}">
      <text>
        <r>
          <rPr>
            <sz val="11"/>
            <color theme="1"/>
            <rFont val="Calibri"/>
            <scheme val="minor"/>
          </rPr>
          <t>======
ID#AAAA1YvJiJM
MT Teh    (2023-07-19 19:05:25)
This is qMIDS Index calculated using my algorithm for malignancy: &lt;4 (normal), &gt;4 Cancer</t>
        </r>
      </text>
    </comment>
    <comment ref="D8" authorId="0" shapeId="0" xr:uid="{00000000-0006-0000-0500-000002000000}">
      <text>
        <r>
          <rPr>
            <sz val="11"/>
            <color theme="1"/>
            <rFont val="Calibri"/>
            <scheme val="minor"/>
          </rPr>
          <t>======
ID#AAAA1YvJiJI
MT Teh    (2023-07-19 19:05:25)
value is inversely proproptional the quality of the data for each sample, ie higher the value, poorer the quality</t>
        </r>
      </text>
    </comment>
    <comment ref="AJ8" authorId="0" shapeId="0" xr:uid="{00000000-0006-0000-0500-000003000000}">
      <text>
        <r>
          <rPr>
            <sz val="11"/>
            <color theme="1"/>
            <rFont val="Calibri"/>
            <scheme val="minor"/>
          </rPr>
          <t>======
ID#AAAA1YvJiI8
tc={3B90B3DF-B2D7-46CC-8E8B-9AC0F7B7676D}    (2023-07-19 19:05:25)
[Threaded comment]
Your version of Excel allows you to read this threaded comment; however, any edits to it will get removed if the file is opened in a newer version of Excel. Learn more: https://go.microsoft.com/fwlink/?linkid=870924
Comment:
    Correction factor based on Quality of data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5qb6loD4L1u3HnLDP8wQ6wD14RQ=="/>
    </ext>
  </extLst>
</comments>
</file>

<file path=xl/sharedStrings.xml><?xml version="1.0" encoding="utf-8"?>
<sst xmlns="http://schemas.openxmlformats.org/spreadsheetml/2006/main" count="409" uniqueCount="256">
  <si>
    <t>UK HNSCC (n=309)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</si>
  <si>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</si>
  <si>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</si>
  <si>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</si>
  <si>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</si>
  <si>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</si>
  <si>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</si>
  <si>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</si>
  <si>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</si>
  <si>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</si>
  <si>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</si>
  <si>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</si>
  <si>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</si>
  <si>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</si>
  <si>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</si>
  <si>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HOXA7</t>
  </si>
  <si>
    <t>CENPA</t>
  </si>
  <si>
    <t>NEK2</t>
  </si>
  <si>
    <t>DNMT1</t>
  </si>
  <si>
    <t>INHBA</t>
  </si>
  <si>
    <t>FOXB</t>
  </si>
  <si>
    <t>TOP2A</t>
  </si>
  <si>
    <t>BIRC5</t>
  </si>
  <si>
    <t>MMP13</t>
  </si>
  <si>
    <t>CXCL8</t>
  </si>
  <si>
    <t>NR3C1</t>
  </si>
  <si>
    <t>IVL</t>
  </si>
  <si>
    <t>CBX7</t>
  </si>
  <si>
    <t>S100A16</t>
  </si>
  <si>
    <t>Anchor</t>
  </si>
  <si>
    <t>Max</t>
  </si>
  <si>
    <t>Data Normalised to Anchor (with built-in separation of data based on cut-off 4)</t>
  </si>
  <si>
    <t>qV2</t>
  </si>
  <si>
    <t>Normal or Cancer</t>
  </si>
  <si>
    <t>Quality</t>
  </si>
  <si>
    <t>Sample</t>
  </si>
  <si>
    <t>R Correction</t>
  </si>
  <si>
    <t>DA-AG3</t>
  </si>
  <si>
    <t>DA-JE4</t>
  </si>
  <si>
    <t>ENK-M</t>
  </si>
  <si>
    <t>IR-M</t>
  </si>
  <si>
    <t>JH-M</t>
  </si>
  <si>
    <t>KY-M</t>
  </si>
  <si>
    <t>LH-M</t>
  </si>
  <si>
    <t>MP-M</t>
  </si>
  <si>
    <t>NG</t>
  </si>
  <si>
    <t>NK-M</t>
  </si>
  <si>
    <t>NOM</t>
  </si>
  <si>
    <t>NOM403</t>
  </si>
  <si>
    <t>NOMe</t>
  </si>
  <si>
    <t>NOMn</t>
  </si>
  <si>
    <t>NPG</t>
  </si>
  <si>
    <t>RB-M</t>
  </si>
  <si>
    <t>RM-M</t>
  </si>
  <si>
    <t>SHR-M</t>
  </si>
  <si>
    <t>GG-C</t>
  </si>
  <si>
    <t>JH-C</t>
  </si>
  <si>
    <t>LH-C</t>
  </si>
  <si>
    <t>MB-C</t>
  </si>
  <si>
    <t>MP-C</t>
  </si>
  <si>
    <t>OPMD</t>
  </si>
  <si>
    <t>PSCC</t>
  </si>
  <si>
    <t>RM-C</t>
  </si>
  <si>
    <t>S1-10</t>
  </si>
  <si>
    <t>SC-C</t>
  </si>
  <si>
    <t>SHR-C</t>
  </si>
  <si>
    <t>SP</t>
  </si>
  <si>
    <t>Indian HNSCC (KGMU) (n=48)</t>
  </si>
  <si>
    <t>HOXA7*</t>
  </si>
  <si>
    <t>DNMT1*</t>
  </si>
  <si>
    <t>FOXM1</t>
  </si>
  <si>
    <t>TOP2A*</t>
  </si>
  <si>
    <t>BIRC5*</t>
  </si>
  <si>
    <t>MMP13*</t>
  </si>
  <si>
    <t>IL8</t>
  </si>
  <si>
    <t>CBX7*</t>
  </si>
  <si>
    <t>This cohort consists of n=23 normal and n=25 HNSCC samples; total of n=48 samples</t>
  </si>
  <si>
    <t>Type</t>
  </si>
  <si>
    <t>Correction</t>
  </si>
  <si>
    <t>NOM01</t>
  </si>
  <si>
    <t>NOM02</t>
  </si>
  <si>
    <t>NOM03</t>
  </si>
  <si>
    <t>NOM04</t>
  </si>
  <si>
    <t>NOM05</t>
  </si>
  <si>
    <t>NOM06</t>
  </si>
  <si>
    <t>NOM07</t>
  </si>
  <si>
    <t>NOM08</t>
  </si>
  <si>
    <t>NOM09</t>
  </si>
  <si>
    <t>NOM10</t>
  </si>
  <si>
    <t>NOM11</t>
  </si>
  <si>
    <t>NOM12</t>
  </si>
  <si>
    <t>NOM13</t>
  </si>
  <si>
    <t>NOM14</t>
  </si>
  <si>
    <t>NOM15</t>
  </si>
  <si>
    <t>NOM16</t>
  </si>
  <si>
    <t>NOM17</t>
  </si>
  <si>
    <t>NOM18</t>
  </si>
  <si>
    <t>NOM19</t>
  </si>
  <si>
    <t>NOM20</t>
  </si>
  <si>
    <t>NOM21</t>
  </si>
  <si>
    <t>NOM22</t>
  </si>
  <si>
    <t>NOM23</t>
  </si>
  <si>
    <t>OC01</t>
  </si>
  <si>
    <t>OC02</t>
  </si>
  <si>
    <t>OC03</t>
  </si>
  <si>
    <t>OC04</t>
  </si>
  <si>
    <t>OC05</t>
  </si>
  <si>
    <t>OC06</t>
  </si>
  <si>
    <t>OC07</t>
  </si>
  <si>
    <t>OC08</t>
  </si>
  <si>
    <t>OC09</t>
  </si>
  <si>
    <t>OC10</t>
  </si>
  <si>
    <t>OC11</t>
  </si>
  <si>
    <t>OC12</t>
  </si>
  <si>
    <t>OC13</t>
  </si>
  <si>
    <t>OC14</t>
  </si>
  <si>
    <t>OC15</t>
  </si>
  <si>
    <t>OC16</t>
  </si>
  <si>
    <t>OC17</t>
  </si>
  <si>
    <t>OC18</t>
  </si>
  <si>
    <t>OC19</t>
  </si>
  <si>
    <t>OC20</t>
  </si>
  <si>
    <t>OC21</t>
  </si>
  <si>
    <t>OC22</t>
  </si>
  <si>
    <t>OC23</t>
  </si>
  <si>
    <t>OC24</t>
  </si>
  <si>
    <t>OC25</t>
  </si>
  <si>
    <t>Indian HNSCC (MU) (n=33)</t>
  </si>
  <si>
    <t>This cohort consists of n=11 normal and n=22 HNSCC samples; Total of n=33</t>
  </si>
  <si>
    <t>original</t>
  </si>
  <si>
    <t>q(II)</t>
  </si>
  <si>
    <t>R</t>
  </si>
  <si>
    <t>N1</t>
  </si>
  <si>
    <t>N10</t>
  </si>
  <si>
    <t>N11</t>
  </si>
  <si>
    <t>N12</t>
  </si>
  <si>
    <t>N2</t>
  </si>
  <si>
    <t>N3</t>
  </si>
  <si>
    <t>N4</t>
  </si>
  <si>
    <t>N5</t>
  </si>
  <si>
    <t>N7</t>
  </si>
  <si>
    <t>N8</t>
  </si>
  <si>
    <t>N9</t>
  </si>
  <si>
    <t>EISCC1</t>
  </si>
  <si>
    <t>EISCC10</t>
  </si>
  <si>
    <t>EISCC11</t>
  </si>
  <si>
    <t>EISCC2</t>
  </si>
  <si>
    <t>EISCC3</t>
  </si>
  <si>
    <t>EISCC4</t>
  </si>
  <si>
    <t>EISCC5</t>
  </si>
  <si>
    <t>EISCC6</t>
  </si>
  <si>
    <t>EISCC7</t>
  </si>
  <si>
    <t>EISCC8</t>
  </si>
  <si>
    <t>EISCC9</t>
  </si>
  <si>
    <t>C1</t>
  </si>
  <si>
    <t>C10</t>
  </si>
  <si>
    <t>C11</t>
  </si>
  <si>
    <t>C12</t>
  </si>
  <si>
    <t>C2</t>
  </si>
  <si>
    <t>C3</t>
  </si>
  <si>
    <t>C5</t>
  </si>
  <si>
    <t>C6</t>
  </si>
  <si>
    <t>C7</t>
  </si>
  <si>
    <t>C9</t>
  </si>
  <si>
    <t>C-ALL</t>
  </si>
  <si>
    <t>China HNSCC (n=35)</t>
  </si>
  <si>
    <t>This cohort consists of  n=11 normal and n=24 HNSCC. Total of n=35 samples</t>
  </si>
  <si>
    <t>Anchore</t>
  </si>
  <si>
    <t>Reference Gene</t>
  </si>
  <si>
    <t>N6</t>
  </si>
  <si>
    <t>NA</t>
  </si>
  <si>
    <t>C107</t>
  </si>
  <si>
    <t>C119</t>
  </si>
  <si>
    <t>C13</t>
  </si>
  <si>
    <t>C138</t>
  </si>
  <si>
    <t>C22</t>
  </si>
  <si>
    <t>C23</t>
  </si>
  <si>
    <t>C30</t>
  </si>
  <si>
    <t>C33</t>
  </si>
  <si>
    <t>C34</t>
  </si>
  <si>
    <t>C36</t>
  </si>
  <si>
    <t>C52</t>
  </si>
  <si>
    <t>C55</t>
  </si>
  <si>
    <t>C58</t>
  </si>
  <si>
    <t>C60</t>
  </si>
  <si>
    <t>C61</t>
  </si>
  <si>
    <t>C67</t>
  </si>
  <si>
    <t>C68</t>
  </si>
  <si>
    <t>C73</t>
  </si>
  <si>
    <t>C74</t>
  </si>
  <si>
    <t>C75</t>
  </si>
  <si>
    <t>LDJ</t>
  </si>
  <si>
    <t>China NPSCC (n=62) - unpublished data</t>
  </si>
  <si>
    <t>This cohort consists of n=18 normal and n=44 NPSCC samples; total of n=62</t>
  </si>
  <si>
    <t>NP038</t>
  </si>
  <si>
    <t>NP061</t>
  </si>
  <si>
    <t>NP071</t>
  </si>
  <si>
    <t>NP084</t>
  </si>
  <si>
    <t>NP096</t>
  </si>
  <si>
    <t>NP097</t>
  </si>
  <si>
    <t>NP112</t>
  </si>
  <si>
    <t>NP117</t>
  </si>
  <si>
    <t>NP119</t>
  </si>
  <si>
    <t>NP135</t>
  </si>
  <si>
    <t>NP138</t>
  </si>
  <si>
    <t>NP147</t>
  </si>
  <si>
    <t>NP148</t>
  </si>
  <si>
    <t>NP156</t>
  </si>
  <si>
    <t>NP161</t>
  </si>
  <si>
    <t>NP178</t>
  </si>
  <si>
    <t>NP179</t>
  </si>
  <si>
    <t>NP192</t>
  </si>
  <si>
    <t>NP016</t>
  </si>
  <si>
    <t>NP020</t>
  </si>
  <si>
    <t>NP021</t>
  </si>
  <si>
    <t>NP027</t>
  </si>
  <si>
    <t>NP028</t>
  </si>
  <si>
    <t>NP030</t>
  </si>
  <si>
    <t>NP032</t>
  </si>
  <si>
    <t>NP041</t>
  </si>
  <si>
    <t>NP056</t>
  </si>
  <si>
    <t>NP059</t>
  </si>
  <si>
    <t>NP065</t>
  </si>
  <si>
    <t>NP066</t>
  </si>
  <si>
    <t>NP070</t>
  </si>
  <si>
    <t>NP081</t>
  </si>
  <si>
    <t>NP090</t>
  </si>
  <si>
    <t>NP092</t>
  </si>
  <si>
    <t>NP099</t>
  </si>
  <si>
    <t>NP107</t>
  </si>
  <si>
    <t>NP109</t>
  </si>
  <si>
    <t>NP115</t>
  </si>
  <si>
    <t>NP137</t>
  </si>
  <si>
    <t>NP145</t>
  </si>
  <si>
    <t>NP149</t>
  </si>
  <si>
    <t>NP150</t>
  </si>
  <si>
    <t>NP154</t>
  </si>
  <si>
    <t>NP158</t>
  </si>
  <si>
    <t>NP160</t>
  </si>
  <si>
    <t>NP166</t>
  </si>
  <si>
    <t>NP172</t>
  </si>
  <si>
    <t>NP174</t>
  </si>
  <si>
    <t>NP175</t>
  </si>
  <si>
    <t>NP176</t>
  </si>
  <si>
    <t>NP177</t>
  </si>
  <si>
    <t>NP183</t>
  </si>
  <si>
    <t>NP184</t>
  </si>
  <si>
    <t>NP194</t>
  </si>
  <si>
    <t>NP255</t>
  </si>
  <si>
    <t>NP256</t>
  </si>
  <si>
    <t>NP257</t>
  </si>
  <si>
    <t>NP284</t>
  </si>
  <si>
    <t>NP313</t>
  </si>
  <si>
    <t>NP382</t>
  </si>
  <si>
    <t>NP388</t>
  </si>
  <si>
    <t>NP410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</si>
</sst>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E+00"/>
    <numFmt numFmtId="166" formatCode="0.000"/>
    <numFmt numFmtId="167" formatCode="0.0000"/>
    <numFmt numFmtId="168" formatCode="_-* #,##0_-;\-* #,##0_-;_-* &quot;-&quot;??_-;_-@"/>
    <numFmt numFmtId="169" formatCode="0.0E+00"/>
  </numFmts>
  <fonts count="25" x14ac:knownFonts="1">
    <font>
      <sz val="11"/>
      <color theme="1"/>
      <name val="Calibri"/>
      <scheme val="minor"/>
    </font>
    <font>
      <b/>
      <sz val="20"/>
      <color theme="1"/>
      <name val="Calibri"/>
    </font>
    <font>
      <sz val="6"/>
      <color theme="1"/>
      <name val="Arial Narrow"/>
    </font>
    <font>
      <sz val="11"/>
      <color theme="1"/>
      <name val="Calibri"/>
    </font>
    <font>
      <sz val="6"/>
      <color rgb="FFFF0000"/>
      <name val="Arial Narrow"/>
    </font>
    <font>
      <sz val="6"/>
      <color theme="0"/>
      <name val="Arial Narrow"/>
    </font>
    <font>
      <b/>
      <sz val="6"/>
      <color theme="1"/>
      <name val="Arial Narrow"/>
    </font>
    <font>
      <b/>
      <sz val="6"/>
      <color rgb="FFFF0000"/>
      <name val="Arial Narrow"/>
    </font>
    <font>
      <b/>
      <sz val="6"/>
      <color rgb="FF00B050"/>
      <name val="Arial Narrow"/>
    </font>
    <font>
      <sz val="11"/>
      <name val="Calibri"/>
    </font>
    <font>
      <sz val="8"/>
      <color theme="1"/>
      <name val="Calibri"/>
    </font>
    <font>
      <sz val="7"/>
      <color theme="1"/>
      <name val="Arial Narrow"/>
    </font>
    <font>
      <sz val="6"/>
      <color theme="1"/>
      <name val="Calibri"/>
    </font>
    <font>
      <b/>
      <sz val="24"/>
      <color theme="1"/>
      <name val="Arial"/>
    </font>
    <font>
      <sz val="8"/>
      <color theme="1"/>
      <name val="Arial Narrow"/>
    </font>
    <font>
      <sz val="5"/>
      <color theme="1"/>
      <name val="Arial"/>
    </font>
    <font>
      <sz val="6"/>
      <color theme="1"/>
      <name val="Arial"/>
    </font>
    <font>
      <sz val="6"/>
      <color rgb="FF00B050"/>
      <name val="Arial Narrow"/>
    </font>
    <font>
      <sz val="7"/>
      <color theme="0"/>
      <name val="Arial"/>
    </font>
    <font>
      <sz val="7"/>
      <color theme="0"/>
      <name val="Arial Narrow"/>
    </font>
    <font>
      <sz val="7"/>
      <color theme="1"/>
      <name val="Calibri"/>
    </font>
    <font>
      <sz val="8"/>
      <color theme="1"/>
      <name val="Arial"/>
    </font>
    <font>
      <sz val="7"/>
      <color theme="1"/>
      <name val="Arial"/>
    </font>
    <font>
      <b/>
      <sz val="6"/>
      <color rgb="FFFF0000"/>
      <name val="&quot;Arial Narrow&quot;"/>
    </font>
    <font>
      <b/>
      <sz val="6"/>
      <color rgb="FF00B050"/>
      <name val="&quot;Arial Narrow&quot;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center"/>
    </xf>
    <xf numFmtId="1" fontId="3" fillId="0" borderId="0" xfId="0" applyNumberFormat="1" applyFont="1"/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0" fillId="0" borderId="0" xfId="0" applyFont="1"/>
    <xf numFmtId="1" fontId="5" fillId="3" borderId="4" xfId="0" applyNumberFormat="1" applyFont="1" applyFill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5" fillId="3" borderId="6" xfId="0" applyNumberFormat="1" applyFont="1" applyFill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164" fontId="13" fillId="0" borderId="0" xfId="0" applyNumberFormat="1" applyFont="1" applyAlignment="1">
      <alignment horizontal="left"/>
    </xf>
    <xf numFmtId="2" fontId="7" fillId="4" borderId="4" xfId="0" applyNumberFormat="1" applyFont="1" applyFill="1" applyBorder="1" applyAlignment="1">
      <alignment horizontal="center"/>
    </xf>
    <xf numFmtId="2" fontId="8" fillId="4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2" fontId="14" fillId="4" borderId="4" xfId="0" applyNumberFormat="1" applyFont="1" applyFill="1" applyBorder="1" applyAlignment="1">
      <alignment horizontal="left"/>
    </xf>
    <xf numFmtId="166" fontId="11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2" fontId="4" fillId="4" borderId="4" xfId="0" applyNumberFormat="1" applyFont="1" applyFill="1" applyBorder="1" applyAlignment="1">
      <alignment horizontal="center"/>
    </xf>
    <xf numFmtId="2" fontId="17" fillId="4" borderId="4" xfId="0" applyNumberFormat="1" applyFont="1" applyFill="1" applyBorder="1" applyAlignment="1">
      <alignment horizontal="center"/>
    </xf>
    <xf numFmtId="49" fontId="18" fillId="3" borderId="4" xfId="0" applyNumberFormat="1" applyFont="1" applyFill="1" applyBorder="1" applyAlignment="1">
      <alignment horizontal="center"/>
    </xf>
    <xf numFmtId="1" fontId="19" fillId="3" borderId="4" xfId="0" applyNumberFormat="1" applyFont="1" applyFill="1" applyBorder="1" applyAlignment="1">
      <alignment horizontal="center"/>
    </xf>
    <xf numFmtId="164" fontId="20" fillId="0" borderId="0" xfId="0" applyNumberFormat="1" applyFont="1" applyAlignment="1">
      <alignment horizontal="center"/>
    </xf>
    <xf numFmtId="168" fontId="21" fillId="0" borderId="0" xfId="0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49" fontId="18" fillId="3" borderId="6" xfId="0" applyNumberFormat="1" applyFont="1" applyFill="1" applyBorder="1" applyAlignment="1">
      <alignment horizontal="center"/>
    </xf>
    <xf numFmtId="2" fontId="23" fillId="4" borderId="0" xfId="0" applyNumberFormat="1" applyFont="1" applyFill="1" applyAlignment="1">
      <alignment horizontal="center"/>
    </xf>
    <xf numFmtId="2" fontId="24" fillId="4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69" fontId="2" fillId="0" borderId="0" xfId="0" applyNumberFormat="1" applyFont="1" applyAlignment="1">
      <alignment horizontal="center"/>
    </xf>
    <xf numFmtId="164" fontId="3" fillId="0" borderId="0" xfId="0" applyNumberFormat="1" applyFont="1"/>
    <xf numFmtId="1" fontId="4" fillId="3" borderId="4" xfId="0" applyNumberFormat="1" applyFont="1" applyFill="1" applyBorder="1" applyAlignment="1">
      <alignment horizontal="left"/>
    </xf>
    <xf numFmtId="1" fontId="5" fillId="3" borderId="4" xfId="0" applyNumberFormat="1" applyFont="1" applyFill="1" applyBorder="1" applyAlignment="1">
      <alignment horizontal="left"/>
    </xf>
    <xf numFmtId="1" fontId="5" fillId="3" borderId="6" xfId="0" applyNumberFormat="1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abSelected="1" zoomScale="220" zoomScaleNormal="220" workbookViewId="0">
      <pane ySplit="8" topLeftCell="A9" activePane="bottomLeft" state="frozen"/>
      <selection pane="bottomLeft" activeCell="B8" sqref="B8"/>
    </sheetView>
  </sheetViews>
  <sheetFormatPr baseColWidth="10" defaultColWidth="14.42578125" defaultRowHeight="15" customHeight="1" x14ac:dyDescent="0.25"/>
  <cols>
    <col min="1" max="1" width="3.85546875" customWidth="1"/>
    <col min="2" max="2" width="6.140625" customWidth="1"/>
    <col min="3" max="3" width="7.42578125" customWidth="1"/>
    <col min="4" max="4" width="5.85546875" customWidth="1"/>
    <col min="5" max="5" width="5.42578125" customWidth="1"/>
    <col min="6" max="35" width="3.85546875" customWidth="1"/>
    <col min="36" max="36" width="5.42578125" customWidth="1"/>
  </cols>
  <sheetData>
    <row r="1" spans="1:36" ht="24.75" customHeight="1" x14ac:dyDescent="0.4">
      <c r="A1" s="1" t="s">
        <v>0</v>
      </c>
      <c r="B1" s="2"/>
      <c r="D1" s="3"/>
    </row>
    <row r="2" spans="1:36" ht="10.5" customHeight="1" x14ac:dyDescent="0.25">
      <c r="B2" s="2"/>
      <c r="C2" s="4"/>
      <c r="D2" s="4"/>
      <c r="E2" s="4"/>
      <c r="F2" s="5" t="s">
        <v>1</v>
      </c>
      <c r="G2" s="5" t="s">
        <v>2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5" t="s">
        <v>8</v>
      </c>
      <c r="N2" s="5" t="s">
        <v>9</v>
      </c>
      <c r="O2" s="5" t="s">
        <v>10</v>
      </c>
      <c r="P2" s="5" t="s">
        <v>11</v>
      </c>
      <c r="Q2" s="5" t="s">
        <v>12</v>
      </c>
      <c r="R2" s="5" t="s">
        <v>13</v>
      </c>
      <c r="S2" s="5" t="s">
        <v>14</v>
      </c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  <c r="AJ2" s="7"/>
    </row>
    <row r="3" spans="1:36" ht="10.5" customHeight="1" x14ac:dyDescent="0.25">
      <c r="B3" s="2"/>
      <c r="C3" s="4"/>
      <c r="D3" s="4"/>
      <c r="E3" s="4"/>
      <c r="F3" s="8" t="s">
        <v>15</v>
      </c>
      <c r="G3" s="8" t="s">
        <v>16</v>
      </c>
      <c r="H3" s="8" t="s">
        <v>17</v>
      </c>
      <c r="I3" s="8" t="s">
        <v>18</v>
      </c>
      <c r="J3" s="8" t="s">
        <v>19</v>
      </c>
      <c r="K3" s="8" t="s">
        <v>20</v>
      </c>
      <c r="L3" s="8" t="s">
        <v>21</v>
      </c>
      <c r="M3" s="8" t="s">
        <v>22</v>
      </c>
      <c r="N3" s="8" t="s">
        <v>23</v>
      </c>
      <c r="O3" s="8" t="s">
        <v>24</v>
      </c>
      <c r="P3" s="8" t="s">
        <v>25</v>
      </c>
      <c r="Q3" s="8" t="s">
        <v>26</v>
      </c>
      <c r="R3" s="8" t="s">
        <v>27</v>
      </c>
      <c r="S3" s="8" t="s">
        <v>28</v>
      </c>
      <c r="T3" s="4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10"/>
      <c r="AH3" s="10"/>
      <c r="AI3" s="6"/>
      <c r="AJ3" s="7"/>
    </row>
    <row r="4" spans="1:36" ht="10.5" customHeight="1" x14ac:dyDescent="0.25">
      <c r="B4" s="2"/>
      <c r="C4" s="4"/>
      <c r="D4" s="4"/>
      <c r="E4" s="11" t="s">
        <v>29</v>
      </c>
      <c r="F4" s="5">
        <v>0.05</v>
      </c>
      <c r="G4" s="5">
        <v>0.16</v>
      </c>
      <c r="H4" s="5">
        <v>0.05</v>
      </c>
      <c r="I4" s="5">
        <v>0.4</v>
      </c>
      <c r="J4" s="5">
        <v>0.36</v>
      </c>
      <c r="K4" s="5">
        <v>1.6999999999999999E-3</v>
      </c>
      <c r="L4" s="5">
        <v>0.1</v>
      </c>
      <c r="M4" s="5">
        <v>0.19</v>
      </c>
      <c r="N4" s="5">
        <v>0.17</v>
      </c>
      <c r="O4" s="5">
        <v>3.3</v>
      </c>
      <c r="P4" s="5">
        <v>4</v>
      </c>
      <c r="Q4" s="5">
        <v>96</v>
      </c>
      <c r="R4" s="5">
        <v>11</v>
      </c>
      <c r="S4" s="5">
        <v>87</v>
      </c>
      <c r="T4" s="4"/>
      <c r="U4" s="12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13"/>
      <c r="AJ4" s="7"/>
    </row>
    <row r="5" spans="1:36" ht="10.5" customHeight="1" x14ac:dyDescent="0.25">
      <c r="B5" s="2"/>
      <c r="C5" s="4"/>
      <c r="D5" s="4"/>
      <c r="E5" s="4" t="s">
        <v>30</v>
      </c>
      <c r="F5" s="4">
        <v>2</v>
      </c>
      <c r="G5" s="4">
        <v>5</v>
      </c>
      <c r="H5" s="4">
        <v>40</v>
      </c>
      <c r="I5" s="4">
        <v>125</v>
      </c>
      <c r="J5" s="4">
        <v>1000</v>
      </c>
      <c r="K5" s="2">
        <v>1.2</v>
      </c>
      <c r="L5" s="4">
        <v>300</v>
      </c>
      <c r="M5" s="4">
        <v>30</v>
      </c>
      <c r="N5" s="4">
        <v>300</v>
      </c>
      <c r="O5" s="4">
        <v>80</v>
      </c>
      <c r="P5" s="5">
        <v>9.9999999999999995E-8</v>
      </c>
      <c r="Q5" s="4">
        <v>35000</v>
      </c>
      <c r="R5" s="4">
        <v>200</v>
      </c>
      <c r="S5" s="4">
        <v>10000</v>
      </c>
      <c r="T5" s="4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6"/>
      <c r="AJ5" s="7"/>
    </row>
    <row r="6" spans="1:36" ht="10.5" customHeight="1" x14ac:dyDescent="0.25">
      <c r="B6" s="14">
        <f>TTEST(B9:B143,B144:B317,2,2)</f>
        <v>1.5963986479191098E-70</v>
      </c>
      <c r="C6" s="4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15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6"/>
      <c r="AJ6" s="7"/>
    </row>
    <row r="7" spans="1:36" ht="10.5" customHeight="1" x14ac:dyDescent="0.25">
      <c r="B7" s="2"/>
      <c r="C7" s="4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4"/>
      <c r="U7" s="63" t="s">
        <v>31</v>
      </c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5"/>
      <c r="AI7" s="6"/>
      <c r="AJ7" s="7"/>
    </row>
    <row r="8" spans="1:36" ht="10.5" customHeight="1" x14ac:dyDescent="0.25">
      <c r="B8" s="2" t="s">
        <v>32</v>
      </c>
      <c r="C8" s="4" t="s">
        <v>33</v>
      </c>
      <c r="D8" s="4" t="s">
        <v>34</v>
      </c>
      <c r="E8" s="4" t="s">
        <v>35</v>
      </c>
      <c r="F8" s="5" t="str">
        <f t="shared" ref="F8:S8" si="0">F2</f>
        <v>a</v>
      </c>
      <c r="G8" s="5" t="str">
        <f t="shared" si="0"/>
        <v>b</v>
      </c>
      <c r="H8" s="5" t="str">
        <f t="shared" si="0"/>
        <v>c</v>
      </c>
      <c r="I8" s="5" t="str">
        <f t="shared" si="0"/>
        <v>d</v>
      </c>
      <c r="J8" s="5" t="str">
        <f t="shared" si="0"/>
        <v>e</v>
      </c>
      <c r="K8" s="5" t="str">
        <f t="shared" si="0"/>
        <v>f</v>
      </c>
      <c r="L8" s="5" t="str">
        <f t="shared" si="0"/>
        <v>g</v>
      </c>
      <c r="M8" s="5" t="str">
        <f t="shared" si="0"/>
        <v>h</v>
      </c>
      <c r="N8" s="5" t="str">
        <f t="shared" si="0"/>
        <v>i</v>
      </c>
      <c r="O8" s="5" t="str">
        <f t="shared" si="0"/>
        <v>j</v>
      </c>
      <c r="P8" s="5" t="str">
        <f t="shared" si="0"/>
        <v>k</v>
      </c>
      <c r="Q8" s="5" t="str">
        <f t="shared" si="0"/>
        <v>l</v>
      </c>
      <c r="R8" s="5" t="str">
        <f t="shared" si="0"/>
        <v>m</v>
      </c>
      <c r="S8" s="5" t="str">
        <f t="shared" si="0"/>
        <v>n</v>
      </c>
      <c r="T8" s="4" t="s">
        <v>35</v>
      </c>
      <c r="U8" s="2" t="str">
        <f t="shared" ref="U8:AH8" si="1">F8</f>
        <v>a</v>
      </c>
      <c r="V8" s="2" t="str">
        <f t="shared" si="1"/>
        <v>b</v>
      </c>
      <c r="W8" s="2" t="str">
        <f t="shared" si="1"/>
        <v>c</v>
      </c>
      <c r="X8" s="2" t="str">
        <f t="shared" si="1"/>
        <v>d</v>
      </c>
      <c r="Y8" s="2" t="str">
        <f t="shared" si="1"/>
        <v>e</v>
      </c>
      <c r="Z8" s="2" t="str">
        <f t="shared" si="1"/>
        <v>f</v>
      </c>
      <c r="AA8" s="2" t="str">
        <f t="shared" si="1"/>
        <v>g</v>
      </c>
      <c r="AB8" s="2" t="str">
        <f t="shared" si="1"/>
        <v>h</v>
      </c>
      <c r="AC8" s="2" t="str">
        <f t="shared" si="1"/>
        <v>i</v>
      </c>
      <c r="AD8" s="2" t="str">
        <f t="shared" si="1"/>
        <v>j</v>
      </c>
      <c r="AE8" s="2" t="str">
        <f t="shared" si="1"/>
        <v>k</v>
      </c>
      <c r="AF8" s="2" t="str">
        <f t="shared" si="1"/>
        <v>l</v>
      </c>
      <c r="AG8" s="2" t="str">
        <f t="shared" si="1"/>
        <v>m</v>
      </c>
      <c r="AH8" s="2" t="str">
        <f t="shared" si="1"/>
        <v>n</v>
      </c>
      <c r="AI8" s="4" t="s">
        <v>35</v>
      </c>
      <c r="AJ8" s="16" t="s">
        <v>36</v>
      </c>
    </row>
    <row r="9" spans="1:36" ht="10.5" customHeight="1" x14ac:dyDescent="0.25">
      <c r="A9" s="17">
        <v>1</v>
      </c>
      <c r="B9" s="2">
        <f t="shared" ref="B9:B263" si="2">IF(OR(SUM(F9:S9)&lt;0.1,COUNTIF(U9:AH9,"")&gt;5,SUM(F9:S9)&gt;10000),"",0.028*IF(((SUM(U9:AH9)*LOG(QUARTILE(U9:AH9,4),2)))&lt;49,ABS(((SUM(U9:AH9)*LOG(QUARTILE(U9:AH9,4),2))*AVERAGE(AVERAGE(U9:AH9),MEDIAN(U9:AH9))/9.5*6^2/AJ9)),((SUM(U9:AH9)*LOG(QUARTILE(U9:AH9,4),2))*2.6+58)))</f>
        <v>3.7037831956724485E-2</v>
      </c>
      <c r="C9" s="4">
        <v>1</v>
      </c>
      <c r="D9" s="4">
        <v>18.725074779652999</v>
      </c>
      <c r="E9" s="18">
        <v>1</v>
      </c>
      <c r="F9" s="5">
        <v>1.38E-2</v>
      </c>
      <c r="G9" s="5">
        <v>0.21484999999999999</v>
      </c>
      <c r="H9" s="5">
        <v>0.14555000000000001</v>
      </c>
      <c r="I9" s="5">
        <v>0.39355000000000001</v>
      </c>
      <c r="J9" s="5">
        <v>9.8549999999999999E-2</v>
      </c>
      <c r="K9" s="5">
        <v>0.33515</v>
      </c>
      <c r="L9" s="5">
        <v>1.01315</v>
      </c>
      <c r="M9" s="5">
        <v>0.34450000000000003</v>
      </c>
      <c r="N9" s="5">
        <v>1.0194999999999999E-2</v>
      </c>
      <c r="O9" s="5">
        <v>1.1850000000000001E-3</v>
      </c>
      <c r="P9" s="5">
        <v>8.0800000000000002E-4</v>
      </c>
      <c r="Q9" s="5">
        <v>13.254999999999999</v>
      </c>
      <c r="R9" s="5">
        <v>0.13045000000000001</v>
      </c>
      <c r="S9" s="5">
        <v>78.819999999999993</v>
      </c>
      <c r="T9" s="18">
        <f t="shared" ref="T9:T263" si="3">E9</f>
        <v>1</v>
      </c>
      <c r="U9" s="2">
        <f t="shared" ref="U9:AH9" si="4">IF(OR(F9=0,F9&lt;0.00001,F9&gt;100000),"",IF((IF(F9&gt;F$5,ABS(LOG(((F$5/SUM($F9:$S9))/(F$4/SUM($F$4:$S$4)))*4+2,2)),ABS(LOG(((F9/SUM($F9:$S9))/(F$4/SUM($F$4:$S$4)))*4+2,2)))-3)&gt;8,(IF(F9&gt;F$5,ABS(LOG(((F$5/SUM($F9:$S9))/(F$4/SUM($F$4:$S$4)))*4+2,2)),ABS(LOG(((F9/SUM($F9:$S9))/(F$4/SUM($F$4:$S$4)))*4+2,2)))-3)/7,IF(F9&gt;F$5,ABS(LOG(((F$5/SUM($F9:$S9))/(F$4/SUM($F$4:$S$4)))*4+2,2)),ABS(LOG(((F9/SUM($F9:$S9))/(F$4/SUM($F$4:$S$4)))*4+2,2)))-3))</f>
        <v>-0.87498112054515831</v>
      </c>
      <c r="V9" s="2">
        <f t="shared" si="4"/>
        <v>0.75405142252832169</v>
      </c>
      <c r="W9" s="2">
        <f t="shared" si="4"/>
        <v>1.7502410639772563</v>
      </c>
      <c r="X9" s="2">
        <f t="shared" si="4"/>
        <v>0.3813231747920458</v>
      </c>
      <c r="Y9" s="2">
        <f t="shared" si="4"/>
        <v>-0.88136390203454384</v>
      </c>
      <c r="Z9" s="2">
        <f t="shared" si="4"/>
        <v>7.7221600368598118</v>
      </c>
      <c r="AA9" s="2">
        <f t="shared" si="4"/>
        <v>3.4709974220175281</v>
      </c>
      <c r="AB9" s="2">
        <f t="shared" si="4"/>
        <v>1.1307275364251641</v>
      </c>
      <c r="AC9" s="2">
        <f t="shared" si="4"/>
        <v>-1.6704482926547528</v>
      </c>
      <c r="AD9" s="2">
        <f t="shared" si="4"/>
        <v>-1.9977848533051252</v>
      </c>
      <c r="AE9" s="2">
        <f t="shared" si="4"/>
        <v>-1.9999998456624781</v>
      </c>
      <c r="AF9" s="2">
        <f t="shared" si="4"/>
        <v>-1.3302166763850951</v>
      </c>
      <c r="AG9" s="2">
        <f t="shared" si="4"/>
        <v>-1.9285849797249168</v>
      </c>
      <c r="AH9" s="2">
        <f t="shared" si="4"/>
        <v>0.28593686559255982</v>
      </c>
      <c r="AI9" s="18">
        <f t="shared" ref="AI9:AI263" si="5">T9</f>
        <v>1</v>
      </c>
      <c r="AJ9" s="2">
        <f t="shared" ref="AJ9:AJ263" si="6">IF(D9&lt;27,1,IF(D9&lt;30,2+(D9-27)^1/10,8-((D9-30)*3000)^0.19))</f>
        <v>1</v>
      </c>
    </row>
    <row r="10" spans="1:36" ht="10.5" customHeight="1" x14ac:dyDescent="0.25">
      <c r="A10" s="17">
        <v>2</v>
      </c>
      <c r="B10" s="2">
        <f t="shared" si="2"/>
        <v>0.22027691647179448</v>
      </c>
      <c r="C10" s="4">
        <v>1</v>
      </c>
      <c r="D10" s="4">
        <v>21.0953015003373</v>
      </c>
      <c r="E10" s="18">
        <v>3</v>
      </c>
      <c r="F10" s="5">
        <v>2.615E-2</v>
      </c>
      <c r="G10" s="5">
        <v>0.30690000000000001</v>
      </c>
      <c r="H10" s="5">
        <v>0.31195000000000006</v>
      </c>
      <c r="I10" s="5">
        <v>0.61599999999999999</v>
      </c>
      <c r="J10" s="5">
        <v>0.32114999999999999</v>
      </c>
      <c r="K10" s="5">
        <v>0.64880000000000004</v>
      </c>
      <c r="L10" s="5">
        <v>1.7444999999999999</v>
      </c>
      <c r="M10" s="5">
        <v>0.67674999999999996</v>
      </c>
      <c r="N10" s="5">
        <v>4.6200000000000005E-2</v>
      </c>
      <c r="O10" s="5">
        <v>1.5795000000000003E-2</v>
      </c>
      <c r="P10" s="5">
        <v>1.6900000000000001E-3</v>
      </c>
      <c r="Q10" s="5">
        <v>13.984999999999999</v>
      </c>
      <c r="R10" s="5">
        <v>0.50270000000000004</v>
      </c>
      <c r="S10" s="5">
        <v>82.539999999999992</v>
      </c>
      <c r="T10" s="18">
        <f t="shared" si="3"/>
        <v>3</v>
      </c>
      <c r="U10" s="2">
        <f t="shared" ref="U10:AH10" si="7">IF(OR(F10=0,F10&lt;0.00001,F10&gt;100000),"",IF((IF(F10&gt;F$5,ABS(LOG(((F$5/SUM($F10:$S10))/(F$4/SUM($F$4:$S$4)))*4+2,2)),ABS(LOG(((F10/SUM($F10:$S10))/(F$4/SUM($F$4:$S$4)))*4+2,2)))-3)&gt;8,(IF(F10&gt;F$5,ABS(LOG(((F$5/SUM($F10:$S10))/(F$4/SUM($F$4:$S$4)))*4+2,2)),ABS(LOG(((F10/SUM($F10:$S10))/(F$4/SUM($F$4:$S$4)))*4+2,2)))-3)/7,IF(F10&gt;F$5,ABS(LOG(((F$5/SUM($F10:$S10))/(F$4/SUM($F$4:$S$4)))*4+2,2)),ABS(LOG(((F10/SUM($F10:$S10))/(F$4/SUM($F$4:$S$4)))*4+2,2)))-3))</f>
        <v>-0.37484771741136713</v>
      </c>
      <c r="V10" s="2">
        <f t="shared" si="7"/>
        <v>1.112016182787297</v>
      </c>
      <c r="W10" s="2">
        <f t="shared" si="7"/>
        <v>2.6931791498954931</v>
      </c>
      <c r="X10" s="2">
        <f t="shared" si="7"/>
        <v>0.83565003437162755</v>
      </c>
      <c r="Y10" s="2">
        <f t="shared" si="7"/>
        <v>0.18775580033766692</v>
      </c>
      <c r="Z10" s="2">
        <f t="shared" si="7"/>
        <v>1.2245761303511069</v>
      </c>
      <c r="AA10" s="2">
        <f t="shared" si="7"/>
        <v>4.1403303938942981</v>
      </c>
      <c r="AB10" s="2">
        <f t="shared" si="7"/>
        <v>1.9258071283153262</v>
      </c>
      <c r="AC10" s="2">
        <f t="shared" si="7"/>
        <v>-0.94113625177543714</v>
      </c>
      <c r="AD10" s="2">
        <f t="shared" si="7"/>
        <v>-1.972733992997125</v>
      </c>
      <c r="AE10" s="2">
        <f t="shared" si="7"/>
        <v>-1.9999998562306713</v>
      </c>
      <c r="AF10" s="2">
        <f t="shared" si="7"/>
        <v>-1.3394472382526057</v>
      </c>
      <c r="AG10" s="2">
        <f t="shared" si="7"/>
        <v>-1.7585670611533488</v>
      </c>
      <c r="AH10" s="2">
        <f t="shared" si="7"/>
        <v>0.25754951695989625</v>
      </c>
      <c r="AI10" s="18">
        <f t="shared" si="5"/>
        <v>3</v>
      </c>
      <c r="AJ10" s="2">
        <f t="shared" si="6"/>
        <v>1</v>
      </c>
    </row>
    <row r="11" spans="1:36" ht="10.5" customHeight="1" x14ac:dyDescent="0.25">
      <c r="A11" s="17">
        <v>3</v>
      </c>
      <c r="B11" s="2">
        <f t="shared" si="2"/>
        <v>5.4622169002667538E-2</v>
      </c>
      <c r="C11" s="4">
        <v>1</v>
      </c>
      <c r="D11" s="4">
        <v>17.484929061153402</v>
      </c>
      <c r="E11" s="18">
        <v>4</v>
      </c>
      <c r="F11" s="5">
        <v>4.7450000000000001E-3</v>
      </c>
      <c r="G11" s="5">
        <v>0.28549999999999998</v>
      </c>
      <c r="H11" s="5">
        <v>0.37434999999999996</v>
      </c>
      <c r="I11" s="5">
        <v>0.40439999999999998</v>
      </c>
      <c r="J11" s="5">
        <v>5.0100000000000006E-2</v>
      </c>
      <c r="K11" s="5">
        <v>0.22399500000000003</v>
      </c>
      <c r="L11" s="5">
        <v>1.3425</v>
      </c>
      <c r="M11" s="5">
        <v>0.33474999999999999</v>
      </c>
      <c r="N11" s="5">
        <v>7.8650000000000005E-3</v>
      </c>
      <c r="O11" s="5">
        <v>7.8399999999999997E-4</v>
      </c>
      <c r="P11" s="5">
        <v>6.3049999999999998E-4</v>
      </c>
      <c r="Q11" s="5">
        <v>24.200000000000003</v>
      </c>
      <c r="R11" s="5">
        <v>8.4100000000000008E-2</v>
      </c>
      <c r="S11" s="5">
        <v>57.34</v>
      </c>
      <c r="T11" s="18">
        <f t="shared" si="3"/>
        <v>4</v>
      </c>
      <c r="U11" s="2">
        <f t="shared" ref="U11:AH11" si="8">IF(OR(F11=0,F11&lt;0.00001,F11&gt;100000),"",IF((IF(F11&gt;F$5,ABS(LOG(((F$5/SUM($F11:$S11))/(F$4/SUM($F$4:$S$4)))*4+2,2)),ABS(LOG(((F11/SUM($F11:$S11))/(F$4/SUM($F$4:$S$4)))*4+2,2)))-3)&gt;8,(IF(F11&gt;F$5,ABS(LOG(((F$5/SUM($F11:$S11))/(F$4/SUM($F$4:$S$4)))*4+2,2)),ABS(LOG(((F11/SUM($F11:$S11))/(F$4/SUM($F$4:$S$4)))*4+2,2)))-3)/7,IF(F11&gt;F$5,ABS(LOG(((F$5/SUM($F11:$S11))/(F$4/SUM($F$4:$S$4)))*4+2,2)),ABS(LOG(((F11/SUM($F11:$S11))/(F$4/SUM($F$4:$S$4)))*4+2,2)))-3))</f>
        <v>-1.4593261351028692</v>
      </c>
      <c r="V11" s="2">
        <f t="shared" si="8"/>
        <v>1.2553006552999895</v>
      </c>
      <c r="W11" s="2">
        <f t="shared" si="8"/>
        <v>3.2043405005857393</v>
      </c>
      <c r="X11" s="2">
        <f t="shared" si="8"/>
        <v>0.54684530012035815</v>
      </c>
      <c r="Y11" s="2">
        <f t="shared" si="8"/>
        <v>-1.2629823237663198</v>
      </c>
      <c r="Z11" s="2">
        <f t="shared" si="8"/>
        <v>7.3043537166078298</v>
      </c>
      <c r="AA11" s="2">
        <f t="shared" si="8"/>
        <v>4.0293906342866821</v>
      </c>
      <c r="AB11" s="2">
        <f t="shared" si="8"/>
        <v>1.2388974893611557</v>
      </c>
      <c r="AC11" s="2">
        <f t="shared" si="8"/>
        <v>-1.7111721304724916</v>
      </c>
      <c r="AD11" s="2">
        <f t="shared" si="8"/>
        <v>-1.9983588724562922</v>
      </c>
      <c r="AE11" s="2">
        <f t="shared" si="8"/>
        <v>-1.9999998272065673</v>
      </c>
      <c r="AF11" s="2">
        <f t="shared" si="8"/>
        <v>-0.85745989908666598</v>
      </c>
      <c r="AG11" s="2">
        <f t="shared" si="8"/>
        <v>-1.9481014020199887</v>
      </c>
      <c r="AH11" s="2">
        <f t="shared" si="8"/>
        <v>5.5735909962995933E-2</v>
      </c>
      <c r="AI11" s="18">
        <f t="shared" si="5"/>
        <v>4</v>
      </c>
      <c r="AJ11" s="2">
        <f t="shared" si="6"/>
        <v>1</v>
      </c>
    </row>
    <row r="12" spans="1:36" ht="10.5" customHeight="1" x14ac:dyDescent="0.25">
      <c r="A12" s="17">
        <v>4</v>
      </c>
      <c r="B12" s="2">
        <f t="shared" si="2"/>
        <v>0.40487742928304171</v>
      </c>
      <c r="C12" s="4">
        <v>1</v>
      </c>
      <c r="D12" s="4">
        <v>21.52230230819</v>
      </c>
      <c r="E12" s="18">
        <v>5</v>
      </c>
      <c r="F12" s="5">
        <v>2.215E-2</v>
      </c>
      <c r="G12" s="5">
        <v>0.10544999999999999</v>
      </c>
      <c r="H12" s="5">
        <v>9.6200000000000008E-2</v>
      </c>
      <c r="I12" s="5">
        <v>0.50025000000000008</v>
      </c>
      <c r="J12" s="5">
        <v>0.11015</v>
      </c>
      <c r="K12" s="5">
        <v>0.28220000000000001</v>
      </c>
      <c r="L12" s="5">
        <v>0.67375000000000007</v>
      </c>
      <c r="M12" s="5">
        <v>0.22065000000000001</v>
      </c>
      <c r="N12" s="5">
        <v>7.0600000000000003E-3</v>
      </c>
      <c r="O12" s="5">
        <v>0.71934999999999993</v>
      </c>
      <c r="P12" s="5">
        <v>2.5949999999999997E-4</v>
      </c>
      <c r="Q12" s="5">
        <v>59.01</v>
      </c>
      <c r="R12" s="5">
        <v>0.12714999999999999</v>
      </c>
      <c r="S12" s="5">
        <v>133.19999999999999</v>
      </c>
      <c r="T12" s="18">
        <f t="shared" si="3"/>
        <v>5</v>
      </c>
      <c r="U12" s="2">
        <f t="shared" ref="U12:AH12" si="9">IF(OR(F12=0,F12&lt;0.00001,F12&gt;100000),"",IF((IF(F12&gt;F$5,ABS(LOG(((F$5/SUM($F12:$S12))/(F$4/SUM($F$4:$S$4)))*4+2,2)),ABS(LOG(((F12/SUM($F12:$S12))/(F$4/SUM($F$4:$S$4)))*4+2,2)))-3)&gt;8,(IF(F12&gt;F$5,ABS(LOG(((F$5/SUM($F12:$S12))/(F$4/SUM($F$4:$S$4)))*4+2,2)),ABS(LOG(((F12/SUM($F12:$S12))/(F$4/SUM($F$4:$S$4)))*4+2,2)))-3)/7,IF(F12&gt;F$5,ABS(LOG(((F$5/SUM($F12:$S12))/(F$4/SUM($F$4:$S$4)))*4+2,2)),ABS(LOG(((F12/SUM($F12:$S12))/(F$4/SUM($F$4:$S$4)))*4+2,2)))-3))</f>
        <v>-1.0581391637938582</v>
      </c>
      <c r="V12" s="2">
        <f t="shared" si="9"/>
        <v>-0.75498999932060284</v>
      </c>
      <c r="W12" s="2">
        <f t="shared" si="9"/>
        <v>0.32193623535591387</v>
      </c>
      <c r="X12" s="2">
        <f t="shared" si="9"/>
        <v>-0.15197491558799303</v>
      </c>
      <c r="Y12" s="2">
        <f t="shared" si="9"/>
        <v>-1.2897202239658896</v>
      </c>
      <c r="Z12" s="2">
        <f t="shared" si="9"/>
        <v>6.4351150728817998</v>
      </c>
      <c r="AA12" s="2">
        <f t="shared" si="9"/>
        <v>1.9075997755160579</v>
      </c>
      <c r="AB12" s="2">
        <f t="shared" si="9"/>
        <v>-0.22837004415794704</v>
      </c>
      <c r="AC12" s="2">
        <f t="shared" si="9"/>
        <v>-1.8805238403879383</v>
      </c>
      <c r="AD12" s="2">
        <f t="shared" si="9"/>
        <v>-1.460772537217607</v>
      </c>
      <c r="AE12" s="2">
        <f t="shared" si="9"/>
        <v>-1.9999999250153233</v>
      </c>
      <c r="AF12" s="2">
        <f t="shared" si="9"/>
        <v>-0.8122667032655162</v>
      </c>
      <c r="AG12" s="2">
        <f t="shared" si="9"/>
        <v>-1.9657398442396541</v>
      </c>
      <c r="AH12" s="2">
        <f t="shared" si="9"/>
        <v>6.455397451773015E-2</v>
      </c>
      <c r="AI12" s="18">
        <f t="shared" si="5"/>
        <v>5</v>
      </c>
      <c r="AJ12" s="2">
        <f t="shared" si="6"/>
        <v>1</v>
      </c>
    </row>
    <row r="13" spans="1:36" ht="10.5" customHeight="1" x14ac:dyDescent="0.25">
      <c r="A13" s="17">
        <v>5</v>
      </c>
      <c r="B13" s="2">
        <f t="shared" si="2"/>
        <v>1.7234815744687621E-2</v>
      </c>
      <c r="C13" s="4">
        <v>1</v>
      </c>
      <c r="D13" s="4">
        <v>22.505104754772901</v>
      </c>
      <c r="E13" s="18">
        <v>7</v>
      </c>
      <c r="F13" s="5">
        <v>1.635E-2</v>
      </c>
      <c r="G13" s="5">
        <v>6.2600000000000003E-2</v>
      </c>
      <c r="H13" s="5">
        <v>0.2082</v>
      </c>
      <c r="I13" s="5">
        <v>0.49830000000000002</v>
      </c>
      <c r="J13" s="5">
        <v>0.82030000000000003</v>
      </c>
      <c r="K13" s="5">
        <v>0.17119999999999999</v>
      </c>
      <c r="L13" s="5">
        <v>0.56464999999999999</v>
      </c>
      <c r="M13" s="5">
        <v>0.16649999999999998</v>
      </c>
      <c r="N13" s="5">
        <v>5.0645000000000004E-3</v>
      </c>
      <c r="O13" s="5">
        <v>0.35050000000000003</v>
      </c>
      <c r="P13" s="5">
        <v>7.7099999999999998E-4</v>
      </c>
      <c r="Q13" s="5">
        <v>24.380000000000003</v>
      </c>
      <c r="R13" s="5">
        <v>0.56810000000000005</v>
      </c>
      <c r="S13" s="5">
        <v>74.490000000000009</v>
      </c>
      <c r="T13" s="18">
        <f t="shared" si="3"/>
        <v>7</v>
      </c>
      <c r="U13" s="2">
        <f t="shared" ref="U13:AH13" si="10">IF(OR(F13=0,F13&lt;0.00001,F13&gt;100000),"",IF((IF(F13&gt;F$5,ABS(LOG(((F$5/SUM($F13:$S13))/(F$4/SUM($F$4:$S$4)))*4+2,2)),ABS(LOG(((F13/SUM($F13:$S13))/(F$4/SUM($F$4:$S$4)))*4+2,2)))-3)&gt;8,(IF(F13&gt;F$5,ABS(LOG(((F$5/SUM($F13:$S13))/(F$4/SUM($F$4:$S$4)))*4+2,2)),ABS(LOG(((F13/SUM($F13:$S13))/(F$4/SUM($F$4:$S$4)))*4+2,2)))-3)/7,IF(F13&gt;F$5,ABS(LOG(((F$5/SUM($F13:$S13))/(F$4/SUM($F$4:$S$4)))*4+2,2)),ABS(LOG(((F13/SUM($F13:$S13))/(F$4/SUM($F$4:$S$4)))*4+2,2)))-3))</f>
        <v>-0.80066150547661463</v>
      </c>
      <c r="V13" s="2">
        <f t="shared" si="10"/>
        <v>-0.64890698587732842</v>
      </c>
      <c r="W13" s="2">
        <f t="shared" si="10"/>
        <v>2.1299067345123088</v>
      </c>
      <c r="X13" s="2">
        <f t="shared" si="10"/>
        <v>0.57012120839856095</v>
      </c>
      <c r="Y13" s="2">
        <f t="shared" si="10"/>
        <v>1.3267127282915876</v>
      </c>
      <c r="Z13" s="2">
        <f t="shared" si="10"/>
        <v>6.6446988480838947</v>
      </c>
      <c r="AA13" s="2">
        <f t="shared" si="10"/>
        <v>2.5474943252192146</v>
      </c>
      <c r="AB13" s="2">
        <f t="shared" si="10"/>
        <v>0.1615734602773462</v>
      </c>
      <c r="AC13" s="2">
        <f t="shared" si="10"/>
        <v>-1.8389472261865381</v>
      </c>
      <c r="AD13" s="2">
        <f t="shared" si="10"/>
        <v>-1.493030115196804</v>
      </c>
      <c r="AE13" s="2">
        <f t="shared" si="10"/>
        <v>-1.9999998570161841</v>
      </c>
      <c r="AF13" s="2">
        <f t="shared" si="10"/>
        <v>-0.99511712428652999</v>
      </c>
      <c r="AG13" s="2">
        <f t="shared" si="10"/>
        <v>-1.7312771787965893</v>
      </c>
      <c r="AH13" s="2">
        <f t="shared" si="10"/>
        <v>0.13563556081386574</v>
      </c>
      <c r="AI13" s="18">
        <f t="shared" si="5"/>
        <v>7</v>
      </c>
      <c r="AJ13" s="2">
        <f t="shared" si="6"/>
        <v>1</v>
      </c>
    </row>
    <row r="14" spans="1:36" ht="10.5" customHeight="1" x14ac:dyDescent="0.25">
      <c r="A14" s="17">
        <v>6</v>
      </c>
      <c r="B14" s="2">
        <f t="shared" si="2"/>
        <v>0.33657276469159203</v>
      </c>
      <c r="C14" s="4">
        <v>1</v>
      </c>
      <c r="D14" s="4">
        <v>20.375130085974298</v>
      </c>
      <c r="E14" s="18">
        <v>9</v>
      </c>
      <c r="F14" s="5">
        <v>1.7500000000000002E-2</v>
      </c>
      <c r="G14" s="5">
        <v>0.16965</v>
      </c>
      <c r="H14" s="5">
        <v>0.10825</v>
      </c>
      <c r="I14" s="5">
        <v>0.55764999999999998</v>
      </c>
      <c r="J14" s="5">
        <v>0.13800000000000001</v>
      </c>
      <c r="K14" s="5">
        <v>0.23570000000000002</v>
      </c>
      <c r="L14" s="5">
        <v>0.56099999999999994</v>
      </c>
      <c r="M14" s="5">
        <v>0.27444999999999997</v>
      </c>
      <c r="N14" s="5">
        <v>3.295E-2</v>
      </c>
      <c r="O14" s="5">
        <v>1.9354999999999998</v>
      </c>
      <c r="P14" s="5">
        <v>5.089999999999999E-4</v>
      </c>
      <c r="Q14" s="5">
        <v>107.1</v>
      </c>
      <c r="R14" s="5">
        <v>0.13555</v>
      </c>
      <c r="S14" s="5">
        <v>129.35000000000002</v>
      </c>
      <c r="T14" s="18">
        <f t="shared" si="3"/>
        <v>9</v>
      </c>
      <c r="U14" s="2">
        <f t="shared" ref="U14:AH14" si="11">IF(OR(F14=0,F14&lt;0.00001,F14&gt;100000),"",IF((IF(F14&gt;F$5,ABS(LOG(((F$5/SUM($F14:$S14))/(F$4/SUM($F$4:$S$4)))*4+2,2)),ABS(LOG(((F14/SUM($F14:$S14))/(F$4/SUM($F$4:$S$4)))*4+2,2)))-3)&gt;8,(IF(F14&gt;F$5,ABS(LOG(((F$5/SUM($F14:$S14))/(F$4/SUM($F$4:$S$4)))*4+2,2)),ABS(LOG(((F14/SUM($F14:$S14))/(F$4/SUM($F$4:$S$4)))*4+2,2)))-3)/7,IF(F14&gt;F$5,ABS(LOG(((F$5/SUM($F14:$S14))/(F$4/SUM($F$4:$S$4)))*4+2,2)),ABS(LOG(((F14/SUM($F14:$S14))/(F$4/SUM($F$4:$S$4)))*4+2,2)))-3))</f>
        <v>-1.3310360913474457</v>
      </c>
      <c r="V14" s="2">
        <f t="shared" si="11"/>
        <v>-0.52119689398455593</v>
      </c>
      <c r="W14" s="2">
        <f t="shared" si="11"/>
        <v>0.2169647778284074</v>
      </c>
      <c r="X14" s="2">
        <f t="shared" si="11"/>
        <v>-0.2559162098775789</v>
      </c>
      <c r="Y14" s="2">
        <f t="shared" si="11"/>
        <v>-1.2809352177293385</v>
      </c>
      <c r="Z14" s="2">
        <f t="shared" si="11"/>
        <v>5.8746241554226923</v>
      </c>
      <c r="AA14" s="2">
        <f t="shared" si="11"/>
        <v>1.3862242035168277</v>
      </c>
      <c r="AB14" s="2">
        <f t="shared" si="11"/>
        <v>-0.21982261430902339</v>
      </c>
      <c r="AC14" s="2">
        <f t="shared" si="11"/>
        <v>-1.5921657272482015</v>
      </c>
      <c r="AD14" s="2">
        <f t="shared" si="11"/>
        <v>-1.0082607558143011</v>
      </c>
      <c r="AE14" s="2">
        <f t="shared" si="11"/>
        <v>-1.9999999392078487</v>
      </c>
      <c r="AF14" s="2">
        <f t="shared" si="11"/>
        <v>-0.47372872860455795</v>
      </c>
      <c r="AG14" s="2">
        <f t="shared" si="11"/>
        <v>-1.9703419414265984</v>
      </c>
      <c r="AH14" s="2">
        <f t="shared" si="11"/>
        <v>-0.19017617285142707</v>
      </c>
      <c r="AI14" s="18">
        <f t="shared" si="5"/>
        <v>9</v>
      </c>
      <c r="AJ14" s="2">
        <f t="shared" si="6"/>
        <v>1</v>
      </c>
    </row>
    <row r="15" spans="1:36" ht="10.5" customHeight="1" x14ac:dyDescent="0.25">
      <c r="A15" s="17">
        <v>7</v>
      </c>
      <c r="B15" s="2">
        <f t="shared" si="2"/>
        <v>0.34141020579906134</v>
      </c>
      <c r="C15" s="4">
        <v>1</v>
      </c>
      <c r="D15" s="4">
        <v>21.537640473842501</v>
      </c>
      <c r="E15" s="18">
        <v>11</v>
      </c>
      <c r="F15" s="5">
        <v>1.3299999999999999E-2</v>
      </c>
      <c r="G15" s="5">
        <v>0.19650000000000001</v>
      </c>
      <c r="H15" s="5">
        <v>0.16804999999999998</v>
      </c>
      <c r="I15" s="5">
        <v>0.58620000000000005</v>
      </c>
      <c r="J15" s="5">
        <v>0.19505</v>
      </c>
      <c r="K15" s="5">
        <v>0.19655</v>
      </c>
      <c r="L15" s="5">
        <v>0.73514999999999997</v>
      </c>
      <c r="M15" s="5">
        <v>0.27400000000000002</v>
      </c>
      <c r="N15" s="5">
        <v>9.1549999999999999E-3</v>
      </c>
      <c r="O15" s="5">
        <v>8.43E-2</v>
      </c>
      <c r="P15" s="5">
        <v>1.3495E-3</v>
      </c>
      <c r="Q15" s="5">
        <v>13.2</v>
      </c>
      <c r="R15" s="5">
        <v>0.34655000000000002</v>
      </c>
      <c r="S15" s="5">
        <v>72.405000000000001</v>
      </c>
      <c r="T15" s="18">
        <f t="shared" si="3"/>
        <v>11</v>
      </c>
      <c r="U15" s="2">
        <f t="shared" ref="U15:AH15" si="12">IF(OR(F15=0,F15&lt;0.00001,F15&gt;100000),"",IF((IF(F15&gt;F$5,ABS(LOG(((F$5/SUM($F15:$S15))/(F$4/SUM($F$4:$S$4)))*4+2,2)),ABS(LOG(((F15/SUM($F15:$S15))/(F$4/SUM($F$4:$S$4)))*4+2,2)))-3)&gt;8,(IF(F15&gt;F$5,ABS(LOG(((F$5/SUM($F15:$S15))/(F$4/SUM($F$4:$S$4)))*4+2,2)),ABS(LOG(((F15/SUM($F15:$S15))/(F$4/SUM($F$4:$S$4)))*4+2,2)))-3)/7,IF(F15&gt;F$5,ABS(LOG(((F$5/SUM($F15:$S15))/(F$4/SUM($F$4:$S$4)))*4+2,2)),ABS(LOG(((F15/SUM($F15:$S15))/(F$4/SUM($F$4:$S$4)))*4+2,2)))-3))</f>
        <v>-0.84930614033357532</v>
      </c>
      <c r="V15" s="2">
        <f t="shared" si="12"/>
        <v>0.72981531822387735</v>
      </c>
      <c r="W15" s="2">
        <f t="shared" si="12"/>
        <v>2.0371820440505024</v>
      </c>
      <c r="X15" s="2">
        <f t="shared" si="12"/>
        <v>0.9490873562722375</v>
      </c>
      <c r="Y15" s="2">
        <f t="shared" si="12"/>
        <v>-0.19867848044232117</v>
      </c>
      <c r="Z15" s="2">
        <f t="shared" si="12"/>
        <v>7.0535625895607392</v>
      </c>
      <c r="AA15" s="2">
        <f t="shared" si="12"/>
        <v>3.1178243803839729</v>
      </c>
      <c r="AB15" s="2">
        <f t="shared" si="12"/>
        <v>0.92889830766410419</v>
      </c>
      <c r="AC15" s="2">
        <f t="shared" si="12"/>
        <v>-1.6814963106152916</v>
      </c>
      <c r="AD15" s="2">
        <f t="shared" si="12"/>
        <v>-1.8401342248587902</v>
      </c>
      <c r="AE15" s="2">
        <f t="shared" si="12"/>
        <v>-1.9999998345502117</v>
      </c>
      <c r="AF15" s="2">
        <f t="shared" si="12"/>
        <v>-1.2944680558676485</v>
      </c>
      <c r="AG15" s="2">
        <f t="shared" si="12"/>
        <v>-1.8052586021442465</v>
      </c>
      <c r="AH15" s="2">
        <f t="shared" si="12"/>
        <v>0.26834245540929524</v>
      </c>
      <c r="AI15" s="18">
        <f t="shared" si="5"/>
        <v>11</v>
      </c>
      <c r="AJ15" s="2">
        <f t="shared" si="6"/>
        <v>1</v>
      </c>
    </row>
    <row r="16" spans="1:36" ht="10.5" customHeight="1" x14ac:dyDescent="0.25">
      <c r="A16" s="17">
        <v>8</v>
      </c>
      <c r="B16" s="2">
        <f t="shared" si="2"/>
        <v>3.5221655943893384</v>
      </c>
      <c r="C16" s="4">
        <v>1</v>
      </c>
      <c r="D16" s="4">
        <v>20.380444314057801</v>
      </c>
      <c r="E16" s="18">
        <v>13</v>
      </c>
      <c r="F16" s="5">
        <v>1.2975E-2</v>
      </c>
      <c r="G16" s="5">
        <v>0.2026</v>
      </c>
      <c r="H16" s="5">
        <v>0.12554999999999999</v>
      </c>
      <c r="I16" s="5">
        <v>0.35170000000000001</v>
      </c>
      <c r="J16" s="5">
        <v>0.47260000000000002</v>
      </c>
      <c r="K16" s="5">
        <v>8.115E-2</v>
      </c>
      <c r="L16" s="5">
        <v>1.3435000000000001</v>
      </c>
      <c r="M16" s="5">
        <v>0.20660000000000001</v>
      </c>
      <c r="N16" s="5">
        <v>1.4555E-2</v>
      </c>
      <c r="O16" s="5">
        <v>3.295E-2</v>
      </c>
      <c r="P16" s="5">
        <v>1.4947499999999999E-2</v>
      </c>
      <c r="Q16" s="5">
        <v>8.8315000000000001</v>
      </c>
      <c r="R16" s="5">
        <v>0.23824999999999999</v>
      </c>
      <c r="S16" s="5">
        <v>26.82</v>
      </c>
      <c r="T16" s="18">
        <f t="shared" si="3"/>
        <v>13</v>
      </c>
      <c r="U16" s="2">
        <f t="shared" ref="U16:AH16" si="13">IF(OR(F16=0,F16&lt;0.00001,F16&gt;100000),"",IF((IF(F16&gt;F$5,ABS(LOG(((F$5/SUM($F16:$S16))/(F$4/SUM($F$4:$S$4)))*4+2,2)),ABS(LOG(((F16/SUM($F16:$S16))/(F$4/SUM($F$4:$S$4)))*4+2,2)))-3)&gt;8,(IF(F16&gt;F$5,ABS(LOG(((F$5/SUM($F16:$S16))/(F$4/SUM($F$4:$S$4)))*4+2,2)),ABS(LOG(((F16/SUM($F16:$S16))/(F$4/SUM($F$4:$S$4)))*4+2,2)))-3)/7,IF(F16&gt;F$5,ABS(LOG(((F$5/SUM($F16:$S16))/(F$4/SUM($F$4:$S$4)))*4+2,2)),ABS(LOG(((F16/SUM($F16:$S16))/(F$4/SUM($F$4:$S$4)))*4+2,2)))-3))</f>
        <v>-0.10623195439761135</v>
      </c>
      <c r="V16" s="2">
        <f t="shared" si="13"/>
        <v>1.8332088105526019</v>
      </c>
      <c r="W16" s="2">
        <f t="shared" si="13"/>
        <v>2.7698388816575079</v>
      </c>
      <c r="X16" s="2">
        <f t="shared" si="13"/>
        <v>1.350869322815563</v>
      </c>
      <c r="Y16" s="2">
        <f t="shared" si="13"/>
        <v>1.8816773552829087</v>
      </c>
      <c r="Z16" s="2">
        <f t="shared" si="13"/>
        <v>6.9675701850531517</v>
      </c>
      <c r="AA16" s="2">
        <f t="shared" si="13"/>
        <v>5.1458489070625042</v>
      </c>
      <c r="AB16" s="2">
        <f t="shared" si="13"/>
        <v>1.6300434864745794</v>
      </c>
      <c r="AC16" s="2">
        <f t="shared" si="13"/>
        <v>-1.0769548354283816</v>
      </c>
      <c r="AD16" s="2">
        <f t="shared" si="13"/>
        <v>-1.856598780954489</v>
      </c>
      <c r="AE16" s="2">
        <f t="shared" si="13"/>
        <v>-1.9999996225024652</v>
      </c>
      <c r="AF16" s="2">
        <f t="shared" si="13"/>
        <v>-1.027043172550858</v>
      </c>
      <c r="AG16" s="2">
        <f t="shared" si="13"/>
        <v>-1.7052246935925961</v>
      </c>
      <c r="AH16" s="2">
        <f t="shared" si="13"/>
        <v>7.9482420362213535E-2</v>
      </c>
      <c r="AI16" s="18">
        <f t="shared" si="5"/>
        <v>13</v>
      </c>
      <c r="AJ16" s="2">
        <f t="shared" si="6"/>
        <v>1</v>
      </c>
    </row>
    <row r="17" spans="1:36" ht="10.5" customHeight="1" x14ac:dyDescent="0.25">
      <c r="A17" s="17">
        <v>9</v>
      </c>
      <c r="B17" s="2">
        <f t="shared" si="2"/>
        <v>2.9426684370374692</v>
      </c>
      <c r="C17" s="4">
        <v>1</v>
      </c>
      <c r="D17" s="4">
        <v>21.798355103102299</v>
      </c>
      <c r="E17" s="18">
        <v>15</v>
      </c>
      <c r="F17" s="5">
        <v>1.0806E-2</v>
      </c>
      <c r="G17" s="5">
        <v>0.1235</v>
      </c>
      <c r="H17" s="5">
        <v>7.7449999999999991E-2</v>
      </c>
      <c r="I17" s="5">
        <v>0.63470000000000004</v>
      </c>
      <c r="J17" s="5">
        <v>1.06575</v>
      </c>
      <c r="K17" s="5">
        <v>8.4074999999999997E-2</v>
      </c>
      <c r="L17" s="5">
        <v>0.59204999999999997</v>
      </c>
      <c r="M17" s="5">
        <v>0.21855000000000002</v>
      </c>
      <c r="N17" s="5">
        <v>9.9349999999999994E-2</v>
      </c>
      <c r="O17" s="5">
        <v>2.9130000000000003</v>
      </c>
      <c r="P17" s="5">
        <v>7.3534999999999998E-3</v>
      </c>
      <c r="Q17" s="5">
        <v>22.46</v>
      </c>
      <c r="R17" s="5">
        <v>8.2600000000000007E-2</v>
      </c>
      <c r="S17" s="5">
        <v>31.28</v>
      </c>
      <c r="T17" s="18">
        <f t="shared" si="3"/>
        <v>15</v>
      </c>
      <c r="U17" s="2">
        <f t="shared" ref="U17:AH17" si="14">IF(OR(F17=0,F17&lt;0.00001,F17&gt;100000),"",IF((IF(F17&gt;F$5,ABS(LOG(((F$5/SUM($F17:$S17))/(F$4/SUM($F$4:$S$4)))*4+2,2)),ABS(LOG(((F17/SUM($F17:$S17))/(F$4/SUM($F$4:$S$4)))*4+2,2)))-3)&gt;8,(IF(F17&gt;F$5,ABS(LOG(((F$5/SUM($F17:$S17))/(F$4/SUM($F$4:$S$4)))*4+2,2)),ABS(LOG(((F17/SUM($F17:$S17))/(F$4/SUM($F$4:$S$4)))*4+2,2)))-3)/7,IF(F17&gt;F$5,ABS(LOG(((F$5/SUM($F17:$S17))/(F$4/SUM($F$4:$S$4)))*4+2,2)),ABS(LOG(((F17/SUM($F17:$S17))/(F$4/SUM($F$4:$S$4)))*4+2,2)))-3))</f>
        <v>-0.69582133046669092</v>
      </c>
      <c r="V17" s="2">
        <f t="shared" si="14"/>
        <v>0.64341508262927505</v>
      </c>
      <c r="W17" s="2">
        <f t="shared" si="14"/>
        <v>1.5275550972705281</v>
      </c>
      <c r="X17" s="2">
        <f t="shared" si="14"/>
        <v>1.5593133775919883</v>
      </c>
      <c r="Y17" s="2">
        <f t="shared" si="14"/>
        <v>2.4011047502292531</v>
      </c>
      <c r="Z17" s="2">
        <f t="shared" si="14"/>
        <v>6.3977074434378363</v>
      </c>
      <c r="AA17" s="2">
        <f t="shared" si="14"/>
        <v>3.3664737350283316</v>
      </c>
      <c r="AB17" s="2">
        <f t="shared" si="14"/>
        <v>1.1409103156213449</v>
      </c>
      <c r="AC17" s="2">
        <f t="shared" si="14"/>
        <v>0.31426141674201125</v>
      </c>
      <c r="AD17" s="2">
        <f t="shared" si="14"/>
        <v>0.80772377521817207</v>
      </c>
      <c r="AE17" s="2">
        <f t="shared" si="14"/>
        <v>-1.9999997547727346</v>
      </c>
      <c r="AF17" s="2">
        <f t="shared" si="14"/>
        <v>-0.62664889426157266</v>
      </c>
      <c r="AG17" s="2">
        <f t="shared" si="14"/>
        <v>-1.9281612980869229</v>
      </c>
      <c r="AH17" s="2">
        <f t="shared" si="14"/>
        <v>-0.21567785101475589</v>
      </c>
      <c r="AI17" s="18">
        <f t="shared" si="5"/>
        <v>15</v>
      </c>
      <c r="AJ17" s="2">
        <f t="shared" si="6"/>
        <v>1</v>
      </c>
    </row>
    <row r="18" spans="1:36" ht="10.5" customHeight="1" x14ac:dyDescent="0.25">
      <c r="A18" s="17">
        <v>10</v>
      </c>
      <c r="B18" s="2">
        <f t="shared" si="2"/>
        <v>0.17003077657861246</v>
      </c>
      <c r="C18" s="4">
        <v>1</v>
      </c>
      <c r="D18" s="4">
        <v>20.823767926794901</v>
      </c>
      <c r="E18" s="18">
        <v>17</v>
      </c>
      <c r="F18" s="5">
        <v>1.8700000000000001E-2</v>
      </c>
      <c r="G18" s="5">
        <v>0.20885000000000001</v>
      </c>
      <c r="H18" s="5">
        <v>0.1454</v>
      </c>
      <c r="I18" s="5">
        <v>0.59010000000000007</v>
      </c>
      <c r="J18" s="5">
        <v>0.29580000000000001</v>
      </c>
      <c r="K18" s="5">
        <v>0.14949999999999999</v>
      </c>
      <c r="L18" s="5">
        <v>2.0452500000000002</v>
      </c>
      <c r="M18" s="5">
        <v>0.44619999999999999</v>
      </c>
      <c r="N18" s="5">
        <v>3.0599999999999999E-2</v>
      </c>
      <c r="O18" s="5">
        <v>7.7199999999999991E-2</v>
      </c>
      <c r="P18" s="5">
        <v>6.6109999999999997E-3</v>
      </c>
      <c r="Q18" s="5">
        <v>45.844999999999999</v>
      </c>
      <c r="R18" s="5">
        <v>8.745E-2</v>
      </c>
      <c r="S18" s="5">
        <v>73.554999999999993</v>
      </c>
      <c r="T18" s="18">
        <f t="shared" si="3"/>
        <v>17</v>
      </c>
      <c r="U18" s="2">
        <f t="shared" ref="U18:AH18" si="15">IF(OR(F18=0,F18&lt;0.00001,F18&gt;100000),"",IF((IF(F18&gt;F$5,ABS(LOG(((F$5/SUM($F18:$S18))/(F$4/SUM($F$4:$S$4)))*4+2,2)),ABS(LOG(((F18/SUM($F18:$S18))/(F$4/SUM($F$4:$S$4)))*4+2,2)))-3)&gt;8,(IF(F18&gt;F$5,ABS(LOG(((F$5/SUM($F18:$S18))/(F$4/SUM($F$4:$S$4)))*4+2,2)),ABS(LOG(((F18/SUM($F18:$S18))/(F$4/SUM($F$4:$S$4)))*4+2,2)))-3)/7,IF(F18&gt;F$5,ABS(LOG(((F$5/SUM($F18:$S18))/(F$4/SUM($F$4:$S$4)))*4+2,2)),ABS(LOG(((F18/SUM($F18:$S18))/(F$4/SUM($F$4:$S$4)))*4+2,2)))-3))</f>
        <v>-0.84414238699224065</v>
      </c>
      <c r="V18" s="2">
        <f t="shared" si="15"/>
        <v>0.40230648671937441</v>
      </c>
      <c r="W18" s="2">
        <f t="shared" si="15"/>
        <v>1.3991018936116353</v>
      </c>
      <c r="X18" s="2">
        <f t="shared" si="15"/>
        <v>0.54708682040209089</v>
      </c>
      <c r="Y18" s="2">
        <f t="shared" si="15"/>
        <v>-0.11315860401930555</v>
      </c>
      <c r="Z18" s="2">
        <f t="shared" si="15"/>
        <v>6.1788510152508724</v>
      </c>
      <c r="AA18" s="2">
        <f t="shared" si="15"/>
        <v>4.0909243624087104</v>
      </c>
      <c r="AB18" s="2">
        <f t="shared" si="15"/>
        <v>1.1229889592649576</v>
      </c>
      <c r="AC18" s="2">
        <f t="shared" si="15"/>
        <v>-1.3299785709026466</v>
      </c>
      <c r="AD18" s="2">
        <f t="shared" si="15"/>
        <v>-1.8932193309832541</v>
      </c>
      <c r="AE18" s="2">
        <f t="shared" si="15"/>
        <v>-1.9999998815594306</v>
      </c>
      <c r="AF18" s="2">
        <f t="shared" si="15"/>
        <v>-0.63923179067318525</v>
      </c>
      <c r="AG18" s="2">
        <f t="shared" si="15"/>
        <v>-1.9628191486534836</v>
      </c>
      <c r="AH18" s="2">
        <f t="shared" si="15"/>
        <v>-8.2996064288407112E-2</v>
      </c>
      <c r="AI18" s="18">
        <f t="shared" si="5"/>
        <v>17</v>
      </c>
      <c r="AJ18" s="2">
        <f t="shared" si="6"/>
        <v>1</v>
      </c>
    </row>
    <row r="19" spans="1:36" ht="10.5" customHeight="1" x14ac:dyDescent="0.25">
      <c r="A19" s="17">
        <v>11</v>
      </c>
      <c r="B19" s="2">
        <f t="shared" si="2"/>
        <v>0.58401484073609344</v>
      </c>
      <c r="C19" s="4">
        <v>1</v>
      </c>
      <c r="D19" s="4">
        <v>21.515545887182402</v>
      </c>
      <c r="E19" s="18">
        <v>19</v>
      </c>
      <c r="F19" s="5">
        <v>6.0350000000000004E-3</v>
      </c>
      <c r="G19" s="5">
        <v>9.5450000000000007E-2</v>
      </c>
      <c r="H19" s="5">
        <v>8.7499999999999994E-2</v>
      </c>
      <c r="I19" s="5">
        <v>0.22494999999999998</v>
      </c>
      <c r="J19" s="5">
        <v>0.11780000000000002</v>
      </c>
      <c r="K19" s="5">
        <v>0.13880000000000001</v>
      </c>
      <c r="L19" s="5">
        <v>0.69934999999999992</v>
      </c>
      <c r="M19" s="5">
        <v>0.2382</v>
      </c>
      <c r="N19" s="5">
        <v>3.5250000000000004E-2</v>
      </c>
      <c r="O19" s="5">
        <v>0.19285000000000002</v>
      </c>
      <c r="P19" s="5">
        <v>5.1914999999999999E-3</v>
      </c>
      <c r="Q19" s="5">
        <v>48.774999999999999</v>
      </c>
      <c r="R19" s="5">
        <v>0.10055</v>
      </c>
      <c r="S19" s="5">
        <v>117.45499999999998</v>
      </c>
      <c r="T19" s="18">
        <f t="shared" si="3"/>
        <v>19</v>
      </c>
      <c r="U19" s="2">
        <f t="shared" ref="U19:AH19" si="16">IF(OR(F19=0,F19&lt;0.00001,F19&gt;100000),"",IF((IF(F19&gt;F$5,ABS(LOG(((F$5/SUM($F19:$S19))/(F$4/SUM($F$4:$S$4)))*4+2,2)),ABS(LOG(((F19/SUM($F19:$S19))/(F$4/SUM($F$4:$S$4)))*4+2,2)))-3)&gt;8,(IF(F19&gt;F$5,ABS(LOG(((F$5/SUM($F19:$S19))/(F$4/SUM($F$4:$S$4)))*4+2,2)),ABS(LOG(((F19/SUM($F19:$S19))/(F$4/SUM($F$4:$S$4)))*4+2,2)))-3)/7,IF(F19&gt;F$5,ABS(LOG(((F$5/SUM($F19:$S19))/(F$4/SUM($F$4:$S$4)))*4+2,2)),ABS(LOG(((F19/SUM($F19:$S19))/(F$4/SUM($F$4:$S$4)))*4+2,2)))-3))</f>
        <v>-1.631421482269199</v>
      </c>
      <c r="V19" s="2">
        <f t="shared" si="16"/>
        <v>-0.71390541737848201</v>
      </c>
      <c r="W19" s="2">
        <f t="shared" si="16"/>
        <v>0.38413266630705412</v>
      </c>
      <c r="X19" s="2">
        <f t="shared" si="16"/>
        <v>-0.76352361337898067</v>
      </c>
      <c r="Y19" s="2">
        <f t="shared" si="16"/>
        <v>-1.1607425260470596</v>
      </c>
      <c r="Z19" s="2">
        <f t="shared" si="16"/>
        <v>5.628628081698908</v>
      </c>
      <c r="AA19" s="2">
        <f t="shared" si="16"/>
        <v>2.159106312196073</v>
      </c>
      <c r="AB19" s="2">
        <f t="shared" si="16"/>
        <v>8.4096922855367851E-3</v>
      </c>
      <c r="AC19" s="2">
        <f t="shared" si="16"/>
        <v>-1.4149871685544724</v>
      </c>
      <c r="AD19" s="2">
        <f t="shared" si="16"/>
        <v>-1.8097866394542172</v>
      </c>
      <c r="AE19" s="2">
        <f t="shared" si="16"/>
        <v>-1.9999999130199222</v>
      </c>
      <c r="AF19" s="2">
        <f t="shared" si="16"/>
        <v>-0.84602051902231423</v>
      </c>
      <c r="AG19" s="2">
        <f t="shared" si="16"/>
        <v>-1.9685423889090796</v>
      </c>
      <c r="AH19" s="2">
        <f t="shared" si="16"/>
        <v>8.942982921206033E-2</v>
      </c>
      <c r="AI19" s="18">
        <f t="shared" si="5"/>
        <v>19</v>
      </c>
      <c r="AJ19" s="2">
        <f t="shared" si="6"/>
        <v>1</v>
      </c>
    </row>
    <row r="20" spans="1:36" ht="10.5" customHeight="1" x14ac:dyDescent="0.25">
      <c r="A20" s="17">
        <v>12</v>
      </c>
      <c r="B20" s="2">
        <f t="shared" si="2"/>
        <v>0.17257665207083148</v>
      </c>
      <c r="C20" s="4">
        <v>1</v>
      </c>
      <c r="D20" s="4">
        <v>21.6895910766135</v>
      </c>
      <c r="E20" s="18">
        <v>24</v>
      </c>
      <c r="F20" s="5">
        <v>1.4185E-2</v>
      </c>
      <c r="G20" s="5">
        <v>0.26224999999999998</v>
      </c>
      <c r="H20" s="5">
        <v>0.20924999999999999</v>
      </c>
      <c r="I20" s="5">
        <v>0.42284999999999995</v>
      </c>
      <c r="J20" s="5">
        <v>0.1668</v>
      </c>
      <c r="K20" s="5">
        <v>9.5000000000000001E-2</v>
      </c>
      <c r="L20" s="5">
        <v>1.4342000000000001</v>
      </c>
      <c r="M20" s="5">
        <v>0.40679999999999994</v>
      </c>
      <c r="N20" s="5">
        <v>3.6819999999999999E-2</v>
      </c>
      <c r="O20" s="5">
        <v>0.33395000000000002</v>
      </c>
      <c r="P20" s="5">
        <v>1.0595E-2</v>
      </c>
      <c r="Q20" s="5">
        <v>13.705</v>
      </c>
      <c r="R20" s="5">
        <v>0.2681</v>
      </c>
      <c r="S20" s="5">
        <v>87.19</v>
      </c>
      <c r="T20" s="18">
        <f t="shared" si="3"/>
        <v>24</v>
      </c>
      <c r="U20" s="2">
        <f t="shared" ref="U20:AH20" si="17">IF(OR(F20=0,F20&lt;0.00001,F20&gt;100000),"",IF((IF(F20&gt;F$5,ABS(LOG(((F$5/SUM($F20:$S20))/(F$4/SUM($F$4:$S$4)))*4+2,2)),ABS(LOG(((F20/SUM($F20:$S20))/(F$4/SUM($F$4:$S$4)))*4+2,2)))-3)&gt;8,(IF(F20&gt;F$5,ABS(LOG(((F$5/SUM($F20:$S20))/(F$4/SUM($F$4:$S$4)))*4+2,2)),ABS(LOG(((F20/SUM($F20:$S20))/(F$4/SUM($F$4:$S$4)))*4+2,2)))-3)/7,IF(F20&gt;F$5,ABS(LOG(((F$5/SUM($F20:$S20))/(F$4/SUM($F$4:$S$4)))*4+2,2)),ABS(LOG(((F20/SUM($F20:$S20))/(F$4/SUM($F$4:$S$4)))*4+2,2)))-3))</f>
        <v>-0.92930217070927679</v>
      </c>
      <c r="V20" s="2">
        <f t="shared" si="17"/>
        <v>0.87927238934361451</v>
      </c>
      <c r="W20" s="2">
        <f t="shared" si="17"/>
        <v>2.1071248109519942</v>
      </c>
      <c r="X20" s="2">
        <f t="shared" si="17"/>
        <v>0.35063909021929307</v>
      </c>
      <c r="Y20" s="2">
        <f t="shared" si="17"/>
        <v>-0.51600002391037192</v>
      </c>
      <c r="Z20" s="2">
        <f t="shared" si="17"/>
        <v>5.7666155556091461</v>
      </c>
      <c r="AA20" s="2">
        <f t="shared" si="17"/>
        <v>3.8235314479139371</v>
      </c>
      <c r="AB20" s="2">
        <f t="shared" si="17"/>
        <v>1.2180012060740806</v>
      </c>
      <c r="AC20" s="2">
        <f t="shared" si="17"/>
        <v>-1.1201938310966506</v>
      </c>
      <c r="AD20" s="2">
        <f t="shared" si="17"/>
        <v>-1.5222866476098222</v>
      </c>
      <c r="AE20" s="2">
        <f t="shared" si="17"/>
        <v>-1.9999998600976039</v>
      </c>
      <c r="AF20" s="2">
        <f t="shared" si="17"/>
        <v>-1.3642400519371503</v>
      </c>
      <c r="AG20" s="2">
        <f t="shared" si="17"/>
        <v>-1.8696755631245088</v>
      </c>
      <c r="AH20" s="2">
        <f t="shared" si="17"/>
        <v>0.2890640679079941</v>
      </c>
      <c r="AI20" s="18">
        <f t="shared" si="5"/>
        <v>24</v>
      </c>
      <c r="AJ20" s="2">
        <f t="shared" si="6"/>
        <v>1</v>
      </c>
    </row>
    <row r="21" spans="1:36" ht="10.5" customHeight="1" x14ac:dyDescent="0.25">
      <c r="A21" s="17">
        <v>13</v>
      </c>
      <c r="B21" s="2">
        <f t="shared" si="2"/>
        <v>0.21807817037272248</v>
      </c>
      <c r="C21" s="4">
        <v>1</v>
      </c>
      <c r="D21" s="4">
        <v>23.004229870563201</v>
      </c>
      <c r="E21" s="18">
        <v>25</v>
      </c>
      <c r="F21" s="5">
        <v>2.29E-2</v>
      </c>
      <c r="G21" s="5">
        <v>0.2122</v>
      </c>
      <c r="H21" s="5">
        <v>0.20430000000000001</v>
      </c>
      <c r="I21" s="5">
        <v>0.621</v>
      </c>
      <c r="J21" s="5">
        <v>0.61860000000000004</v>
      </c>
      <c r="K21" s="5">
        <v>0.2268</v>
      </c>
      <c r="L21" s="5">
        <v>1.651</v>
      </c>
      <c r="M21" s="5">
        <v>0.52890000000000004</v>
      </c>
      <c r="N21" s="5">
        <v>2.2200000000000002E-3</v>
      </c>
      <c r="O21" s="5">
        <v>0.13139999999999999</v>
      </c>
      <c r="P21" s="5">
        <v>3.5100000000000001E-3</v>
      </c>
      <c r="Q21" s="5">
        <v>28.06</v>
      </c>
      <c r="R21" s="5">
        <v>0.2737</v>
      </c>
      <c r="S21" s="5">
        <v>128.4</v>
      </c>
      <c r="T21" s="18">
        <f t="shared" si="3"/>
        <v>25</v>
      </c>
      <c r="U21" s="2">
        <f t="shared" ref="U21:AH21" si="18">IF(OR(F21=0,F21&lt;0.00001,F21&gt;100000),"",IF((IF(F21&gt;F$5,ABS(LOG(((F$5/SUM($F21:$S21))/(F$4/SUM($F$4:$S$4)))*4+2,2)),ABS(LOG(((F21/SUM($F21:$S21))/(F$4/SUM($F$4:$S$4)))*4+2,2)))-3)&gt;8,(IF(F21&gt;F$5,ABS(LOG(((F$5/SUM($F21:$S21))/(F$4/SUM($F$4:$S$4)))*4+2,2)),ABS(LOG(((F21/SUM($F21:$S21))/(F$4/SUM($F$4:$S$4)))*4+2,2)))-3)/7,IF(F21&gt;F$5,ABS(LOG(((F$5/SUM($F21:$S21))/(F$4/SUM($F$4:$S$4)))*4+2,2)),ABS(LOG(((F21/SUM($F21:$S21))/(F$4/SUM($F$4:$S$4)))*4+2,2)))-3))</f>
        <v>-0.89296426654271865</v>
      </c>
      <c r="V21" s="2">
        <f t="shared" si="18"/>
        <v>0.1182807347933772</v>
      </c>
      <c r="W21" s="2">
        <f t="shared" si="18"/>
        <v>1.4976794802173181</v>
      </c>
      <c r="X21" s="2">
        <f t="shared" si="18"/>
        <v>0.29626536623455113</v>
      </c>
      <c r="Y21" s="2">
        <f t="shared" si="18"/>
        <v>0.41405369106488665</v>
      </c>
      <c r="Z21" s="2">
        <f t="shared" si="18"/>
        <v>6.3972837761177086</v>
      </c>
      <c r="AA21" s="2">
        <f t="shared" si="18"/>
        <v>3.4127941676861555</v>
      </c>
      <c r="AB21" s="2">
        <f t="shared" si="18"/>
        <v>1.0025351834605969</v>
      </c>
      <c r="AC21" s="2">
        <f t="shared" si="18"/>
        <v>-1.9532932430923702</v>
      </c>
      <c r="AD21" s="2">
        <f t="shared" si="18"/>
        <v>-1.8620635001184891</v>
      </c>
      <c r="AE21" s="2">
        <f t="shared" si="18"/>
        <v>-1.9999999091207596</v>
      </c>
      <c r="AF21" s="2">
        <f t="shared" si="18"/>
        <v>-1.2038262723889306</v>
      </c>
      <c r="AG21" s="2">
        <f t="shared" si="18"/>
        <v>-1.912272531478173</v>
      </c>
      <c r="AH21" s="2">
        <f t="shared" si="18"/>
        <v>0.2384019711512364</v>
      </c>
      <c r="AI21" s="18">
        <f t="shared" si="5"/>
        <v>25</v>
      </c>
      <c r="AJ21" s="2">
        <f t="shared" si="6"/>
        <v>1</v>
      </c>
    </row>
    <row r="22" spans="1:36" ht="10.5" customHeight="1" x14ac:dyDescent="0.25">
      <c r="A22" s="17">
        <v>14</v>
      </c>
      <c r="B22" s="2">
        <f t="shared" si="2"/>
        <v>0.53279016317717398</v>
      </c>
      <c r="C22" s="4">
        <v>1</v>
      </c>
      <c r="D22" s="4">
        <v>21.956616514807202</v>
      </c>
      <c r="E22" s="18">
        <v>27</v>
      </c>
      <c r="F22" s="5">
        <v>1.4200000000000001E-2</v>
      </c>
      <c r="G22" s="5">
        <v>0.29449999999999998</v>
      </c>
      <c r="H22" s="5">
        <v>0.28120000000000001</v>
      </c>
      <c r="I22" s="5">
        <v>0.63109999999999999</v>
      </c>
      <c r="J22" s="5">
        <v>0.1351</v>
      </c>
      <c r="K22" s="5">
        <v>0.2412</v>
      </c>
      <c r="L22" s="5">
        <v>1.5629999999999999</v>
      </c>
      <c r="M22" s="5">
        <v>0.63229999999999997</v>
      </c>
      <c r="N22" s="5">
        <v>5.13E-3</v>
      </c>
      <c r="O22" s="5">
        <v>6.3899999999999998E-2</v>
      </c>
      <c r="P22" s="5">
        <v>1.09E-3</v>
      </c>
      <c r="Q22" s="5">
        <v>27</v>
      </c>
      <c r="R22" s="5">
        <v>0.23169999999999999</v>
      </c>
      <c r="S22" s="5">
        <v>55.26</v>
      </c>
      <c r="T22" s="18">
        <f t="shared" si="3"/>
        <v>27</v>
      </c>
      <c r="U22" s="2">
        <f t="shared" ref="U22:AH22" si="19">IF(OR(F22=0,F22&lt;0.00001,F22&gt;100000),"",IF((IF(F22&gt;F$5,ABS(LOG(((F$5/SUM($F22:$S22))/(F$4/SUM($F$4:$S$4)))*4+2,2)),ABS(LOG(((F22/SUM($F22:$S22))/(F$4/SUM($F$4:$S$4)))*4+2,2)))-3)&gt;8,(IF(F22&gt;F$5,ABS(LOG(((F$5/SUM($F22:$S22))/(F$4/SUM($F$4:$S$4)))*4+2,2)),ABS(LOG(((F22/SUM($F22:$S22))/(F$4/SUM($F$4:$S$4)))*4+2,2)))-3)/7,IF(F22&gt;F$5,ABS(LOG(((F$5/SUM($F22:$S22))/(F$4/SUM($F$4:$S$4)))*4+2,2)),ABS(LOG(((F22/SUM($F22:$S22))/(F$4/SUM($F$4:$S$4)))*4+2,2)))-3))</f>
        <v>-0.77731563093513367</v>
      </c>
      <c r="V22" s="2">
        <f t="shared" si="19"/>
        <v>1.2697053196053432</v>
      </c>
      <c r="W22" s="2">
        <f t="shared" si="19"/>
        <v>2.7767939632703911</v>
      </c>
      <c r="X22" s="2">
        <f t="shared" si="19"/>
        <v>1.0720887205378364</v>
      </c>
      <c r="Y22" s="2">
        <f t="shared" si="19"/>
        <v>-0.53402997297648414</v>
      </c>
      <c r="Z22" s="2">
        <f t="shared" si="19"/>
        <v>7.3823003320501588</v>
      </c>
      <c r="AA22" s="2">
        <f t="shared" si="19"/>
        <v>4.2173523091774232</v>
      </c>
      <c r="AB22" s="2">
        <f t="shared" si="19"/>
        <v>2.0556687644601039</v>
      </c>
      <c r="AC22" s="2">
        <f t="shared" si="19"/>
        <v>-1.8087863829142439</v>
      </c>
      <c r="AD22" s="2">
        <f t="shared" si="19"/>
        <v>-1.8744265385259331</v>
      </c>
      <c r="AE22" s="2">
        <f t="shared" si="19"/>
        <v>-1.9999998306096343</v>
      </c>
      <c r="AF22" s="2">
        <f t="shared" si="19"/>
        <v>-0.78532173494023549</v>
      </c>
      <c r="AG22" s="2">
        <f t="shared" si="19"/>
        <v>-1.8639066315498813</v>
      </c>
      <c r="AH22" s="2">
        <f t="shared" si="19"/>
        <v>-6.1132764142834972E-3</v>
      </c>
      <c r="AI22" s="18">
        <f t="shared" si="5"/>
        <v>27</v>
      </c>
      <c r="AJ22" s="2">
        <f t="shared" si="6"/>
        <v>1</v>
      </c>
    </row>
    <row r="23" spans="1:36" ht="10.5" customHeight="1" x14ac:dyDescent="0.25">
      <c r="A23" s="17">
        <v>15</v>
      </c>
      <c r="B23" s="2">
        <f t="shared" si="2"/>
        <v>9.7678082573113573E-3</v>
      </c>
      <c r="C23" s="4">
        <v>1</v>
      </c>
      <c r="D23" s="4">
        <v>20.70676067300095</v>
      </c>
      <c r="E23" s="18">
        <v>30</v>
      </c>
      <c r="F23" s="5">
        <v>8.4550000000000007E-3</v>
      </c>
      <c r="G23" s="5">
        <v>0.18464999999999998</v>
      </c>
      <c r="H23" s="5">
        <v>0.14780000000000001</v>
      </c>
      <c r="I23" s="5">
        <v>0.83810000000000007</v>
      </c>
      <c r="J23" s="5">
        <v>0.42730000000000001</v>
      </c>
      <c r="K23" s="5">
        <v>0.31505</v>
      </c>
      <c r="L23" s="5">
        <v>0.98549999999999993</v>
      </c>
      <c r="M23" s="5">
        <v>0.62159999999999993</v>
      </c>
      <c r="N23" s="5">
        <v>0.25764999999999999</v>
      </c>
      <c r="O23" s="5">
        <v>0.68064999999999998</v>
      </c>
      <c r="P23" s="5">
        <v>2.6719999999999999E-3</v>
      </c>
      <c r="Q23" s="5">
        <v>75.78</v>
      </c>
      <c r="R23" s="5">
        <v>4.965E-2</v>
      </c>
      <c r="S23" s="5">
        <v>124.85</v>
      </c>
      <c r="T23" s="18">
        <f t="shared" si="3"/>
        <v>30</v>
      </c>
      <c r="U23" s="2">
        <f t="shared" ref="U23:AH23" si="20">IF(OR(F23=0,F23&lt;0.00001,F23&gt;100000),"",IF((IF(F23&gt;F$5,ABS(LOG(((F$5/SUM($F23:$S23))/(F$4/SUM($F$4:$S$4)))*4+2,2)),ABS(LOG(((F23/SUM($F23:$S23))/(F$4/SUM($F$4:$S$4)))*4+2,2)))-3)&gt;8,(IF(F23&gt;F$5,ABS(LOG(((F$5/SUM($F23:$S23))/(F$4/SUM($F$4:$S$4)))*4+2,2)),ABS(LOG(((F23/SUM($F23:$S23))/(F$4/SUM($F$4:$S$4)))*4+2,2)))-3)/7,IF(F23&gt;F$5,ABS(LOG(((F$5/SUM($F23:$S23))/(F$4/SUM($F$4:$S$4)))*4+2,2)),ABS(LOG(((F23/SUM($F23:$S23))/(F$4/SUM($F$4:$S$4)))*4+2,2)))-3))</f>
        <v>-1.5839199062659892</v>
      </c>
      <c r="V23" s="2">
        <f t="shared" si="20"/>
        <v>-0.28564908416448631</v>
      </c>
      <c r="W23" s="2">
        <f t="shared" si="20"/>
        <v>0.77479270266948497</v>
      </c>
      <c r="X23" s="2">
        <f t="shared" si="20"/>
        <v>0.36236959529499302</v>
      </c>
      <c r="Y23" s="2">
        <f t="shared" si="20"/>
        <v>-0.25734926507461031</v>
      </c>
      <c r="Z23" s="2">
        <f t="shared" si="20"/>
        <v>6.5210894981411602</v>
      </c>
      <c r="AA23" s="2">
        <f t="shared" si="20"/>
        <v>2.3563234853496411</v>
      </c>
      <c r="AB23" s="2">
        <f t="shared" si="20"/>
        <v>0.90065455035884145</v>
      </c>
      <c r="AC23" s="2">
        <f t="shared" si="20"/>
        <v>-1.3721739669048105E-3</v>
      </c>
      <c r="AD23" s="2">
        <f t="shared" si="20"/>
        <v>-1.5066039157908657</v>
      </c>
      <c r="AE23" s="2">
        <f t="shared" si="20"/>
        <v>-1.9999999286976695</v>
      </c>
      <c r="AF23" s="2">
        <f t="shared" si="20"/>
        <v>-0.64355665956307595</v>
      </c>
      <c r="AG23" s="2">
        <f t="shared" si="20"/>
        <v>-1.9871837835438901</v>
      </c>
      <c r="AH23" s="2">
        <f t="shared" si="20"/>
        <v>-6.0023332155352271E-2</v>
      </c>
      <c r="AI23" s="18">
        <f t="shared" si="5"/>
        <v>30</v>
      </c>
      <c r="AJ23" s="2">
        <f t="shared" si="6"/>
        <v>1</v>
      </c>
    </row>
    <row r="24" spans="1:36" ht="10.5" customHeight="1" x14ac:dyDescent="0.25">
      <c r="A24" s="17">
        <v>16</v>
      </c>
      <c r="B24" s="2">
        <f t="shared" si="2"/>
        <v>0.58152759007799559</v>
      </c>
      <c r="C24" s="4">
        <v>1</v>
      </c>
      <c r="D24" s="4">
        <v>23.453153201153999</v>
      </c>
      <c r="E24" s="18">
        <v>31</v>
      </c>
      <c r="F24" s="5">
        <v>5.5500000000000002E-3</v>
      </c>
      <c r="G24" s="5">
        <v>0.25480000000000003</v>
      </c>
      <c r="H24" s="5">
        <v>0.25750000000000001</v>
      </c>
      <c r="I24" s="5">
        <v>1.774</v>
      </c>
      <c r="J24" s="5">
        <v>0.41170000000000001</v>
      </c>
      <c r="K24" s="5">
        <v>0.26040000000000002</v>
      </c>
      <c r="L24" s="5">
        <v>1.4430000000000001</v>
      </c>
      <c r="M24" s="5">
        <v>0.40479999999999999</v>
      </c>
      <c r="N24" s="5">
        <v>2.8800000000000002E-3</v>
      </c>
      <c r="O24" s="5">
        <v>0.1193</v>
      </c>
      <c r="P24" s="5">
        <v>1.9300000000000001E-3</v>
      </c>
      <c r="Q24" s="5">
        <v>25.89</v>
      </c>
      <c r="R24" s="5">
        <v>0.34599999999999997</v>
      </c>
      <c r="S24" s="5">
        <v>96.32</v>
      </c>
      <c r="T24" s="18">
        <f t="shared" si="3"/>
        <v>31</v>
      </c>
      <c r="U24" s="2">
        <f t="shared" ref="U24:AH24" si="21">IF(OR(F24=0,F24&lt;0.00001,F24&gt;100000),"",IF((IF(F24&gt;F$5,ABS(LOG(((F$5/SUM($F24:$S24))/(F$4/SUM($F$4:$S$4)))*4+2,2)),ABS(LOG(((F24/SUM($F24:$S24))/(F$4/SUM($F$4:$S$4)))*4+2,2)))-3)&gt;8,(IF(F24&gt;F$5,ABS(LOG(((F$5/SUM($F24:$S24))/(F$4/SUM($F$4:$S$4)))*4+2,2)),ABS(LOG(((F24/SUM($F24:$S24))/(F$4/SUM($F$4:$S$4)))*4+2,2)))-3)/7,IF(F24&gt;F$5,ABS(LOG(((F$5/SUM($F24:$S24))/(F$4/SUM($F$4:$S$4)))*4+2,2)),ABS(LOG(((F24/SUM($F24:$S24))/(F$4/SUM($F$4:$S$4)))*4+2,2)))-3))</f>
        <v>-1.5637301835358175</v>
      </c>
      <c r="V24" s="2">
        <f t="shared" si="21"/>
        <v>0.60071929103159727</v>
      </c>
      <c r="W24" s="2">
        <f t="shared" si="21"/>
        <v>2.1195741742726257</v>
      </c>
      <c r="X24" s="2">
        <f t="shared" si="21"/>
        <v>1.9172546538882997</v>
      </c>
      <c r="Y24" s="2">
        <f t="shared" si="21"/>
        <v>0.21348189532562412</v>
      </c>
      <c r="Z24" s="2">
        <f t="shared" si="21"/>
        <v>6.931530962705418</v>
      </c>
      <c r="AA24" s="2">
        <f t="shared" si="21"/>
        <v>3.551613367460698</v>
      </c>
      <c r="AB24" s="2">
        <f t="shared" si="21"/>
        <v>0.95928817932372423</v>
      </c>
      <c r="AC24" s="2">
        <f t="shared" si="21"/>
        <v>-1.9242737225831874</v>
      </c>
      <c r="AD24" s="2">
        <f t="shared" si="21"/>
        <v>-1.842954589921556</v>
      </c>
      <c r="AE24" s="2">
        <f t="shared" si="21"/>
        <v>-1.9999998852663452</v>
      </c>
      <c r="AF24" s="2">
        <f t="shared" si="21"/>
        <v>-1.1063264614200803</v>
      </c>
      <c r="AG24" s="2">
        <f t="shared" si="21"/>
        <v>-1.8624180236812842</v>
      </c>
      <c r="AH24" s="2">
        <f t="shared" si="21"/>
        <v>0.17692002929791517</v>
      </c>
      <c r="AI24" s="18">
        <f t="shared" si="5"/>
        <v>31</v>
      </c>
      <c r="AJ24" s="2">
        <f t="shared" si="6"/>
        <v>1</v>
      </c>
    </row>
    <row r="25" spans="1:36" ht="10.5" customHeight="1" x14ac:dyDescent="0.25">
      <c r="A25" s="17">
        <v>17</v>
      </c>
      <c r="B25" s="2">
        <f t="shared" si="2"/>
        <v>9.1014566176794279E-2</v>
      </c>
      <c r="C25" s="4">
        <v>1</v>
      </c>
      <c r="D25" s="4">
        <v>22.409540008063001</v>
      </c>
      <c r="E25" s="18">
        <v>33</v>
      </c>
      <c r="F25" s="5">
        <v>6.2399999999999999E-3</v>
      </c>
      <c r="G25" s="5">
        <v>4.5999999999999999E-2</v>
      </c>
      <c r="H25" s="5">
        <v>0.2082</v>
      </c>
      <c r="I25" s="5">
        <v>0.53510000000000002</v>
      </c>
      <c r="J25" s="5">
        <v>0.3342</v>
      </c>
      <c r="K25" s="5">
        <v>0.18609999999999999</v>
      </c>
      <c r="L25" s="5">
        <v>0.65429999999999999</v>
      </c>
      <c r="M25" s="5">
        <v>0.28470000000000001</v>
      </c>
      <c r="N25" s="5">
        <v>2.7299999999999998E-3</v>
      </c>
      <c r="O25" s="5">
        <v>0.97509999999999997</v>
      </c>
      <c r="P25" s="5">
        <v>8.92E-5</v>
      </c>
      <c r="Q25" s="5">
        <v>26.88</v>
      </c>
      <c r="R25" s="5">
        <v>4.1200000000000001E-2</v>
      </c>
      <c r="S25" s="5">
        <v>127.7</v>
      </c>
      <c r="T25" s="18">
        <f t="shared" si="3"/>
        <v>33</v>
      </c>
      <c r="U25" s="2">
        <f t="shared" ref="U25:AH25" si="22">IF(OR(F25=0,F25&lt;0.00001,F25&gt;100000),"",IF((IF(F25&gt;F$5,ABS(LOG(((F$5/SUM($F25:$S25))/(F$4/SUM($F$4:$S$4)))*4+2,2)),ABS(LOG(((F25/SUM($F25:$S25))/(F$4/SUM($F$4:$S$4)))*4+2,2)))-3)&gt;8,(IF(F25&gt;F$5,ABS(LOG(((F$5/SUM($F25:$S25))/(F$4/SUM($F$4:$S$4)))*4+2,2)),ABS(LOG(((F25/SUM($F25:$S25))/(F$4/SUM($F$4:$S$4)))*4+2,2)))-3)/7,IF(F25&gt;F$5,ABS(LOG(((F$5/SUM($F25:$S25))/(F$4/SUM($F$4:$S$4)))*4+2,2)),ABS(LOG(((F25/SUM($F25:$S25))/(F$4/SUM($F$4:$S$4)))*4+2,2)))-3))</f>
        <v>-1.5987626210338057</v>
      </c>
      <c r="V25" s="2">
        <f t="shared" si="22"/>
        <v>-1.2020290411100087</v>
      </c>
      <c r="W25" s="2">
        <f t="shared" si="22"/>
        <v>1.5482246323003412</v>
      </c>
      <c r="X25" s="2">
        <f t="shared" si="22"/>
        <v>0.14958121743698305</v>
      </c>
      <c r="Y25" s="2">
        <f t="shared" si="22"/>
        <v>-0.24080007538475456</v>
      </c>
      <c r="Z25" s="2">
        <f t="shared" si="22"/>
        <v>6.1408569035218843</v>
      </c>
      <c r="AA25" s="2">
        <f t="shared" si="22"/>
        <v>2.1546547507713694</v>
      </c>
      <c r="AB25" s="2">
        <f t="shared" si="22"/>
        <v>0.27792254850227494</v>
      </c>
      <c r="AC25" s="2">
        <f t="shared" si="22"/>
        <v>-1.9416712578143331</v>
      </c>
      <c r="AD25" s="2">
        <f t="shared" si="22"/>
        <v>-1.1851058748849017</v>
      </c>
      <c r="AE25" s="2">
        <f t="shared" si="22"/>
        <v>-1.9999999073345562</v>
      </c>
      <c r="AF25" s="2">
        <f t="shared" si="22"/>
        <v>-1.2181074726854666</v>
      </c>
      <c r="AG25" s="2">
        <f t="shared" si="22"/>
        <v>-1.9861834032880445</v>
      </c>
      <c r="AH25" s="2">
        <f t="shared" si="22"/>
        <v>0.25433996814300697</v>
      </c>
      <c r="AI25" s="18">
        <f t="shared" si="5"/>
        <v>33</v>
      </c>
      <c r="AJ25" s="2">
        <f t="shared" si="6"/>
        <v>1</v>
      </c>
    </row>
    <row r="26" spans="1:36" ht="10.5" customHeight="1" x14ac:dyDescent="0.25">
      <c r="A26" s="17">
        <v>18</v>
      </c>
      <c r="B26" s="2">
        <f t="shared" si="2"/>
        <v>0.47906394790568435</v>
      </c>
      <c r="C26" s="4">
        <v>1</v>
      </c>
      <c r="D26" s="4">
        <v>22.076476355141001</v>
      </c>
      <c r="E26" s="18">
        <v>35</v>
      </c>
      <c r="F26" s="5">
        <v>4.2399999999999998E-3</v>
      </c>
      <c r="G26" s="5">
        <v>9.5399999999999999E-2</v>
      </c>
      <c r="H26" s="5">
        <v>8.0799999999999997E-2</v>
      </c>
      <c r="I26" s="5">
        <v>0.75970000000000004</v>
      </c>
      <c r="J26" s="5">
        <v>0.33879999999999999</v>
      </c>
      <c r="K26" s="5">
        <v>3.3000000000000002E-2</v>
      </c>
      <c r="L26" s="5">
        <v>0.37369999999999998</v>
      </c>
      <c r="M26" s="5">
        <v>0.1328</v>
      </c>
      <c r="N26" s="5">
        <v>6.0499999999999998E-3</v>
      </c>
      <c r="O26" s="5">
        <v>1.0820000000000001</v>
      </c>
      <c r="P26" s="5">
        <v>3.8300000000000001E-3</v>
      </c>
      <c r="Q26" s="5">
        <v>69.930000000000007</v>
      </c>
      <c r="R26" s="5">
        <v>0.2392</v>
      </c>
      <c r="S26" s="5">
        <v>94.92</v>
      </c>
      <c r="T26" s="18">
        <f t="shared" si="3"/>
        <v>35</v>
      </c>
      <c r="U26" s="2">
        <f t="shared" ref="U26:AH26" si="23">IF(OR(F26=0,F26&lt;0.00001,F26&gt;100000),"",IF((IF(F26&gt;F$5,ABS(LOG(((F$5/SUM($F26:$S26))/(F$4/SUM($F$4:$S$4)))*4+2,2)),ABS(LOG(((F26/SUM($F26:$S26))/(F$4/SUM($F$4:$S$4)))*4+2,2)))-3)&gt;8,(IF(F26&gt;F$5,ABS(LOG(((F$5/SUM($F26:$S26))/(F$4/SUM($F$4:$S$4)))*4+2,2)),ABS(LOG(((F26/SUM($F26:$S26))/(F$4/SUM($F$4:$S$4)))*4+2,2)))-3)/7,IF(F26&gt;F$5,ABS(LOG(((F$5/SUM($F26:$S26))/(F$4/SUM($F$4:$S$4)))*4+2,2)),ABS(LOG(((F26/SUM($F26:$S26))/(F$4/SUM($F$4:$S$4)))*4+2,2)))-3))</f>
        <v>-1.7313098616222191</v>
      </c>
      <c r="V26" s="2">
        <f t="shared" si="23"/>
        <v>-0.71347834543076871</v>
      </c>
      <c r="W26" s="2">
        <f t="shared" si="23"/>
        <v>0.29311877149255761</v>
      </c>
      <c r="X26" s="2">
        <f t="shared" si="23"/>
        <v>0.48153958013523113</v>
      </c>
      <c r="Y26" s="2">
        <f t="shared" si="23"/>
        <v>-0.28986580000972495</v>
      </c>
      <c r="Z26" s="2">
        <f t="shared" si="23"/>
        <v>3.5807922336610449</v>
      </c>
      <c r="AA26" s="2">
        <f t="shared" si="23"/>
        <v>1.3250117830882537</v>
      </c>
      <c r="AB26" s="2">
        <f t="shared" si="23"/>
        <v>-0.57383660156463101</v>
      </c>
      <c r="AC26" s="2">
        <f t="shared" si="23"/>
        <v>-1.8810919277073896</v>
      </c>
      <c r="AD26" s="2">
        <f t="shared" si="23"/>
        <v>-1.1588127064022804</v>
      </c>
      <c r="AE26" s="2">
        <f t="shared" si="23"/>
        <v>-1.9999999129306607</v>
      </c>
      <c r="AF26" s="2">
        <f t="shared" si="23"/>
        <v>-0.53611467072320851</v>
      </c>
      <c r="AG26" s="2">
        <f t="shared" si="23"/>
        <v>-1.9261864108746423</v>
      </c>
      <c r="AH26" s="2">
        <f t="shared" si="23"/>
        <v>-0.13850557767316474</v>
      </c>
      <c r="AI26" s="18">
        <f t="shared" si="5"/>
        <v>35</v>
      </c>
      <c r="AJ26" s="2">
        <f t="shared" si="6"/>
        <v>1</v>
      </c>
    </row>
    <row r="27" spans="1:36" ht="10.5" customHeight="1" x14ac:dyDescent="0.25">
      <c r="A27" s="17">
        <v>19</v>
      </c>
      <c r="B27" s="2">
        <f t="shared" si="2"/>
        <v>0.17312370628959386</v>
      </c>
      <c r="C27" s="4">
        <v>1</v>
      </c>
      <c r="D27" s="4">
        <v>21.641528767028952</v>
      </c>
      <c r="E27" s="18">
        <v>37</v>
      </c>
      <c r="F27" s="5">
        <v>1.2355E-2</v>
      </c>
      <c r="G27" s="5">
        <v>7.6175000000000007E-2</v>
      </c>
      <c r="H27" s="5">
        <v>9.5625000000000016E-2</v>
      </c>
      <c r="I27" s="5">
        <v>0.72124999999999995</v>
      </c>
      <c r="J27" s="5">
        <v>0.14584999999999998</v>
      </c>
      <c r="K27" s="5">
        <v>6.6700000000000009E-2</v>
      </c>
      <c r="L27" s="5">
        <v>0.55737500000000006</v>
      </c>
      <c r="M27" s="5">
        <v>0.13164999999999999</v>
      </c>
      <c r="N27" s="5">
        <v>1.1842500000000001E-2</v>
      </c>
      <c r="O27" s="5">
        <v>0.19640000000000002</v>
      </c>
      <c r="P27" s="5">
        <v>2.30175E-4</v>
      </c>
      <c r="Q27" s="5">
        <v>21.462499999999999</v>
      </c>
      <c r="R27" s="5">
        <v>0.28637499999999999</v>
      </c>
      <c r="S27" s="5">
        <v>38.53</v>
      </c>
      <c r="T27" s="18">
        <f t="shared" si="3"/>
        <v>37</v>
      </c>
      <c r="U27" s="2">
        <f t="shared" ref="U27:AH27" si="24">IF(OR(F27=0,F27&lt;0.00001,F27&gt;100000),"",IF((IF(F27&gt;F$5,ABS(LOG(((F$5/SUM($F27:$S27))/(F$4/SUM($F$4:$S$4)))*4+2,2)),ABS(LOG(((F27/SUM($F27:$S27))/(F$4/SUM($F$4:$S$4)))*4+2,2)))-3)&gt;8,(IF(F27&gt;F$5,ABS(LOG(((F$5/SUM($F27:$S27))/(F$4/SUM($F$4:$S$4)))*4+2,2)),ABS(LOG(((F27/SUM($F27:$S27))/(F$4/SUM($F$4:$S$4)))*4+2,2)))-3)/7,IF(F27&gt;F$5,ABS(LOG(((F$5/SUM($F27:$S27))/(F$4/SUM($F$4:$S$4)))*4+2,2)),ABS(LOG(((F27/SUM($F27:$S27))/(F$4/SUM($F$4:$S$4)))*4+2,2)))-3))</f>
        <v>-0.61665269907056652</v>
      </c>
      <c r="V27" s="2">
        <f t="shared" si="24"/>
        <v>3.5475818965390538E-2</v>
      </c>
      <c r="W27" s="2">
        <f t="shared" si="24"/>
        <v>1.7496644756927724</v>
      </c>
      <c r="X27" s="2">
        <f t="shared" si="24"/>
        <v>1.6711953850371817</v>
      </c>
      <c r="Y27" s="2">
        <f t="shared" si="24"/>
        <v>-0.13700044303284864</v>
      </c>
      <c r="Z27" s="2">
        <f t="shared" si="24"/>
        <v>6.0024717436591608</v>
      </c>
      <c r="AA27" s="2">
        <f t="shared" si="24"/>
        <v>3.220622394247191</v>
      </c>
      <c r="AB27" s="2">
        <f t="shared" si="24"/>
        <v>0.46232687367221814</v>
      </c>
      <c r="AC27" s="2">
        <f t="shared" si="24"/>
        <v>-1.46044049479421</v>
      </c>
      <c r="AD27" s="2">
        <f t="shared" si="24"/>
        <v>-1.5275436884182847</v>
      </c>
      <c r="AE27" s="2">
        <f t="shared" si="24"/>
        <v>-1.9999997651855792</v>
      </c>
      <c r="AF27" s="2">
        <f t="shared" si="24"/>
        <v>-0.70396916223960737</v>
      </c>
      <c r="AG27" s="2">
        <f t="shared" si="24"/>
        <v>-1.7741163389726138</v>
      </c>
      <c r="AH27" s="2">
        <f t="shared" si="24"/>
        <v>-4.2716398797642441E-2</v>
      </c>
      <c r="AI27" s="18">
        <f t="shared" si="5"/>
        <v>37</v>
      </c>
      <c r="AJ27" s="2">
        <f t="shared" si="6"/>
        <v>1</v>
      </c>
    </row>
    <row r="28" spans="1:36" ht="10.5" customHeight="1" x14ac:dyDescent="0.25">
      <c r="A28" s="17">
        <v>20</v>
      </c>
      <c r="B28" s="2">
        <f t="shared" si="2"/>
        <v>0.20375852873584388</v>
      </c>
      <c r="C28" s="4">
        <v>1</v>
      </c>
      <c r="D28" s="4">
        <v>21.18744760516395</v>
      </c>
      <c r="E28" s="18">
        <v>39</v>
      </c>
      <c r="F28" s="5">
        <v>7.9539999999999993E-3</v>
      </c>
      <c r="G28" s="5">
        <v>0.33625000000000005</v>
      </c>
      <c r="H28" s="5">
        <v>0.14355000000000001</v>
      </c>
      <c r="I28" s="5">
        <v>0.43235000000000001</v>
      </c>
      <c r="J28" s="5">
        <v>5.6550000000000003E-2</v>
      </c>
      <c r="K28" s="5">
        <v>0.1351</v>
      </c>
      <c r="L28" s="5">
        <v>1.7719999999999998</v>
      </c>
      <c r="M28" s="5">
        <v>0.18190000000000001</v>
      </c>
      <c r="N28" s="5">
        <v>7.4550000000000007E-4</v>
      </c>
      <c r="O28" s="5">
        <v>1.082E-2</v>
      </c>
      <c r="P28" s="5">
        <v>8.1149999999999994E-4</v>
      </c>
      <c r="Q28" s="5">
        <v>57.24</v>
      </c>
      <c r="R28" s="5">
        <v>8.8100000000000012E-2</v>
      </c>
      <c r="S28" s="5">
        <v>121.19999999999999</v>
      </c>
      <c r="T28" s="18">
        <f t="shared" si="3"/>
        <v>39</v>
      </c>
      <c r="U28" s="2">
        <f t="shared" ref="U28:AH28" si="25">IF(OR(F28=0,F28&lt;0.00001,F28&gt;100000),"",IF((IF(F28&gt;F$5,ABS(LOG(((F$5/SUM($F28:$S28))/(F$4/SUM($F$4:$S$4)))*4+2,2)),ABS(LOG(((F28/SUM($F28:$S28))/(F$4/SUM($F$4:$S$4)))*4+2,2)))-3)&gt;8,(IF(F28&gt;F$5,ABS(LOG(((F$5/SUM($F28:$S28))/(F$4/SUM($F$4:$S$4)))*4+2,2)),ABS(LOG(((F28/SUM($F28:$S28))/(F$4/SUM($F$4:$S$4)))*4+2,2)))-3)/7,IF(F28&gt;F$5,ABS(LOG(((F$5/SUM($F28:$S28))/(F$4/SUM($F$4:$S$4)))*4+2,2)),ABS(LOG(((F28/SUM($F28:$S28))/(F$4/SUM($F$4:$S$4)))*4+2,2)))-3))</f>
        <v>-1.5614325074834934</v>
      </c>
      <c r="V28" s="2">
        <f t="shared" si="25"/>
        <v>0.5092438826551029</v>
      </c>
      <c r="W28" s="2">
        <f t="shared" si="25"/>
        <v>0.88977071481492853</v>
      </c>
      <c r="X28" s="2">
        <f t="shared" si="25"/>
        <v>-0.2286157337298973</v>
      </c>
      <c r="Y28" s="2">
        <f t="shared" si="25"/>
        <v>-1.566186974154981</v>
      </c>
      <c r="Z28" s="2">
        <f t="shared" si="25"/>
        <v>5.479569906705235</v>
      </c>
      <c r="AA28" s="2">
        <f t="shared" si="25"/>
        <v>3.3424253677999607</v>
      </c>
      <c r="AB28" s="2">
        <f t="shared" si="25"/>
        <v>-0.35015544813640043</v>
      </c>
      <c r="AC28" s="2">
        <f t="shared" si="25"/>
        <v>-1.9859400568876242</v>
      </c>
      <c r="AD28" s="2">
        <f t="shared" si="25"/>
        <v>-1.9894747857940827</v>
      </c>
      <c r="AE28" s="2">
        <f t="shared" si="25"/>
        <v>-1.9999999194542213</v>
      </c>
      <c r="AF28" s="2">
        <f t="shared" si="25"/>
        <v>-0.77871222085887659</v>
      </c>
      <c r="AG28" s="2">
        <f t="shared" si="25"/>
        <v>-1.974424109190428</v>
      </c>
      <c r="AH28" s="2">
        <f t="shared" si="25"/>
        <v>3.9518545971515273E-2</v>
      </c>
      <c r="AI28" s="18">
        <f t="shared" si="5"/>
        <v>39</v>
      </c>
      <c r="AJ28" s="2">
        <f t="shared" si="6"/>
        <v>1</v>
      </c>
    </row>
    <row r="29" spans="1:36" ht="10.5" customHeight="1" x14ac:dyDescent="0.25">
      <c r="A29" s="17">
        <v>21</v>
      </c>
      <c r="B29" s="2">
        <f t="shared" si="2"/>
        <v>6.1767672111975522E-2</v>
      </c>
      <c r="C29" s="4">
        <v>1</v>
      </c>
      <c r="D29" s="4">
        <v>17.92013337423835</v>
      </c>
      <c r="E29" s="18">
        <v>41</v>
      </c>
      <c r="F29" s="5">
        <v>5.8950000000000009E-3</v>
      </c>
      <c r="G29" s="5">
        <v>0.2135</v>
      </c>
      <c r="H29" s="5">
        <v>0.14705000000000001</v>
      </c>
      <c r="I29" s="5">
        <v>0.56289999999999996</v>
      </c>
      <c r="J29" s="5">
        <v>2.3575000000000002E-2</v>
      </c>
      <c r="K29" s="5">
        <v>7.0254999999999998E-2</v>
      </c>
      <c r="L29" s="5">
        <v>1.3094000000000001</v>
      </c>
      <c r="M29" s="5">
        <v>0.29835</v>
      </c>
      <c r="N29" s="5">
        <v>2.2649999999999997E-3</v>
      </c>
      <c r="O29" s="5">
        <v>1.8859999999999999E-3</v>
      </c>
      <c r="P29" s="5">
        <v>8.0199999999999998E-4</v>
      </c>
      <c r="Q29" s="5">
        <v>30.689999999999998</v>
      </c>
      <c r="R29" s="5">
        <v>0.10664999999999999</v>
      </c>
      <c r="S29" s="5">
        <v>54.094999999999999</v>
      </c>
      <c r="T29" s="18">
        <f t="shared" si="3"/>
        <v>41</v>
      </c>
      <c r="U29" s="2">
        <f t="shared" ref="U29:AH29" si="26">IF(OR(F29=0,F29&lt;0.00001,F29&gt;100000),"",IF((IF(F29&gt;F$5,ABS(LOG(((F$5/SUM($F29:$S29))/(F$4/SUM($F$4:$S$4)))*4+2,2)),ABS(LOG(((F29/SUM($F29:$S29))/(F$4/SUM($F$4:$S$4)))*4+2,2)))-3)&gt;8,(IF(F29&gt;F$5,ABS(LOG(((F$5/SUM($F29:$S29))/(F$4/SUM($F$4:$S$4)))*4+2,2)),ABS(LOG(((F29/SUM($F29:$S29))/(F$4/SUM($F$4:$S$4)))*4+2,2)))-3)/7,IF(F29&gt;F$5,ABS(LOG(((F$5/SUM($F29:$S29))/(F$4/SUM($F$4:$S$4)))*4+2,2)),ABS(LOG(((F29/SUM($F29:$S29))/(F$4/SUM($F$4:$S$4)))*4+2,2)))-3))</f>
        <v>-1.3711836308505869</v>
      </c>
      <c r="V29" s="2">
        <f t="shared" si="26"/>
        <v>0.8445657627726364</v>
      </c>
      <c r="W29" s="2">
        <f t="shared" si="26"/>
        <v>1.8705894202829541</v>
      </c>
      <c r="X29" s="2">
        <f t="shared" si="26"/>
        <v>0.91084140036623129</v>
      </c>
      <c r="Y29" s="2">
        <f t="shared" si="26"/>
        <v>-1.6176832009834898</v>
      </c>
      <c r="Z29" s="2">
        <f t="shared" si="26"/>
        <v>5.5886274935135525</v>
      </c>
      <c r="AA29" s="2">
        <f t="shared" si="26"/>
        <v>3.9465375757846077</v>
      </c>
      <c r="AB29" s="2">
        <f t="shared" si="26"/>
        <v>1.048915663589197</v>
      </c>
      <c r="AC29" s="2">
        <f t="shared" si="26"/>
        <v>-1.9135759015410034</v>
      </c>
      <c r="AD29" s="2">
        <f t="shared" si="26"/>
        <v>-1.9961845833051648</v>
      </c>
      <c r="AE29" s="2">
        <f t="shared" si="26"/>
        <v>-1.9999998328799276</v>
      </c>
      <c r="AF29" s="2">
        <f t="shared" si="26"/>
        <v>-0.68891032135904817</v>
      </c>
      <c r="AG29" s="2">
        <f t="shared" si="26"/>
        <v>-1.9366014351812766</v>
      </c>
      <c r="AH29" s="2">
        <f t="shared" si="26"/>
        <v>-4.3550096918245629E-2</v>
      </c>
      <c r="AI29" s="18">
        <f t="shared" si="5"/>
        <v>41</v>
      </c>
      <c r="AJ29" s="2">
        <f t="shared" si="6"/>
        <v>1</v>
      </c>
    </row>
    <row r="30" spans="1:36" ht="10.5" customHeight="1" x14ac:dyDescent="0.25">
      <c r="A30" s="17">
        <v>22</v>
      </c>
      <c r="B30" s="2">
        <f t="shared" si="2"/>
        <v>1.1016253491703125</v>
      </c>
      <c r="C30" s="4">
        <v>1</v>
      </c>
      <c r="D30" s="4">
        <v>21.821990515285599</v>
      </c>
      <c r="E30" s="18">
        <v>44</v>
      </c>
      <c r="F30" s="5">
        <v>1.9300000000000001E-2</v>
      </c>
      <c r="G30" s="5">
        <v>0.19409999999999999</v>
      </c>
      <c r="H30" s="5">
        <v>0.18129999999999999</v>
      </c>
      <c r="I30" s="5">
        <v>0.78969999999999996</v>
      </c>
      <c r="J30" s="5">
        <v>8.5300000000000001E-2</v>
      </c>
      <c r="K30" s="5">
        <v>4.3299999999999998E-2</v>
      </c>
      <c r="L30" s="5">
        <v>1.5609999999999999</v>
      </c>
      <c r="M30" s="5">
        <v>0.3674</v>
      </c>
      <c r="N30" s="5">
        <v>7.43E-3</v>
      </c>
      <c r="O30" s="5">
        <v>0.83740000000000003</v>
      </c>
      <c r="P30" s="5">
        <v>8.3199999999999995E-4</v>
      </c>
      <c r="Q30" s="5">
        <v>12.28</v>
      </c>
      <c r="R30" s="5">
        <v>0.18959999999999999</v>
      </c>
      <c r="S30" s="5">
        <v>39.369999999999997</v>
      </c>
      <c r="T30" s="18">
        <f t="shared" si="3"/>
        <v>44</v>
      </c>
      <c r="U30" s="2">
        <f t="shared" ref="U30:AH30" si="27">IF(OR(F30=0,F30&lt;0.00001,F30&gt;100000),"",IF((IF(F30&gt;F$5,ABS(LOG(((F$5/SUM($F30:$S30))/(F$4/SUM($F$4:$S$4)))*4+2,2)),ABS(LOG(((F30/SUM($F30:$S30))/(F$4/SUM($F$4:$S$4)))*4+2,2)))-3)&gt;8,(IF(F30&gt;F$5,ABS(LOG(((F$5/SUM($F30:$S30))/(F$4/SUM($F$4:$S$4)))*4+2,2)),ABS(LOG(((F30/SUM($F30:$S30))/(F$4/SUM($F$4:$S$4)))*4+2,2)))-3)/7,IF(F30&gt;F$5,ABS(LOG(((F$5/SUM($F30:$S30))/(F$4/SUM($F$4:$S$4)))*4+2,2)),ABS(LOG(((F30/SUM($F30:$S30))/(F$4/SUM($F$4:$S$4)))*4+2,2)))-3))</f>
        <v>-7.4320905266268333E-2</v>
      </c>
      <c r="V30" s="2">
        <f t="shared" si="27"/>
        <v>1.2923723055942009</v>
      </c>
      <c r="W30" s="2">
        <f t="shared" si="27"/>
        <v>2.77054712920601</v>
      </c>
      <c r="X30" s="2">
        <f t="shared" si="27"/>
        <v>1.9370307332632599</v>
      </c>
      <c r="Y30" s="2">
        <f t="shared" si="27"/>
        <v>-0.55732178042714331</v>
      </c>
      <c r="Z30" s="2">
        <f t="shared" si="27"/>
        <v>5.5368694410566466</v>
      </c>
      <c r="AA30" s="2">
        <f t="shared" si="27"/>
        <v>4.8354067635593285</v>
      </c>
      <c r="AB30" s="2">
        <f t="shared" si="27"/>
        <v>1.9090528880612698</v>
      </c>
      <c r="AC30" s="2">
        <f t="shared" si="27"/>
        <v>-1.602808227793618</v>
      </c>
      <c r="AD30" s="2">
        <f t="shared" si="27"/>
        <v>-0.49402071991983387</v>
      </c>
      <c r="AE30" s="2">
        <f t="shared" si="27"/>
        <v>-1.9999997384502168</v>
      </c>
      <c r="AF30" s="2">
        <f t="shared" si="27"/>
        <v>-1.053184302719443</v>
      </c>
      <c r="AG30" s="2">
        <f t="shared" si="27"/>
        <v>-1.8300840446808244</v>
      </c>
      <c r="AH30" s="2">
        <f t="shared" si="27"/>
        <v>9.8150976649161503E-2</v>
      </c>
      <c r="AI30" s="18">
        <f t="shared" si="5"/>
        <v>44</v>
      </c>
      <c r="AJ30" s="2">
        <f t="shared" si="6"/>
        <v>1</v>
      </c>
    </row>
    <row r="31" spans="1:36" ht="10.5" customHeight="1" x14ac:dyDescent="0.25">
      <c r="A31" s="17">
        <v>23</v>
      </c>
      <c r="B31" s="2">
        <f t="shared" si="2"/>
        <v>1.1483493626318548E-3</v>
      </c>
      <c r="C31" s="4">
        <v>1</v>
      </c>
      <c r="D31" s="4">
        <v>20.36408173444665</v>
      </c>
      <c r="E31" s="18">
        <v>45</v>
      </c>
      <c r="F31" s="5">
        <v>5.9350000000000002E-3</v>
      </c>
      <c r="G31" s="5">
        <v>0.20345000000000002</v>
      </c>
      <c r="H31" s="5">
        <v>0.15860000000000002</v>
      </c>
      <c r="I31" s="5">
        <v>0.67210000000000003</v>
      </c>
      <c r="J31" s="5">
        <v>0.16315000000000002</v>
      </c>
      <c r="K31" s="5">
        <v>7.8949999999999992E-2</v>
      </c>
      <c r="L31" s="5">
        <v>1.4180000000000001</v>
      </c>
      <c r="M31" s="5">
        <v>0.29554999999999998</v>
      </c>
      <c r="N31" s="5">
        <v>6.2194999999999993E-2</v>
      </c>
      <c r="O31" s="5">
        <v>0.36439999999999995</v>
      </c>
      <c r="P31" s="5">
        <v>7.4449999999999994E-4</v>
      </c>
      <c r="Q31" s="5">
        <v>43.57</v>
      </c>
      <c r="R31" s="5">
        <v>8.3749999999999991E-2</v>
      </c>
      <c r="S31" s="5">
        <v>113.715</v>
      </c>
      <c r="T31" s="18">
        <f t="shared" si="3"/>
        <v>45</v>
      </c>
      <c r="U31" s="2">
        <f t="shared" ref="U31:AH31" si="28">IF(OR(F31=0,F31&lt;0.00001,F31&gt;100000),"",IF((IF(F31&gt;F$5,ABS(LOG(((F$5/SUM($F31:$S31))/(F$4/SUM($F$4:$S$4)))*4+2,2)),ABS(LOG(((F31/SUM($F31:$S31))/(F$4/SUM($F$4:$S$4)))*4+2,2)))-3)&gt;8,(IF(F31&gt;F$5,ABS(LOG(((F$5/SUM($F31:$S31))/(F$4/SUM($F$4:$S$4)))*4+2,2)),ABS(LOG(((F31/SUM($F31:$S31))/(F$4/SUM($F$4:$S$4)))*4+2,2)))-3)/7,IF(F31&gt;F$5,ABS(LOG(((F$5/SUM($F31:$S31))/(F$4/SUM($F$4:$S$4)))*4+2,2)),ABS(LOG(((F31/SUM($F31:$S31))/(F$4/SUM($F$4:$S$4)))*4+2,2)))-3))</f>
        <v>-1.6221592002986454</v>
      </c>
      <c r="V31" s="2">
        <f t="shared" si="28"/>
        <v>7.2876761903750253E-2</v>
      </c>
      <c r="W31" s="2">
        <f t="shared" si="28"/>
        <v>1.1700371613587581</v>
      </c>
      <c r="X31" s="2">
        <f t="shared" si="28"/>
        <v>0.38903687296013834</v>
      </c>
      <c r="Y31" s="2">
        <f t="shared" si="28"/>
        <v>-0.90030943320969659</v>
      </c>
      <c r="Z31" s="2">
        <f t="shared" si="28"/>
        <v>4.8843299432408109</v>
      </c>
      <c r="AA31" s="2">
        <f t="shared" si="28"/>
        <v>3.20030242316097</v>
      </c>
      <c r="AB31" s="2">
        <f t="shared" si="28"/>
        <v>0.29968028171087724</v>
      </c>
      <c r="AC31" s="2">
        <f t="shared" si="28"/>
        <v>-1.0568012444013635</v>
      </c>
      <c r="AD31" s="2">
        <f t="shared" si="28"/>
        <v>-1.6455232201474388</v>
      </c>
      <c r="AE31" s="2">
        <f t="shared" si="28"/>
        <v>-1.9999999090276683</v>
      </c>
      <c r="AF31" s="2">
        <f t="shared" si="28"/>
        <v>-0.89918968069292182</v>
      </c>
      <c r="AG31" s="2">
        <f t="shared" si="28"/>
        <v>-1.9725574540903321</v>
      </c>
      <c r="AH31" s="2">
        <f t="shared" si="28"/>
        <v>0.10326439461102277</v>
      </c>
      <c r="AI31" s="18">
        <f t="shared" si="5"/>
        <v>45</v>
      </c>
      <c r="AJ31" s="2">
        <f t="shared" si="6"/>
        <v>1</v>
      </c>
    </row>
    <row r="32" spans="1:36" ht="10.5" customHeight="1" x14ac:dyDescent="0.25">
      <c r="A32" s="17">
        <v>24</v>
      </c>
      <c r="B32" s="2">
        <f t="shared" si="2"/>
        <v>1.0499910070088216</v>
      </c>
      <c r="C32" s="4">
        <v>1</v>
      </c>
      <c r="D32" s="4">
        <v>20.040970538845052</v>
      </c>
      <c r="E32" s="18">
        <v>47</v>
      </c>
      <c r="F32" s="5">
        <v>0.15040000000000001</v>
      </c>
      <c r="G32" s="5">
        <v>0.211225</v>
      </c>
      <c r="H32" s="5">
        <v>0.24537500000000001</v>
      </c>
      <c r="I32" s="5">
        <v>0.75890000000000002</v>
      </c>
      <c r="J32" s="5">
        <v>0.1084</v>
      </c>
      <c r="K32" s="5">
        <v>2.3300000000000001E-2</v>
      </c>
      <c r="L32" s="5">
        <v>1.7075</v>
      </c>
      <c r="M32" s="5">
        <v>0.40887499999999999</v>
      </c>
      <c r="N32" s="5">
        <v>8.1650000000000004E-3</v>
      </c>
      <c r="O32" s="5">
        <v>2.0924999999999999E-2</v>
      </c>
      <c r="P32" s="5">
        <v>5.0350000000000004E-4</v>
      </c>
      <c r="Q32" s="5">
        <v>16.47</v>
      </c>
      <c r="R32" s="5">
        <v>0.26974999999999999</v>
      </c>
      <c r="S32" s="5">
        <v>59.895000000000003</v>
      </c>
      <c r="T32" s="18">
        <f t="shared" si="3"/>
        <v>47</v>
      </c>
      <c r="U32" s="2">
        <f t="shared" ref="U32:AH32" si="29">IF(OR(F32=0,F32&lt;0.00001,F32&gt;100000),"",IF((IF(F32&gt;F$5,ABS(LOG(((F$5/SUM($F32:$S32))/(F$4/SUM($F$4:$S$4)))*4+2,2)),ABS(LOG(((F32/SUM($F32:$S32))/(F$4/SUM($F$4:$S$4)))*4+2,2)))-3)&gt;8,(IF(F32&gt;F$5,ABS(LOG(((F$5/SUM($F32:$S32))/(F$4/SUM($F$4:$S$4)))*4+2,2)),ABS(LOG(((F32/SUM($F32:$S32))/(F$4/SUM($F$4:$S$4)))*4+2,2)))-3)/7,IF(F32&gt;F$5,ABS(LOG(((F$5/SUM($F32:$S32))/(F$4/SUM($F$4:$S$4)))*4+2,2)),ABS(LOG(((F32/SUM($F32:$S32))/(F$4/SUM($F$4:$S$4)))*4+2,2)))-3))</f>
        <v>2.0175938037152461</v>
      </c>
      <c r="V32" s="2">
        <f t="shared" si="29"/>
        <v>0.93911099737726467</v>
      </c>
      <c r="W32" s="2">
        <f t="shared" si="29"/>
        <v>2.6888812262891868</v>
      </c>
      <c r="X32" s="2">
        <f t="shared" si="29"/>
        <v>1.4039281039865656</v>
      </c>
      <c r="Y32" s="2">
        <f t="shared" si="29"/>
        <v>-0.66588752257535466</v>
      </c>
      <c r="Z32" s="2">
        <f t="shared" si="29"/>
        <v>4.1342550892088825</v>
      </c>
      <c r="AA32" s="2">
        <f t="shared" si="29"/>
        <v>4.447287142701037</v>
      </c>
      <c r="AB32" s="2">
        <f t="shared" si="29"/>
        <v>1.5694545880898128</v>
      </c>
      <c r="AC32" s="2">
        <f t="shared" si="29"/>
        <v>-1.6865881244488172</v>
      </c>
      <c r="AD32" s="2">
        <f t="shared" si="29"/>
        <v>-1.954509412388564</v>
      </c>
      <c r="AE32" s="2">
        <f t="shared" si="29"/>
        <v>-1.9999998177888252</v>
      </c>
      <c r="AF32" s="2">
        <f t="shared" si="29"/>
        <v>-1.0994882293679786</v>
      </c>
      <c r="AG32" s="2">
        <f t="shared" si="29"/>
        <v>-1.8315017224538126</v>
      </c>
      <c r="AH32" s="2">
        <f t="shared" si="29"/>
        <v>0.16286027405531156</v>
      </c>
      <c r="AI32" s="18">
        <f t="shared" si="5"/>
        <v>47</v>
      </c>
      <c r="AJ32" s="2">
        <f t="shared" si="6"/>
        <v>1</v>
      </c>
    </row>
    <row r="33" spans="1:36" ht="10.5" customHeight="1" x14ac:dyDescent="0.25">
      <c r="A33" s="17">
        <v>25</v>
      </c>
      <c r="B33" s="2">
        <f t="shared" si="2"/>
        <v>4.3675939477709015E-2</v>
      </c>
      <c r="C33" s="4">
        <v>1</v>
      </c>
      <c r="D33" s="4">
        <v>18.769136058799653</v>
      </c>
      <c r="E33" s="18">
        <v>49</v>
      </c>
      <c r="F33" s="5">
        <v>1.4874999999999999E-3</v>
      </c>
      <c r="G33" s="5">
        <v>0.56559999999999999</v>
      </c>
      <c r="H33" s="5">
        <v>0.34545000000000003</v>
      </c>
      <c r="I33" s="5">
        <v>0.94995000000000007</v>
      </c>
      <c r="J33" s="5">
        <v>8.9849999999999999E-2</v>
      </c>
      <c r="K33" s="5">
        <v>3.295E-2</v>
      </c>
      <c r="L33" s="5">
        <v>1.9725000000000001</v>
      </c>
      <c r="M33" s="5">
        <v>0.27390000000000003</v>
      </c>
      <c r="N33" s="5">
        <v>1.205E-2</v>
      </c>
      <c r="O33" s="5">
        <v>1.915E-3</v>
      </c>
      <c r="P33" s="5">
        <v>5.1599999999999997E-4</v>
      </c>
      <c r="Q33" s="5">
        <v>48.515000000000001</v>
      </c>
      <c r="R33" s="5">
        <v>0.20385</v>
      </c>
      <c r="S33" s="5">
        <v>129.14500000000001</v>
      </c>
      <c r="T33" s="18">
        <f t="shared" si="3"/>
        <v>49</v>
      </c>
      <c r="U33" s="2">
        <f t="shared" ref="U33:AH33" si="30">IF(OR(F33=0,F33&lt;0.00001,F33&gt;100000),"",IF((IF(F33&gt;F$5,ABS(LOG(((F$5/SUM($F33:$S33))/(F$4/SUM($F$4:$S$4)))*4+2,2)),ABS(LOG(((F33/SUM($F33:$S33))/(F$4/SUM($F$4:$S$4)))*4+2,2)))-3)&gt;8,(IF(F33&gt;F$5,ABS(LOG(((F$5/SUM($F33:$S33))/(F$4/SUM($F$4:$S$4)))*4+2,2)),ABS(LOG(((F33/SUM($F33:$S33))/(F$4/SUM($F$4:$S$4)))*4+2,2)))-3)/7,IF(F33&gt;F$5,ABS(LOG(((F$5/SUM($F33:$S33))/(F$4/SUM($F$4:$S$4)))*4+2,2)),ABS(LOG(((F33/SUM($F33:$S33))/(F$4/SUM($F$4:$S$4)))*4+2,2)))-3))</f>
        <v>-1.9074488909417744</v>
      </c>
      <c r="V33" s="2">
        <f t="shared" si="30"/>
        <v>1.1493455786704834</v>
      </c>
      <c r="W33" s="2">
        <f t="shared" si="30"/>
        <v>2.0344366731706121</v>
      </c>
      <c r="X33" s="2">
        <f t="shared" si="30"/>
        <v>0.65280858065799485</v>
      </c>
      <c r="Y33" s="2">
        <f t="shared" si="30"/>
        <v>-1.3623173326984457</v>
      </c>
      <c r="Z33" s="2">
        <f t="shared" si="30"/>
        <v>3.4648305319704882</v>
      </c>
      <c r="AA33" s="2">
        <f t="shared" si="30"/>
        <v>3.4895445529892113</v>
      </c>
      <c r="AB33" s="2">
        <f t="shared" si="30"/>
        <v>7.3967941746411192E-2</v>
      </c>
      <c r="AC33" s="2">
        <f t="shared" si="30"/>
        <v>-1.788543277843665</v>
      </c>
      <c r="AD33" s="2">
        <f t="shared" si="30"/>
        <v>-1.998136738479394</v>
      </c>
      <c r="AE33" s="2">
        <f t="shared" si="30"/>
        <v>-1.9999999196770866</v>
      </c>
      <c r="AF33" s="2">
        <f t="shared" si="30"/>
        <v>-0.91222549816665222</v>
      </c>
      <c r="AG33" s="2">
        <f t="shared" si="30"/>
        <v>-1.9416546775337868</v>
      </c>
      <c r="AH33" s="2">
        <f t="shared" si="30"/>
        <v>0.10629836010660787</v>
      </c>
      <c r="AI33" s="18">
        <f t="shared" si="5"/>
        <v>49</v>
      </c>
      <c r="AJ33" s="2">
        <f t="shared" si="6"/>
        <v>1</v>
      </c>
    </row>
    <row r="34" spans="1:36" ht="10.5" customHeight="1" x14ac:dyDescent="0.25">
      <c r="A34" s="17">
        <v>26</v>
      </c>
      <c r="B34" s="2">
        <f t="shared" si="2"/>
        <v>1.5859731217074818E-2</v>
      </c>
      <c r="C34" s="4">
        <v>1</v>
      </c>
      <c r="D34" s="4">
        <v>18.852593602791401</v>
      </c>
      <c r="E34" s="18">
        <v>51</v>
      </c>
      <c r="F34" s="5">
        <v>1.8599999999999998E-2</v>
      </c>
      <c r="G34" s="5">
        <v>0.1552</v>
      </c>
      <c r="H34" s="5">
        <v>0.2676</v>
      </c>
      <c r="I34" s="5">
        <v>0.51939999999999997</v>
      </c>
      <c r="J34" s="5">
        <v>8.5800000000000001E-2</v>
      </c>
      <c r="K34" s="5">
        <v>0.20699999999999999</v>
      </c>
      <c r="L34" s="5">
        <v>0.62590000000000001</v>
      </c>
      <c r="M34" s="5">
        <v>0.30209999999999998</v>
      </c>
      <c r="N34" s="5">
        <v>7.3899999999999999E-3</v>
      </c>
      <c r="O34" s="5">
        <v>0.31159999999999999</v>
      </c>
      <c r="P34" s="5">
        <v>4.4799999999999999E-4</v>
      </c>
      <c r="Q34" s="5">
        <v>51.88</v>
      </c>
      <c r="R34" s="5">
        <v>0.1144</v>
      </c>
      <c r="S34" s="5">
        <v>106.7</v>
      </c>
      <c r="T34" s="18">
        <f t="shared" si="3"/>
        <v>51</v>
      </c>
      <c r="U34" s="2">
        <f t="shared" ref="U34:AH34" si="31">IF(OR(F34=0,F34&lt;0.00001,F34&gt;100000),"",IF((IF(F34&gt;F$5,ABS(LOG(((F$5/SUM($F34:$S34))/(F$4/SUM($F$4:$S$4)))*4+2,2)),ABS(LOG(((F34/SUM($F34:$S34))/(F$4/SUM($F$4:$S$4)))*4+2,2)))-3)&gt;8,(IF(F34&gt;F$5,ABS(LOG(((F$5/SUM($F34:$S34))/(F$4/SUM($F$4:$S$4)))*4+2,2)),ABS(LOG(((F34/SUM($F34:$S34))/(F$4/SUM($F$4:$S$4)))*4+2,2)))-3)/7,IF(F34&gt;F$5,ABS(LOG(((F$5/SUM($F34:$S34))/(F$4/SUM($F$4:$S$4)))*4+2,2)),ABS(LOG(((F34/SUM($F34:$S34))/(F$4/SUM($F$4:$S$4)))*4+2,2)))-3))</f>
        <v>-1.0469642500045053</v>
      </c>
      <c r="V34" s="2">
        <f t="shared" si="31"/>
        <v>-0.21738427552325712</v>
      </c>
      <c r="W34" s="2">
        <f t="shared" si="31"/>
        <v>1.854543138932363</v>
      </c>
      <c r="X34" s="2">
        <f t="shared" si="31"/>
        <v>9.321912991131498E-2</v>
      </c>
      <c r="Y34" s="2">
        <f t="shared" si="31"/>
        <v>-1.3222524884953792</v>
      </c>
      <c r="Z34" s="2">
        <f t="shared" si="31"/>
        <v>6.2637702894815455</v>
      </c>
      <c r="AA34" s="2">
        <f t="shared" si="31"/>
        <v>2.0658717950175483</v>
      </c>
      <c r="AB34" s="2">
        <f t="shared" si="31"/>
        <v>0.32204274666335753</v>
      </c>
      <c r="AC34" s="2">
        <f t="shared" si="31"/>
        <v>-1.8502582976172579</v>
      </c>
      <c r="AD34" s="2">
        <f t="shared" si="31"/>
        <v>-1.6924911964943323</v>
      </c>
      <c r="AE34" s="2">
        <f t="shared" si="31"/>
        <v>-1.9999999092554517</v>
      </c>
      <c r="AF34" s="2">
        <f t="shared" si="31"/>
        <v>-0.76141253735982373</v>
      </c>
      <c r="AG34" s="2">
        <f t="shared" si="31"/>
        <v>-1.9627356991100817</v>
      </c>
      <c r="AH34" s="2">
        <f t="shared" si="31"/>
        <v>3.0576940315881096E-2</v>
      </c>
      <c r="AI34" s="18">
        <f t="shared" si="5"/>
        <v>51</v>
      </c>
      <c r="AJ34" s="2">
        <f t="shared" si="6"/>
        <v>1</v>
      </c>
    </row>
    <row r="35" spans="1:36" ht="10.5" customHeight="1" x14ac:dyDescent="0.25">
      <c r="A35" s="17">
        <v>27</v>
      </c>
      <c r="B35" s="2">
        <f t="shared" si="2"/>
        <v>0.71225677219077776</v>
      </c>
      <c r="C35" s="4">
        <v>1</v>
      </c>
      <c r="D35" s="4">
        <v>22.170444211680351</v>
      </c>
      <c r="E35" s="18">
        <v>53</v>
      </c>
      <c r="F35" s="5">
        <v>1.0000000000000001E-5</v>
      </c>
      <c r="G35" s="5">
        <v>0.1537</v>
      </c>
      <c r="H35" s="5">
        <v>0.1741</v>
      </c>
      <c r="I35" s="5">
        <v>7.12</v>
      </c>
      <c r="J35" s="5">
        <v>0.13009999999999999</v>
      </c>
      <c r="K35" s="5">
        <v>5.1700000000000001E-3</v>
      </c>
      <c r="L35" s="5">
        <v>1.1479999999999999</v>
      </c>
      <c r="M35" s="5">
        <v>0.1164</v>
      </c>
      <c r="N35" s="5">
        <v>6.5699999999999995E-2</v>
      </c>
      <c r="O35" s="5">
        <v>4.1599999999999997E-4</v>
      </c>
      <c r="P35" s="5">
        <v>1.2800000000000001E-3</v>
      </c>
      <c r="Q35" s="5">
        <v>26.75</v>
      </c>
      <c r="R35" s="5">
        <v>2.4700000000000002</v>
      </c>
      <c r="S35" s="5">
        <v>13.23</v>
      </c>
      <c r="T35" s="18">
        <f t="shared" si="3"/>
        <v>53</v>
      </c>
      <c r="U35" s="2">
        <f t="shared" ref="U35:AH35" si="32">IF(OR(F35=0,F35&lt;0.00001,F35&gt;100000),"",IF((IF(F35&gt;F$5,ABS(LOG(((F$5/SUM($F35:$S35))/(F$4/SUM($F$4:$S$4)))*4+2,2)),ABS(LOG(((F35/SUM($F35:$S35))/(F$4/SUM($F$4:$S$4)))*4+2,2)))-3)&gt;8,(IF(F35&gt;F$5,ABS(LOG(((F$5/SUM($F35:$S35))/(F$4/SUM($F$4:$S$4)))*4+2,2)),ABS(LOG(((F35/SUM($F35:$S35))/(F$4/SUM($F$4:$S$4)))*4+2,2)))-3)/7,IF(F35&gt;F$5,ABS(LOG(((F$5/SUM($F35:$S35))/(F$4/SUM($F$4:$S$4)))*4+2,2)),ABS(LOG(((F35/SUM($F35:$S35))/(F$4/SUM($F$4:$S$4)))*4+2,2)))-3))</f>
        <v>-1.9977235696668236</v>
      </c>
      <c r="V35" s="2">
        <f t="shared" si="32"/>
        <v>1.1017911645964249</v>
      </c>
      <c r="W35" s="2">
        <f t="shared" si="32"/>
        <v>2.8325328869726523</v>
      </c>
      <c r="X35" s="2">
        <f t="shared" si="32"/>
        <v>5.1451074571704378</v>
      </c>
      <c r="Y35" s="2">
        <f t="shared" si="32"/>
        <v>-5.3856609448233339E-2</v>
      </c>
      <c r="Z35" s="2">
        <f t="shared" si="32"/>
        <v>2.6445670086124471</v>
      </c>
      <c r="AA35" s="2">
        <f t="shared" si="32"/>
        <v>4.5179532039177994</v>
      </c>
      <c r="AB35" s="2">
        <f t="shared" si="32"/>
        <v>0.54527057163970527</v>
      </c>
      <c r="AC35" s="2">
        <f t="shared" si="32"/>
        <v>1.8445094566314602E-2</v>
      </c>
      <c r="AD35" s="2">
        <f t="shared" si="32"/>
        <v>-1.9985647406162534</v>
      </c>
      <c r="AE35" s="2">
        <f t="shared" si="32"/>
        <v>-1.9999997152216193</v>
      </c>
      <c r="AF35" s="2">
        <f t="shared" si="32"/>
        <v>-0.32187697392520853</v>
      </c>
      <c r="AG35" s="2">
        <f t="shared" si="32"/>
        <v>-0.52857777827188945</v>
      </c>
      <c r="AH35" s="2">
        <f t="shared" si="32"/>
        <v>-0.86204006152758561</v>
      </c>
      <c r="AI35" s="18">
        <f t="shared" si="5"/>
        <v>53</v>
      </c>
      <c r="AJ35" s="2">
        <f t="shared" si="6"/>
        <v>1</v>
      </c>
    </row>
    <row r="36" spans="1:36" ht="10.5" customHeight="1" x14ac:dyDescent="0.25">
      <c r="A36" s="17">
        <v>28</v>
      </c>
      <c r="B36" s="2">
        <f t="shared" si="2"/>
        <v>2.4812752436589012</v>
      </c>
      <c r="C36" s="4">
        <v>1</v>
      </c>
      <c r="D36" s="4">
        <v>26.8605089089811</v>
      </c>
      <c r="E36" s="18">
        <v>55</v>
      </c>
      <c r="F36" s="5">
        <v>2.1505000000000001E-3</v>
      </c>
      <c r="G36" s="5">
        <v>3.0100000000000001E-3</v>
      </c>
      <c r="H36" s="5">
        <v>2.1825000000000001</v>
      </c>
      <c r="I36" s="5">
        <v>3.1505000000000001</v>
      </c>
      <c r="J36" s="5">
        <v>1.5819000000000001</v>
      </c>
      <c r="K36" s="5">
        <v>9.9299999999999999E-2</v>
      </c>
      <c r="L36" s="5">
        <v>1.9554999999999998E-3</v>
      </c>
      <c r="M36" s="5">
        <v>6.2399999999999997E-2</v>
      </c>
      <c r="N36" s="5">
        <v>2.0599999999999999E-4</v>
      </c>
      <c r="O36" s="5">
        <v>9.1430000000000007</v>
      </c>
      <c r="P36" s="5">
        <v>9.11E-3</v>
      </c>
      <c r="Q36" s="5">
        <v>0.62124999999999997</v>
      </c>
      <c r="R36" s="5">
        <v>3.2664999999999997</v>
      </c>
      <c r="S36" s="5">
        <v>10.6555</v>
      </c>
      <c r="T36" s="18">
        <f t="shared" si="3"/>
        <v>55</v>
      </c>
      <c r="U36" s="2">
        <f t="shared" ref="U36:AH36" si="33">IF(OR(F36=0,F36&lt;0.00001,F36&gt;100000),"",IF((IF(F36&gt;F$5,ABS(LOG(((F$5/SUM($F36:$S36))/(F$4/SUM($F$4:$S$4)))*4+2,2)),ABS(LOG(((F36/SUM($F36:$S36))/(F$4/SUM($F$4:$S$4)))*4+2,2)))-3)&gt;8,(IF(F36&gt;F$5,ABS(LOG(((F$5/SUM($F36:$S36))/(F$4/SUM($F$4:$S$4)))*4+2,2)),ABS(LOG(((F36/SUM($F36:$S36))/(F$4/SUM($F$4:$S$4)))*4+2,2)))-3)/7,IF(F36&gt;F$5,ABS(LOG(((F$5/SUM($F36:$S36))/(F$4/SUM($F$4:$S$4)))*4+2,2)),ABS(LOG(((F36/SUM($F36:$S36))/(F$4/SUM($F$4:$S$4)))*4+2,2)))-3))</f>
        <v>-1.3522512214670686</v>
      </c>
      <c r="V36" s="2">
        <f t="shared" si="33"/>
        <v>-1.6805172984136036</v>
      </c>
      <c r="W36" s="2">
        <f t="shared" si="33"/>
        <v>7.1703119111276834</v>
      </c>
      <c r="X36" s="2">
        <f t="shared" si="33"/>
        <v>4.711239616948836</v>
      </c>
      <c r="Y36" s="2">
        <f t="shared" si="33"/>
        <v>3.880189956001816</v>
      </c>
      <c r="Z36" s="2">
        <f t="shared" si="33"/>
        <v>7.5899562795435074</v>
      </c>
      <c r="AA36" s="2">
        <f t="shared" si="33"/>
        <v>-1.6692505015106547</v>
      </c>
      <c r="AB36" s="2">
        <f t="shared" si="33"/>
        <v>0.41344299093881531</v>
      </c>
      <c r="AC36" s="2">
        <f t="shared" si="33"/>
        <v>-1.9771467061226935</v>
      </c>
      <c r="AD36" s="2">
        <f t="shared" si="33"/>
        <v>3.229084426833368</v>
      </c>
      <c r="AE36" s="2">
        <f t="shared" si="33"/>
        <v>-1.9999995247580744</v>
      </c>
      <c r="AF36" s="2">
        <f t="shared" si="33"/>
        <v>-1.881946205307867</v>
      </c>
      <c r="AG36" s="2">
        <f t="shared" si="33"/>
        <v>0.29655238226802094</v>
      </c>
      <c r="AH36" s="2">
        <f t="shared" si="33"/>
        <v>-0.6138407025054895</v>
      </c>
      <c r="AI36" s="18">
        <f t="shared" si="5"/>
        <v>55</v>
      </c>
      <c r="AJ36" s="2">
        <f t="shared" si="6"/>
        <v>1</v>
      </c>
    </row>
    <row r="37" spans="1:36" ht="10.5" customHeight="1" x14ac:dyDescent="0.25">
      <c r="A37" s="17">
        <v>29</v>
      </c>
      <c r="B37" s="2">
        <f t="shared" si="2"/>
        <v>1.5642354658211566</v>
      </c>
      <c r="C37" s="4">
        <v>1</v>
      </c>
      <c r="D37" s="4">
        <v>20.945889395836701</v>
      </c>
      <c r="E37" s="18">
        <v>57</v>
      </c>
      <c r="F37" s="5">
        <v>2.9199999999999999E-3</v>
      </c>
      <c r="G37" s="5">
        <v>0.2467</v>
      </c>
      <c r="H37" s="5">
        <v>0.2011</v>
      </c>
      <c r="I37" s="5">
        <v>0.99570000000000003</v>
      </c>
      <c r="J37" s="5">
        <v>0.22750000000000001</v>
      </c>
      <c r="K37" s="5">
        <v>0.1741</v>
      </c>
      <c r="L37" s="5">
        <v>1.236</v>
      </c>
      <c r="M37" s="5">
        <v>0.37959999999999999</v>
      </c>
      <c r="N37" s="5">
        <v>1.1900000000000001E-2</v>
      </c>
      <c r="O37" s="5">
        <v>7.4300000000000005E-2</v>
      </c>
      <c r="P37" s="5">
        <v>5.9100000000000005E-4</v>
      </c>
      <c r="Q37" s="5">
        <v>12.7</v>
      </c>
      <c r="R37" s="5">
        <v>0.39829999999999999</v>
      </c>
      <c r="S37" s="5">
        <v>47.6</v>
      </c>
      <c r="T37" s="18">
        <f t="shared" si="3"/>
        <v>57</v>
      </c>
      <c r="U37" s="2">
        <f t="shared" ref="U37:AH37" si="34">IF(OR(F37=0,F37&lt;0.00001,F37&gt;100000),"",IF((IF(F37&gt;F$5,ABS(LOG(((F$5/SUM($F37:$S37))/(F$4/SUM($F$4:$S$4)))*4+2,2)),ABS(LOG(((F37/SUM($F37:$S37))/(F$4/SUM($F$4:$S$4)))*4+2,2)))-3)&gt;8,(IF(F37&gt;F$5,ABS(LOG(((F$5/SUM($F37:$S37))/(F$4/SUM($F$4:$S$4)))*4+2,2)),ABS(LOG(((F37/SUM($F37:$S37))/(F$4/SUM($F$4:$S$4)))*4+2,2)))-3)/7,IF(F37&gt;F$5,ABS(LOG(((F$5/SUM($F37:$S37))/(F$4/SUM($F$4:$S$4)))*4+2,2)),ABS(LOG(((F37/SUM($F37:$S37))/(F$4/SUM($F$4:$S$4)))*4+2,2)))-3))</f>
        <v>-1.5472527539570586</v>
      </c>
      <c r="V37" s="2">
        <f t="shared" si="34"/>
        <v>1.4239717768134312</v>
      </c>
      <c r="W37" s="2">
        <f t="shared" si="34"/>
        <v>2.7218353948453293</v>
      </c>
      <c r="X37" s="2">
        <f t="shared" si="34"/>
        <v>2.0629105022542609</v>
      </c>
      <c r="Y37" s="2">
        <f t="shared" si="34"/>
        <v>0.31877510581565138</v>
      </c>
      <c r="Z37" s="2">
        <f t="shared" si="34"/>
        <v>7.3386556410949169</v>
      </c>
      <c r="AA37" s="2">
        <f t="shared" si="34"/>
        <v>4.3041684446896014</v>
      </c>
      <c r="AB37" s="2">
        <f t="shared" si="34"/>
        <v>1.7667547565592043</v>
      </c>
      <c r="AC37" s="2">
        <f t="shared" si="34"/>
        <v>-1.4720610831277772</v>
      </c>
      <c r="AD37" s="2">
        <f t="shared" si="34"/>
        <v>-1.8082799687079165</v>
      </c>
      <c r="AE37" s="2">
        <f t="shared" si="34"/>
        <v>-1.9999997723284053</v>
      </c>
      <c r="AF37" s="2">
        <f t="shared" si="34"/>
        <v>-1.1241589437561783</v>
      </c>
      <c r="AG37" s="2">
        <f t="shared" si="34"/>
        <v>-1.7030244333182873</v>
      </c>
      <c r="AH37" s="2">
        <f t="shared" si="34"/>
        <v>0.15499775056452636</v>
      </c>
      <c r="AI37" s="18">
        <f t="shared" si="5"/>
        <v>57</v>
      </c>
      <c r="AJ37" s="2">
        <f t="shared" si="6"/>
        <v>1</v>
      </c>
    </row>
    <row r="38" spans="1:36" ht="10.5" customHeight="1" x14ac:dyDescent="0.25">
      <c r="A38" s="17">
        <v>30</v>
      </c>
      <c r="B38" s="2">
        <f t="shared" si="2"/>
        <v>6.2772881329441574E-2</v>
      </c>
      <c r="C38" s="4">
        <v>1</v>
      </c>
      <c r="D38" s="4">
        <v>21.0454160228131</v>
      </c>
      <c r="E38" s="18">
        <v>59</v>
      </c>
      <c r="F38" s="5">
        <v>1.49E-2</v>
      </c>
      <c r="G38" s="5">
        <v>8.5199999999999998E-2</v>
      </c>
      <c r="H38" s="5">
        <v>9.2799999999999994E-2</v>
      </c>
      <c r="I38" s="5">
        <v>0.56340000000000001</v>
      </c>
      <c r="J38" s="5">
        <v>0.5585</v>
      </c>
      <c r="K38" s="5">
        <v>0.33339999999999997</v>
      </c>
      <c r="L38" s="5">
        <v>0.64649999999999996</v>
      </c>
      <c r="M38" s="5">
        <v>0.23730000000000001</v>
      </c>
      <c r="N38" s="5">
        <v>3.0700000000000002E-2</v>
      </c>
      <c r="O38" s="5">
        <v>0.62439999999999996</v>
      </c>
      <c r="P38" s="5">
        <v>6.5099999999999999E-4</v>
      </c>
      <c r="Q38" s="5">
        <v>50.23</v>
      </c>
      <c r="R38" s="5">
        <v>0.32129999999999997</v>
      </c>
      <c r="S38" s="5">
        <v>78.81</v>
      </c>
      <c r="T38" s="18">
        <f t="shared" si="3"/>
        <v>59</v>
      </c>
      <c r="U38" s="2">
        <f t="shared" ref="U38:AH38" si="35">IF(OR(F38=0,F38&lt;0.00001,F38&gt;100000),"",IF((IF(F38&gt;F$5,ABS(LOG(((F$5/SUM($F38:$S38))/(F$4/SUM($F$4:$S$4)))*4+2,2)),ABS(LOG(((F38/SUM($F38:$S38))/(F$4/SUM($F$4:$S$4)))*4+2,2)))-3)&gt;8,(IF(F38&gt;F$5,ABS(LOG(((F$5/SUM($F38:$S38))/(F$4/SUM($F$4:$S$4)))*4+2,2)),ABS(LOG(((F38/SUM($F38:$S38))/(F$4/SUM($F$4:$S$4)))*4+2,2)))-3)/7,IF(F38&gt;F$5,ABS(LOG(((F$5/SUM($F38:$S38))/(F$4/SUM($F$4:$S$4)))*4+2,2)),ABS(LOG(((F38/SUM($F38:$S38))/(F$4/SUM($F$4:$S$4)))*4+2,2)))-3))</f>
        <v>-1.0650702814007682</v>
      </c>
      <c r="V38" s="2">
        <f t="shared" si="35"/>
        <v>-0.60531982434344256</v>
      </c>
      <c r="W38" s="2">
        <f t="shared" si="35"/>
        <v>0.73959888550326491</v>
      </c>
      <c r="X38" s="2">
        <f t="shared" si="35"/>
        <v>0.40860862946664733</v>
      </c>
      <c r="Y38" s="2">
        <f t="shared" si="35"/>
        <v>0.52276398770385413</v>
      </c>
      <c r="Z38" s="2">
        <f t="shared" si="35"/>
        <v>7.2313788964504742</v>
      </c>
      <c r="AA38" s="2">
        <f t="shared" si="35"/>
        <v>2.3772008230748209</v>
      </c>
      <c r="AB38" s="2">
        <f t="shared" si="35"/>
        <v>0.26946205329318262</v>
      </c>
      <c r="AC38" s="2">
        <f t="shared" si="35"/>
        <v>-1.3653602646571275</v>
      </c>
      <c r="AD38" s="2">
        <f t="shared" si="35"/>
        <v>-1.3410466586053618</v>
      </c>
      <c r="AE38" s="2">
        <f t="shared" si="35"/>
        <v>-1.9999998896438187</v>
      </c>
      <c r="AF38" s="2">
        <f t="shared" si="35"/>
        <v>-0.62096888113079141</v>
      </c>
      <c r="AG38" s="2">
        <f t="shared" si="35"/>
        <v>-1.8765036640030028</v>
      </c>
      <c r="AH38" s="2">
        <f t="shared" si="35"/>
        <v>-8.4789988451476894E-2</v>
      </c>
      <c r="AI38" s="18">
        <f t="shared" si="5"/>
        <v>59</v>
      </c>
      <c r="AJ38" s="2">
        <f t="shared" si="6"/>
        <v>1</v>
      </c>
    </row>
    <row r="39" spans="1:36" ht="10.5" customHeight="1" x14ac:dyDescent="0.25">
      <c r="A39" s="17">
        <v>31</v>
      </c>
      <c r="B39" s="2">
        <f t="shared" si="2"/>
        <v>7.1174763768116572E-2</v>
      </c>
      <c r="C39" s="4">
        <v>1</v>
      </c>
      <c r="D39" s="4">
        <v>19.6017012029541</v>
      </c>
      <c r="E39" s="18">
        <v>61</v>
      </c>
      <c r="F39" s="5">
        <v>8.9499999999999996E-3</v>
      </c>
      <c r="G39" s="5">
        <v>0.1075</v>
      </c>
      <c r="H39" s="5">
        <v>9.4E-2</v>
      </c>
      <c r="I39" s="5">
        <v>0.35410000000000003</v>
      </c>
      <c r="J39" s="5">
        <v>5.9499999999999997E-2</v>
      </c>
      <c r="K39" s="5">
        <v>0.21429999999999999</v>
      </c>
      <c r="L39" s="5">
        <v>0.70320000000000005</v>
      </c>
      <c r="M39" s="5">
        <v>0.2079</v>
      </c>
      <c r="N39" s="5">
        <v>2.7899999999999999E-3</v>
      </c>
      <c r="O39" s="5">
        <v>4.9700000000000001E-2</v>
      </c>
      <c r="P39" s="5">
        <v>3.8899999999999997E-5</v>
      </c>
      <c r="Q39" s="5">
        <v>28.03</v>
      </c>
      <c r="R39" s="5">
        <v>0.18329999999999999</v>
      </c>
      <c r="S39" s="5">
        <v>85.06</v>
      </c>
      <c r="T39" s="18">
        <f t="shared" si="3"/>
        <v>61</v>
      </c>
      <c r="U39" s="2">
        <f t="shared" ref="U39:AH39" si="36">IF(OR(F39=0,F39&lt;0.00001,F39&gt;100000),"",IF((IF(F39&gt;F$5,ABS(LOG(((F$5/SUM($F39:$S39))/(F$4/SUM($F$4:$S$4)))*4+2,2)),ABS(LOG(((F39/SUM($F39:$S39))/(F$4/SUM($F$4:$S$4)))*4+2,2)))-3)&gt;8,(IF(F39&gt;F$5,ABS(LOG(((F$5/SUM($F39:$S39))/(F$4/SUM($F$4:$S$4)))*4+2,2)),ABS(LOG(((F39/SUM($F39:$S39))/(F$4/SUM($F$4:$S$4)))*4+2,2)))-3)/7,IF(F39&gt;F$5,ABS(LOG(((F$5/SUM($F39:$S39))/(F$4/SUM($F$4:$S$4)))*4+2,2)),ABS(LOG(((F39/SUM($F39:$S39))/(F$4/SUM($F$4:$S$4)))*4+2,2)))-3))</f>
        <v>-1.2943712251140129</v>
      </c>
      <c r="V39" s="2">
        <f t="shared" si="36"/>
        <v>-0.24814639266430749</v>
      </c>
      <c r="W39" s="2">
        <f t="shared" si="36"/>
        <v>0.93087785867804618</v>
      </c>
      <c r="X39" s="2">
        <f t="shared" si="36"/>
        <v>4.2614302179153629E-2</v>
      </c>
      <c r="Y39" s="2">
        <f t="shared" si="36"/>
        <v>-1.3378003030865657</v>
      </c>
      <c r="Z39" s="2">
        <f t="shared" si="36"/>
        <v>6.7985464837150378</v>
      </c>
      <c r="AA39" s="2">
        <f t="shared" si="36"/>
        <v>2.6883536762061775</v>
      </c>
      <c r="AB39" s="2">
        <f t="shared" si="36"/>
        <v>0.27987547219768105</v>
      </c>
      <c r="AC39" s="2">
        <f t="shared" si="36"/>
        <v>-1.9188778909006816</v>
      </c>
      <c r="AD39" s="2">
        <f t="shared" si="36"/>
        <v>-1.9253869281018769</v>
      </c>
      <c r="AE39" s="2">
        <f t="shared" si="36"/>
        <v>-1.9999998728866257</v>
      </c>
      <c r="AF39" s="2">
        <f t="shared" si="36"/>
        <v>-0.97920888134542228</v>
      </c>
      <c r="AG39" s="2">
        <f t="shared" si="36"/>
        <v>-1.9176677715193566</v>
      </c>
      <c r="AH39" s="2">
        <f t="shared" si="36"/>
        <v>0.15242445430004148</v>
      </c>
      <c r="AI39" s="18">
        <f t="shared" si="5"/>
        <v>61</v>
      </c>
      <c r="AJ39" s="2">
        <f t="shared" si="6"/>
        <v>1</v>
      </c>
    </row>
    <row r="40" spans="1:36" ht="10.5" customHeight="1" x14ac:dyDescent="0.25">
      <c r="A40" s="17">
        <v>32</v>
      </c>
      <c r="B40" s="2">
        <f t="shared" si="2"/>
        <v>1.5060222075644636</v>
      </c>
      <c r="C40" s="4">
        <v>1</v>
      </c>
      <c r="D40" s="4">
        <v>20.919864969325701</v>
      </c>
      <c r="E40" s="18">
        <v>63</v>
      </c>
      <c r="F40" s="5">
        <v>7.67E-4</v>
      </c>
      <c r="G40" s="5">
        <v>0.23710000000000001</v>
      </c>
      <c r="H40" s="5">
        <v>0.20230000000000001</v>
      </c>
      <c r="I40" s="5">
        <v>2.0659999999999998</v>
      </c>
      <c r="J40" s="5">
        <v>0.1258</v>
      </c>
      <c r="K40" s="5">
        <v>0.2752</v>
      </c>
      <c r="L40" s="5">
        <v>1.9810000000000001</v>
      </c>
      <c r="M40" s="5">
        <v>0.37190000000000001</v>
      </c>
      <c r="N40" s="5">
        <v>2.58E-2</v>
      </c>
      <c r="O40" s="5">
        <v>3.95E-2</v>
      </c>
      <c r="P40" s="5">
        <v>1.06E-3</v>
      </c>
      <c r="Q40" s="5">
        <v>9.1639999999999997</v>
      </c>
      <c r="R40" s="5">
        <v>0.98960000000000004</v>
      </c>
      <c r="S40" s="5">
        <v>50.13</v>
      </c>
      <c r="T40" s="18">
        <f t="shared" si="3"/>
        <v>63</v>
      </c>
      <c r="U40" s="2">
        <f t="shared" ref="U40:AH40" si="37">IF(OR(F40=0,F40&lt;0.00001,F40&gt;100000),"",IF((IF(F40&gt;F$5,ABS(LOG(((F$5/SUM($F40:$S40))/(F$4/SUM($F$4:$S$4)))*4+2,2)),ABS(LOG(((F40/SUM($F40:$S40))/(F$4/SUM($F$4:$S$4)))*4+2,2)))-3)&gt;8,(IF(F40&gt;F$5,ABS(LOG(((F$5/SUM($F40:$S40))/(F$4/SUM($F$4:$S$4)))*4+2,2)),ABS(LOG(((F40/SUM($F40:$S40))/(F$4/SUM($F$4:$S$4)))*4+2,2)))-3)/7,IF(F40&gt;F$5,ABS(LOG(((F$5/SUM($F40:$S40))/(F$4/SUM($F$4:$S$4)))*4+2,2)),ABS(LOG(((F40/SUM($F40:$S40))/(F$4/SUM($F$4:$S$4)))*4+2,2)))-3))</f>
        <v>-1.8693022922174083</v>
      </c>
      <c r="V40" s="2">
        <f t="shared" si="37"/>
        <v>1.344842382979591</v>
      </c>
      <c r="W40" s="2">
        <f t="shared" si="37"/>
        <v>2.7009968115269212</v>
      </c>
      <c r="X40" s="2">
        <f t="shared" si="37"/>
        <v>3.0412015913985195</v>
      </c>
      <c r="Y40" s="2">
        <f t="shared" si="37"/>
        <v>-0.34004608610279163</v>
      </c>
      <c r="Z40" s="2">
        <f t="shared" si="37"/>
        <v>7.9681821745527959</v>
      </c>
      <c r="AA40" s="2">
        <f t="shared" si="37"/>
        <v>4.9478298974475319</v>
      </c>
      <c r="AB40" s="2">
        <f t="shared" si="37"/>
        <v>1.7114204867584553</v>
      </c>
      <c r="AC40" s="2">
        <f t="shared" si="37"/>
        <v>-1.0453406081147065</v>
      </c>
      <c r="AD40" s="2">
        <f t="shared" si="37"/>
        <v>-1.8970197446710608</v>
      </c>
      <c r="AE40" s="2">
        <f t="shared" si="37"/>
        <v>-1.9999997770522711</v>
      </c>
      <c r="AF40" s="2">
        <f t="shared" si="37"/>
        <v>-1.3309111371892197</v>
      </c>
      <c r="AG40" s="2">
        <f t="shared" si="37"/>
        <v>-1.3620620842464966</v>
      </c>
      <c r="AH40" s="2">
        <f t="shared" si="37"/>
        <v>0.18959661197149114</v>
      </c>
      <c r="AI40" s="18">
        <f t="shared" si="5"/>
        <v>63</v>
      </c>
      <c r="AJ40" s="2">
        <f t="shared" si="6"/>
        <v>1</v>
      </c>
    </row>
    <row r="41" spans="1:36" ht="10.5" customHeight="1" x14ac:dyDescent="0.25">
      <c r="A41" s="17">
        <v>33</v>
      </c>
      <c r="B41" s="2">
        <f t="shared" si="2"/>
        <v>0.15104742591494147</v>
      </c>
      <c r="C41" s="4">
        <v>1</v>
      </c>
      <c r="D41" s="4">
        <v>21.074436129414501</v>
      </c>
      <c r="E41" s="18">
        <v>65</v>
      </c>
      <c r="F41" s="5">
        <v>2.3099999999999999E-2</v>
      </c>
      <c r="G41" s="5">
        <v>0.2225</v>
      </c>
      <c r="H41" s="5">
        <v>0.17319999999999999</v>
      </c>
      <c r="I41" s="5">
        <v>1.1499999999999999</v>
      </c>
      <c r="J41" s="5">
        <v>0.1764</v>
      </c>
      <c r="K41" s="5">
        <v>0.2586</v>
      </c>
      <c r="L41" s="5">
        <v>1.319</v>
      </c>
      <c r="M41" s="5">
        <v>0.26440000000000002</v>
      </c>
      <c r="N41" s="5">
        <v>1.8500000000000001E-3</v>
      </c>
      <c r="O41" s="5">
        <v>1.6900000000000001E-3</v>
      </c>
      <c r="P41" s="5">
        <v>3.5100000000000002E-4</v>
      </c>
      <c r="Q41" s="5">
        <v>25.24</v>
      </c>
      <c r="R41" s="5">
        <v>0.43219999999999997</v>
      </c>
      <c r="S41" s="5">
        <v>83.95</v>
      </c>
      <c r="T41" s="18">
        <f t="shared" si="3"/>
        <v>65</v>
      </c>
      <c r="U41" s="2">
        <f t="shared" ref="U41:AH41" si="38">IF(OR(F41=0,F41&lt;0.00001,F41&gt;100000),"",IF((IF(F41&gt;F$5,ABS(LOG(((F$5/SUM($F41:$S41))/(F$4/SUM($F$4:$S$4)))*4+2,2)),ABS(LOG(((F41/SUM($F41:$S41))/(F$4/SUM($F$4:$S$4)))*4+2,2)))-3)&gt;8,(IF(F41&gt;F$5,ABS(LOG(((F$5/SUM($F41:$S41))/(F$4/SUM($F$4:$S$4)))*4+2,2)),ABS(LOG(((F41/SUM($F41:$S41))/(F$4/SUM($F$4:$S$4)))*4+2,2)))-3)/7,IF(F41&gt;F$5,ABS(LOG(((F$5/SUM($F41:$S41))/(F$4/SUM($F$4:$S$4)))*4+2,2)),ABS(LOG(((F41/SUM($F41:$S41))/(F$4/SUM($F$4:$S$4)))*4+2,2)))-3))</f>
        <v>-0.59127712760274909</v>
      </c>
      <c r="V41" s="2">
        <f t="shared" si="38"/>
        <v>0.58053841023210362</v>
      </c>
      <c r="W41" s="2">
        <f t="shared" si="38"/>
        <v>1.7451372423901077</v>
      </c>
      <c r="X41" s="2">
        <f t="shared" si="38"/>
        <v>1.4981356982609224</v>
      </c>
      <c r="Y41" s="2">
        <f t="shared" si="38"/>
        <v>-0.53777775021561558</v>
      </c>
      <c r="Z41" s="2">
        <f t="shared" si="38"/>
        <v>7.0925729028886053</v>
      </c>
      <c r="AA41" s="2">
        <f t="shared" si="38"/>
        <v>3.592471099903463</v>
      </c>
      <c r="AB41" s="2">
        <f t="shared" si="38"/>
        <v>0.58136239047730909</v>
      </c>
      <c r="AC41" s="2">
        <f t="shared" si="38"/>
        <v>-1.9448268431927191</v>
      </c>
      <c r="AD41" s="2">
        <f t="shared" si="38"/>
        <v>-1.9973557009048386</v>
      </c>
      <c r="AE41" s="2">
        <f t="shared" si="38"/>
        <v>-1.9999998707960271</v>
      </c>
      <c r="AF41" s="2">
        <f t="shared" si="38"/>
        <v>-1.0425719179543615</v>
      </c>
      <c r="AG41" s="2">
        <f t="shared" si="38"/>
        <v>-1.8100152910950578</v>
      </c>
      <c r="AH41" s="2">
        <f t="shared" si="38"/>
        <v>0.15597868013690741</v>
      </c>
      <c r="AI41" s="18">
        <f t="shared" si="5"/>
        <v>65</v>
      </c>
      <c r="AJ41" s="2">
        <f t="shared" si="6"/>
        <v>1</v>
      </c>
    </row>
    <row r="42" spans="1:36" ht="10.5" customHeight="1" x14ac:dyDescent="0.25">
      <c r="A42" s="17">
        <v>34</v>
      </c>
      <c r="B42" s="2">
        <f t="shared" si="2"/>
        <v>1.38227015885997E-3</v>
      </c>
      <c r="C42" s="4">
        <v>1</v>
      </c>
      <c r="D42" s="4">
        <v>20.475362329339301</v>
      </c>
      <c r="E42" s="18">
        <v>67</v>
      </c>
      <c r="F42" s="5">
        <v>2.3599999999999999E-4</v>
      </c>
      <c r="G42" s="5">
        <v>4.7899999999999998E-2</v>
      </c>
      <c r="H42" s="5">
        <v>0.11509999999999999</v>
      </c>
      <c r="I42" s="5">
        <v>0.87060000000000004</v>
      </c>
      <c r="J42" s="5">
        <v>0.19589999999999999</v>
      </c>
      <c r="K42" s="5">
        <v>3.3700000000000001E-2</v>
      </c>
      <c r="L42" s="5">
        <v>0.84330000000000005</v>
      </c>
      <c r="M42" s="5">
        <v>0.1016</v>
      </c>
      <c r="N42" s="5">
        <v>2.5799999999999998E-4</v>
      </c>
      <c r="O42" s="5">
        <v>3.1099999999999999E-3</v>
      </c>
      <c r="P42" s="5">
        <v>2.8899999999999998E-4</v>
      </c>
      <c r="Q42" s="5">
        <v>23.47</v>
      </c>
      <c r="R42" s="5">
        <v>0.31090000000000001</v>
      </c>
      <c r="S42" s="5">
        <v>26.98</v>
      </c>
      <c r="T42" s="18">
        <f t="shared" si="3"/>
        <v>67</v>
      </c>
      <c r="U42" s="2">
        <f t="shared" ref="U42:AH42" si="39">IF(OR(F42=0,F42&lt;0.00001,F42&gt;100000),"",IF((IF(F42&gt;F$5,ABS(LOG(((F$5/SUM($F42:$S42))/(F$4/SUM($F$4:$S$4)))*4+2,2)),ABS(LOG(((F42/SUM($F42:$S42))/(F$4/SUM($F$4:$S$4)))*4+2,2)))-3)&gt;8,(IF(F42&gt;F$5,ABS(LOG(((F$5/SUM($F42:$S42))/(F$4/SUM($F$4:$S$4)))*4+2,2)),ABS(LOG(((F42/SUM($F42:$S42))/(F$4/SUM($F$4:$S$4)))*4+2,2)))-3)/7,IF(F42&gt;F$5,ABS(LOG(((F$5/SUM($F42:$S42))/(F$4/SUM($F$4:$S$4)))*4+2,2)),ABS(LOG(((F42/SUM($F42:$S42))/(F$4/SUM($F$4:$S$4)))*4+2,2)))-3))</f>
        <v>-1.9487858116501364</v>
      </c>
      <c r="V42" s="2">
        <f t="shared" si="39"/>
        <v>-0.28102183093011313</v>
      </c>
      <c r="W42" s="2">
        <f t="shared" si="39"/>
        <v>2.2191096014085439</v>
      </c>
      <c r="X42" s="2">
        <f t="shared" si="39"/>
        <v>2.1426915288560231</v>
      </c>
      <c r="Y42" s="2">
        <f t="shared" si="39"/>
        <v>0.3690951490673311</v>
      </c>
      <c r="Z42" s="2">
        <f t="shared" si="39"/>
        <v>5.2552178133802236</v>
      </c>
      <c r="AA42" s="2">
        <f t="shared" si="39"/>
        <v>4.0348212892178319</v>
      </c>
      <c r="AB42" s="2">
        <f t="shared" si="39"/>
        <v>0.34879183736674024</v>
      </c>
      <c r="AC42" s="2">
        <f t="shared" si="39"/>
        <v>-1.9833336904953287</v>
      </c>
      <c r="AD42" s="2">
        <f t="shared" si="39"/>
        <v>-1.9896279650953568</v>
      </c>
      <c r="AE42" s="2">
        <f t="shared" si="39"/>
        <v>-1.9999997238661997</v>
      </c>
      <c r="AF42" s="2">
        <f t="shared" si="39"/>
        <v>-0.47807183454334412</v>
      </c>
      <c r="AG42" s="2">
        <f t="shared" si="39"/>
        <v>-1.7173965538044531</v>
      </c>
      <c r="AH42" s="2">
        <f t="shared" si="39"/>
        <v>-0.24543007110186554</v>
      </c>
      <c r="AI42" s="18">
        <f t="shared" si="5"/>
        <v>67</v>
      </c>
      <c r="AJ42" s="2">
        <f t="shared" si="6"/>
        <v>1</v>
      </c>
    </row>
    <row r="43" spans="1:36" ht="10.5" customHeight="1" x14ac:dyDescent="0.25">
      <c r="A43" s="17">
        <v>35</v>
      </c>
      <c r="B43" s="2">
        <f t="shared" si="2"/>
        <v>2.308527086932719</v>
      </c>
      <c r="C43" s="4">
        <v>1</v>
      </c>
      <c r="D43" s="4">
        <v>21.720758871678601</v>
      </c>
      <c r="E43" s="18">
        <v>69</v>
      </c>
      <c r="F43" s="5">
        <v>8.5500000000000003E-3</v>
      </c>
      <c r="G43" s="5">
        <v>8.3199999999999996E-2</v>
      </c>
      <c r="H43" s="5">
        <v>0.63170000000000004</v>
      </c>
      <c r="I43" s="5">
        <v>0.59489999999999998</v>
      </c>
      <c r="J43" s="5">
        <v>0.17699999999999999</v>
      </c>
      <c r="K43" s="5">
        <v>0.11310000000000001</v>
      </c>
      <c r="L43" s="5">
        <v>0.78869999999999996</v>
      </c>
      <c r="M43" s="5">
        <v>0.33160000000000001</v>
      </c>
      <c r="N43" s="5">
        <v>9.2799999999999994E-2</v>
      </c>
      <c r="O43" s="5">
        <v>7.7799999999999994E-2</v>
      </c>
      <c r="P43" s="5">
        <v>3.88E-4</v>
      </c>
      <c r="Q43" s="5">
        <v>17.29</v>
      </c>
      <c r="R43" s="5">
        <v>0.2878</v>
      </c>
      <c r="S43" s="5">
        <v>32.479999999999997</v>
      </c>
      <c r="T43" s="18">
        <f t="shared" si="3"/>
        <v>69</v>
      </c>
      <c r="U43" s="2">
        <f t="shared" ref="U43:AH43" si="40">IF(OR(F43=0,F43&lt;0.00001,F43&gt;100000),"",IF((IF(F43&gt;F$5,ABS(LOG(((F$5/SUM($F43:$S43))/(F$4/SUM($F$4:$S$4)))*4+2,2)),ABS(LOG(((F43/SUM($F43:$S43))/(F$4/SUM($F$4:$S$4)))*4+2,2)))-3)&gt;8,(IF(F43&gt;F$5,ABS(LOG(((F$5/SUM($F43:$S43))/(F$4/SUM($F$4:$S$4)))*4+2,2)),ABS(LOG(((F43/SUM($F43:$S43))/(F$4/SUM($F$4:$S$4)))*4+2,2)))-3)/7,IF(F43&gt;F$5,ABS(LOG(((F$5/SUM($F43:$S43))/(F$4/SUM($F$4:$S$4)))*4+2,2)),ABS(LOG(((F43/SUM($F43:$S43))/(F$4/SUM($F$4:$S$4)))*4+2,2)))-3))</f>
        <v>-0.79237881313626168</v>
      </c>
      <c r="V43" s="2">
        <f t="shared" si="40"/>
        <v>0.31681279245210581</v>
      </c>
      <c r="W43" s="2">
        <f t="shared" si="40"/>
        <v>4.611093408868352</v>
      </c>
      <c r="X43" s="2">
        <f t="shared" si="40"/>
        <v>1.6310774768068983</v>
      </c>
      <c r="Y43" s="2">
        <f t="shared" si="40"/>
        <v>0.2525726855035999</v>
      </c>
      <c r="Z43" s="2">
        <f t="shared" si="40"/>
        <v>6.9957686890659296</v>
      </c>
      <c r="AA43" s="2">
        <f t="shared" si="40"/>
        <v>3.9401859357214359</v>
      </c>
      <c r="AB43" s="2">
        <f t="shared" si="40"/>
        <v>1.8445569465246026</v>
      </c>
      <c r="AC43" s="2">
        <f t="shared" si="40"/>
        <v>0.37309616150061542</v>
      </c>
      <c r="AD43" s="2">
        <f t="shared" si="40"/>
        <v>-1.7605412949018771</v>
      </c>
      <c r="AE43" s="2">
        <f t="shared" si="40"/>
        <v>-1.9999997237861349</v>
      </c>
      <c r="AF43" s="2">
        <f t="shared" si="40"/>
        <v>-0.74947052785380253</v>
      </c>
      <c r="AG43" s="2">
        <f t="shared" si="40"/>
        <v>-1.7365228418421272</v>
      </c>
      <c r="AH43" s="2">
        <f t="shared" si="40"/>
        <v>-5.1739530929513222E-2</v>
      </c>
      <c r="AI43" s="18">
        <f t="shared" si="5"/>
        <v>69</v>
      </c>
      <c r="AJ43" s="2">
        <f t="shared" si="6"/>
        <v>1</v>
      </c>
    </row>
    <row r="44" spans="1:36" ht="10.5" customHeight="1" x14ac:dyDescent="0.25">
      <c r="A44" s="17">
        <v>36</v>
      </c>
      <c r="B44" s="2">
        <f t="shared" si="2"/>
        <v>1.7620338377180993</v>
      </c>
      <c r="C44" s="4">
        <v>1</v>
      </c>
      <c r="D44" s="4">
        <v>21.291134579942501</v>
      </c>
      <c r="E44" s="18">
        <v>71</v>
      </c>
      <c r="F44" s="5">
        <v>2.5700000000000001E-2</v>
      </c>
      <c r="G44" s="5">
        <v>4.3799999999999999E-2</v>
      </c>
      <c r="H44" s="5">
        <v>8.9499999999999996E-2</v>
      </c>
      <c r="I44" s="5">
        <v>0.82850000000000001</v>
      </c>
      <c r="J44" s="5">
        <v>0.39639999999999997</v>
      </c>
      <c r="K44" s="5">
        <v>0.14549999999999999</v>
      </c>
      <c r="L44" s="5">
        <v>0.25290000000000001</v>
      </c>
      <c r="M44" s="5">
        <v>0.11609999999999999</v>
      </c>
      <c r="N44" s="5">
        <v>2.3800000000000002E-2</v>
      </c>
      <c r="O44" s="5">
        <v>8.3599999999999994E-2</v>
      </c>
      <c r="P44" s="5">
        <v>1.34E-3</v>
      </c>
      <c r="Q44" s="5">
        <v>12.83</v>
      </c>
      <c r="R44" s="5">
        <v>0.83299999999999996</v>
      </c>
      <c r="S44" s="5">
        <v>27.58</v>
      </c>
      <c r="T44" s="18">
        <f t="shared" si="3"/>
        <v>71</v>
      </c>
      <c r="U44" s="2">
        <f t="shared" ref="U44:AH44" si="41">IF(OR(F44=0,F44&lt;0.00001,F44&gt;100000),"",IF((IF(F44&gt;F$5,ABS(LOG(((F$5/SUM($F44:$S44))/(F$4/SUM($F$4:$S$4)))*4+2,2)),ABS(LOG(((F44/SUM($F44:$S44))/(F$4/SUM($F$4:$S$4)))*4+2,2)))-3)&gt;8,(IF(F44&gt;F$5,ABS(LOG(((F$5/SUM($F44:$S44))/(F$4/SUM($F$4:$S$4)))*4+2,2)),ABS(LOG(((F44/SUM($F44:$S44))/(F$4/SUM($F$4:$S$4)))*4+2,2)))-3)/7,IF(F44&gt;F$5,ABS(LOG(((F$5/SUM($F44:$S44))/(F$4/SUM($F$4:$S$4)))*4+2,2)),ABS(LOG(((F44/SUM($F44:$S44))/(F$4/SUM($F$4:$S$4)))*4+2,2)))-3))</f>
        <v>0.54098426426712853</v>
      </c>
      <c r="V44" s="2">
        <f t="shared" si="41"/>
        <v>-0.16528998708651654</v>
      </c>
      <c r="W44" s="2">
        <f t="shared" si="41"/>
        <v>2.1525982334779439</v>
      </c>
      <c r="X44" s="2">
        <f t="shared" si="41"/>
        <v>2.3520832465142325</v>
      </c>
      <c r="Y44" s="2">
        <f t="shared" si="41"/>
        <v>1.5014764647559939</v>
      </c>
      <c r="Z44" s="2">
        <f t="shared" si="41"/>
        <v>7.6502878163326926</v>
      </c>
      <c r="AA44" s="2">
        <f t="shared" si="41"/>
        <v>2.627305241220129</v>
      </c>
      <c r="AB44" s="2">
        <f t="shared" si="41"/>
        <v>0.750593026373092</v>
      </c>
      <c r="AC44" s="2">
        <f t="shared" si="41"/>
        <v>-0.790358156177426</v>
      </c>
      <c r="AD44" s="2">
        <f t="shared" si="41"/>
        <v>-1.6925077394067682</v>
      </c>
      <c r="AE44" s="2">
        <f t="shared" si="41"/>
        <v>-1.9999996617905531</v>
      </c>
      <c r="AF44" s="2">
        <f t="shared" si="41"/>
        <v>-0.82801302991046599</v>
      </c>
      <c r="AG44" s="2">
        <f t="shared" si="41"/>
        <v>-1.2259137347283704</v>
      </c>
      <c r="AH44" s="2">
        <f t="shared" si="41"/>
        <v>-9.8921697936189545E-3</v>
      </c>
      <c r="AI44" s="18">
        <f t="shared" si="5"/>
        <v>71</v>
      </c>
      <c r="AJ44" s="2">
        <f t="shared" si="6"/>
        <v>1</v>
      </c>
    </row>
    <row r="45" spans="1:36" ht="10.5" customHeight="1" x14ac:dyDescent="0.25">
      <c r="A45" s="17">
        <v>37</v>
      </c>
      <c r="B45" s="2">
        <f t="shared" si="2"/>
        <v>3.4312642548104799</v>
      </c>
      <c r="C45" s="4">
        <v>1</v>
      </c>
      <c r="D45" s="4">
        <v>21.883796345830049</v>
      </c>
      <c r="E45" s="18">
        <v>73</v>
      </c>
      <c r="F45" s="5">
        <v>3.3549999999999999E-3</v>
      </c>
      <c r="G45" s="5">
        <v>0.24304999999999999</v>
      </c>
      <c r="H45" s="5">
        <v>0.15844999999999998</v>
      </c>
      <c r="I45" s="5">
        <v>0.91060000000000008</v>
      </c>
      <c r="J45" s="5">
        <v>0.66785000000000005</v>
      </c>
      <c r="K45" s="5">
        <v>0.12484999999999999</v>
      </c>
      <c r="L45" s="5">
        <v>1.0699000000000001</v>
      </c>
      <c r="M45" s="5">
        <v>0.31645000000000001</v>
      </c>
      <c r="N45" s="5">
        <v>1.6500000000000001E-2</v>
      </c>
      <c r="O45" s="5">
        <v>1.1130000000000001E-3</v>
      </c>
      <c r="P45" s="5">
        <v>8.7149999999999999E-4</v>
      </c>
      <c r="Q45" s="5">
        <v>11.715</v>
      </c>
      <c r="R45" s="5">
        <v>0.71494999999999997</v>
      </c>
      <c r="S45" s="5">
        <v>37.034999999999997</v>
      </c>
      <c r="T45" s="18">
        <f t="shared" si="3"/>
        <v>73</v>
      </c>
      <c r="U45" s="2">
        <f t="shared" ref="U45:AH45" si="42">IF(OR(F45=0,F45&lt;0.00001,F45&gt;100000),"",IF((IF(F45&gt;F$5,ABS(LOG(((F$5/SUM($F45:$S45))/(F$4/SUM($F$4:$S$4)))*4+2,2)),ABS(LOG(((F45/SUM($F45:$S45))/(F$4/SUM($F$4:$S$4)))*4+2,2)))-3)&gt;8,(IF(F45&gt;F$5,ABS(LOG(((F$5/SUM($F45:$S45))/(F$4/SUM($F$4:$S$4)))*4+2,2)),ABS(LOG(((F45/SUM($F45:$S45))/(F$4/SUM($F$4:$S$4)))*4+2,2)))-3)/7,IF(F45&gt;F$5,ABS(LOG(((F$5/SUM($F45:$S45))/(F$4/SUM($F$4:$S$4)))*4+2,2)),ABS(LOG(((F45/SUM($F45:$S45))/(F$4/SUM($F$4:$S$4)))*4+2,2)))-3))</f>
        <v>-1.4019470208652665</v>
      </c>
      <c r="V45" s="2">
        <f t="shared" si="42"/>
        <v>1.6586592164817553</v>
      </c>
      <c r="W45" s="2">
        <f t="shared" si="42"/>
        <v>2.6587672122629389</v>
      </c>
      <c r="X45" s="2">
        <f t="shared" si="42"/>
        <v>2.2037766892507582</v>
      </c>
      <c r="Y45" s="2">
        <f t="shared" si="42"/>
        <v>1.9261601040934524</v>
      </c>
      <c r="Z45" s="2">
        <f t="shared" si="42"/>
        <v>7.137544895410862</v>
      </c>
      <c r="AA45" s="2">
        <f t="shared" si="42"/>
        <v>4.3733756070807868</v>
      </c>
      <c r="AB45" s="2">
        <f t="shared" si="42"/>
        <v>1.7813751352603866</v>
      </c>
      <c r="AC45" s="2">
        <f t="shared" si="42"/>
        <v>-1.1984134096092438</v>
      </c>
      <c r="AD45" s="2">
        <f t="shared" si="42"/>
        <v>-1.9962798590207937</v>
      </c>
      <c r="AE45" s="2">
        <f t="shared" si="42"/>
        <v>-1.9999997238925034</v>
      </c>
      <c r="AF45" s="2">
        <f t="shared" si="42"/>
        <v>-1.0482712201288458</v>
      </c>
      <c r="AG45" s="2">
        <f t="shared" si="42"/>
        <v>-1.4173848492345711</v>
      </c>
      <c r="AH45" s="2">
        <f t="shared" si="42"/>
        <v>9.0444644102705585E-2</v>
      </c>
      <c r="AI45" s="18">
        <f t="shared" si="5"/>
        <v>73</v>
      </c>
      <c r="AJ45" s="2">
        <f t="shared" si="6"/>
        <v>1</v>
      </c>
    </row>
    <row r="46" spans="1:36" ht="10.5" customHeight="1" x14ac:dyDescent="0.25">
      <c r="A46" s="17">
        <v>38</v>
      </c>
      <c r="B46" s="2">
        <f t="shared" si="2"/>
        <v>9.3570292670586613E-2</v>
      </c>
      <c r="C46" s="4">
        <v>1</v>
      </c>
      <c r="D46" s="4">
        <v>19.656439013333699</v>
      </c>
      <c r="E46" s="18">
        <v>75</v>
      </c>
      <c r="F46" s="5">
        <v>9.6749999999999996E-3</v>
      </c>
      <c r="G46" s="5">
        <v>0.1779</v>
      </c>
      <c r="H46" s="5">
        <v>0.1404</v>
      </c>
      <c r="I46" s="5">
        <v>0.50370000000000004</v>
      </c>
      <c r="J46" s="5">
        <v>6.3400000000000012E-2</v>
      </c>
      <c r="K46" s="5">
        <v>0.17745</v>
      </c>
      <c r="L46" s="5">
        <v>0.69030000000000002</v>
      </c>
      <c r="M46" s="5">
        <v>0.39124999999999999</v>
      </c>
      <c r="N46" s="5">
        <v>1.2819999999999998E-2</v>
      </c>
      <c r="O46" s="5">
        <v>1.7180000000000001E-2</v>
      </c>
      <c r="P46" s="5">
        <v>4.7149999999999997E-4</v>
      </c>
      <c r="Q46" s="5">
        <v>26.234999999999999</v>
      </c>
      <c r="R46" s="5">
        <v>0.18609999999999999</v>
      </c>
      <c r="S46" s="5">
        <v>121.1</v>
      </c>
      <c r="T46" s="18">
        <f t="shared" si="3"/>
        <v>75</v>
      </c>
      <c r="U46" s="2">
        <f t="shared" ref="U46:AH46" si="43">IF(OR(F46=0,F46&lt;0.00001,F46&gt;100000),"",IF((IF(F46&gt;F$5,ABS(LOG(((F$5/SUM($F46:$S46))/(F$4/SUM($F$4:$S$4)))*4+2,2)),ABS(LOG(((F46/SUM($F46:$S46))/(F$4/SUM($F$4:$S$4)))*4+2,2)))-3)&gt;8,(IF(F46&gt;F$5,ABS(LOG(((F$5/SUM($F46:$S46))/(F$4/SUM($F$4:$S$4)))*4+2,2)),ABS(LOG(((F46/SUM($F46:$S46))/(F$4/SUM($F$4:$S$4)))*4+2,2)))-3)/7,IF(F46&gt;F$5,ABS(LOG(((F$5/SUM($F46:$S46))/(F$4/SUM($F$4:$S$4)))*4+2,2)),ABS(LOG(((F46/SUM($F46:$S46))/(F$4/SUM($F$4:$S$4)))*4+2,2)))-3))</f>
        <v>-1.391942607641363</v>
      </c>
      <c r="V46" s="2">
        <f t="shared" si="43"/>
        <v>4.3754055250793122E-3</v>
      </c>
      <c r="W46" s="2">
        <f t="shared" si="43"/>
        <v>1.1055229801153361</v>
      </c>
      <c r="X46" s="2">
        <f t="shared" si="43"/>
        <v>0.14123629530707094</v>
      </c>
      <c r="Y46" s="2">
        <f t="shared" si="43"/>
        <v>-1.4372347372547294</v>
      </c>
      <c r="Z46" s="2">
        <f t="shared" si="43"/>
        <v>6.1486256840921545</v>
      </c>
      <c r="AA46" s="2">
        <f t="shared" si="43"/>
        <v>2.3001768294663476</v>
      </c>
      <c r="AB46" s="2">
        <f t="shared" si="43"/>
        <v>0.71776961235336278</v>
      </c>
      <c r="AC46" s="2">
        <f t="shared" si="43"/>
        <v>-1.7318100735255397</v>
      </c>
      <c r="AD46" s="2">
        <f t="shared" si="43"/>
        <v>-1.9797949642808415</v>
      </c>
      <c r="AE46" s="2">
        <f t="shared" si="43"/>
        <v>-1.9999999022908788</v>
      </c>
      <c r="AF46" s="2">
        <f t="shared" si="43"/>
        <v>-1.2006319530407459</v>
      </c>
      <c r="AG46" s="2">
        <f t="shared" si="43"/>
        <v>-1.9353480871211628</v>
      </c>
      <c r="AH46" s="2">
        <f t="shared" si="43"/>
        <v>0.25426262644003339</v>
      </c>
      <c r="AI46" s="18">
        <f t="shared" si="5"/>
        <v>75</v>
      </c>
      <c r="AJ46" s="2">
        <f t="shared" si="6"/>
        <v>1</v>
      </c>
    </row>
    <row r="47" spans="1:36" ht="10.5" customHeight="1" x14ac:dyDescent="0.25">
      <c r="A47" s="17">
        <v>39</v>
      </c>
      <c r="B47" s="2">
        <f t="shared" si="2"/>
        <v>6.3546880511289787</v>
      </c>
      <c r="C47" s="4">
        <v>1</v>
      </c>
      <c r="D47" s="4">
        <v>19.6593476939317</v>
      </c>
      <c r="E47" s="18">
        <v>77</v>
      </c>
      <c r="F47" s="5">
        <v>1.6650000000000002E-3</v>
      </c>
      <c r="G47" s="5">
        <v>0.193075</v>
      </c>
      <c r="H47" s="5">
        <v>0.12745000000000001</v>
      </c>
      <c r="I47" s="5">
        <v>0.79259999999999997</v>
      </c>
      <c r="J47" s="5">
        <v>2.2009999999999996</v>
      </c>
      <c r="K47" s="5">
        <v>4.2549999999999998E-2</v>
      </c>
      <c r="L47" s="5">
        <v>0.92369999999999997</v>
      </c>
      <c r="M47" s="5">
        <v>0.444525</v>
      </c>
      <c r="N47" s="5">
        <v>4.3494999999999999</v>
      </c>
      <c r="O47" s="5">
        <v>0.33050000000000002</v>
      </c>
      <c r="P47" s="5">
        <v>3.274E-3</v>
      </c>
      <c r="Q47" s="5">
        <v>4.8754999999999997</v>
      </c>
      <c r="R47" s="5">
        <v>2.3149999999999997E-2</v>
      </c>
      <c r="S47" s="5">
        <v>18.697500000000002</v>
      </c>
      <c r="T47" s="18">
        <f t="shared" si="3"/>
        <v>77</v>
      </c>
      <c r="U47" s="2">
        <f t="shared" ref="U47:AH47" si="44">IF(OR(F47=0,F47&lt;0.00001,F47&gt;100000),"",IF((IF(F47&gt;F$5,ABS(LOG(((F$5/SUM($F47:$S47))/(F$4/SUM($F$4:$S$4)))*4+2,2)),ABS(LOG(((F47/SUM($F47:$S47))/(F$4/SUM($F$4:$S$4)))*4+2,2)))-3)&gt;8,(IF(F47&gt;F$5,ABS(LOG(((F$5/SUM($F47:$S47))/(F$4/SUM($F$4:$S$4)))*4+2,2)),ABS(LOG(((F47/SUM($F47:$S47))/(F$4/SUM($F$4:$S$4)))*4+2,2)))-3)/7,IF(F47&gt;F$5,ABS(LOG(((F$5/SUM($F47:$S47))/(F$4/SUM($F$4:$S$4)))*4+2,2)),ABS(LOG(((F47/SUM($F47:$S47))/(F$4/SUM($F$4:$S$4)))*4+2,2)))-3))</f>
        <v>-1.5051481080542255</v>
      </c>
      <c r="V47" s="2">
        <f t="shared" si="44"/>
        <v>1.9843743519619581</v>
      </c>
      <c r="W47" s="2">
        <f t="shared" si="44"/>
        <v>3.0144006403017762</v>
      </c>
      <c r="X47" s="2">
        <f t="shared" si="44"/>
        <v>2.6637897672602202</v>
      </c>
      <c r="Y47" s="2">
        <f t="shared" si="44"/>
        <v>4.2502953410422526</v>
      </c>
      <c r="Z47" s="2">
        <f t="shared" si="44"/>
        <v>6.2693635185410432</v>
      </c>
      <c r="AA47" s="2">
        <f t="shared" si="44"/>
        <v>4.8392073667089193</v>
      </c>
      <c r="AB47" s="2">
        <f t="shared" si="44"/>
        <v>2.8947238480889492</v>
      </c>
      <c r="AC47" s="2">
        <f t="shared" si="44"/>
        <v>6.3009523599027215</v>
      </c>
      <c r="AD47" s="2">
        <f t="shared" si="44"/>
        <v>-0.84255604457017164</v>
      </c>
      <c r="AE47" s="2">
        <f t="shared" si="44"/>
        <v>-1.9999995568196607</v>
      </c>
      <c r="AF47" s="2">
        <f t="shared" si="44"/>
        <v>-1.3004109134785284</v>
      </c>
      <c r="AG47" s="2">
        <f t="shared" si="44"/>
        <v>-1.9631664936398532</v>
      </c>
      <c r="AH47" s="2">
        <f t="shared" si="44"/>
        <v>-0.13575707989082764</v>
      </c>
      <c r="AI47" s="18">
        <f t="shared" si="5"/>
        <v>77</v>
      </c>
      <c r="AJ47" s="2">
        <f t="shared" si="6"/>
        <v>1</v>
      </c>
    </row>
    <row r="48" spans="1:36" ht="10.5" customHeight="1" x14ac:dyDescent="0.25">
      <c r="A48" s="17">
        <v>40</v>
      </c>
      <c r="B48" s="2">
        <f t="shared" si="2"/>
        <v>0.76212330647368232</v>
      </c>
      <c r="C48" s="4">
        <v>1</v>
      </c>
      <c r="D48" s="4">
        <v>20.2787733837487</v>
      </c>
      <c r="E48" s="18">
        <v>79</v>
      </c>
      <c r="F48" s="5">
        <v>0.32030000000000003</v>
      </c>
      <c r="G48" s="5">
        <v>0.49455000000000005</v>
      </c>
      <c r="H48" s="5">
        <v>0.18819999999999998</v>
      </c>
      <c r="I48" s="5">
        <v>1.1535</v>
      </c>
      <c r="J48" s="5">
        <v>5.2600000000000001E-2</v>
      </c>
      <c r="K48" s="5">
        <v>0.1217</v>
      </c>
      <c r="L48" s="5">
        <v>2.1364999999999998</v>
      </c>
      <c r="M48" s="5">
        <v>0.87375000000000003</v>
      </c>
      <c r="N48" s="5">
        <v>6.0654999999999997E-3</v>
      </c>
      <c r="O48" s="5">
        <v>1.7339999999999999E-3</v>
      </c>
      <c r="P48" s="5">
        <v>6.3299999999999999E-4</v>
      </c>
      <c r="Q48" s="5">
        <v>56.105000000000004</v>
      </c>
      <c r="R48" s="5">
        <v>0.1666</v>
      </c>
      <c r="S48" s="5">
        <v>103.47499999999999</v>
      </c>
      <c r="T48" s="18">
        <f t="shared" si="3"/>
        <v>79</v>
      </c>
      <c r="U48" s="2">
        <f t="shared" ref="U48:AH48" si="45">IF(OR(F48=0,F48&lt;0.00001,F48&gt;100000),"",IF((IF(F48&gt;F$5,ABS(LOG(((F$5/SUM($F48:$S48))/(F$4/SUM($F$4:$S$4)))*4+2,2)),ABS(LOG(((F48/SUM($F48:$S48))/(F$4/SUM($F$4:$S$4)))*4+2,2)))-3)&gt;8,(IF(F48&gt;F$5,ABS(LOG(((F$5/SUM($F48:$S48))/(F$4/SUM($F$4:$S$4)))*4+2,2)),ABS(LOG(((F48/SUM($F48:$S48))/(F$4/SUM($F$4:$S$4)))*4+2,2)))-3)/7,IF(F48&gt;F$5,ABS(LOG(((F$5/SUM($F48:$S48))/(F$4/SUM($F$4:$S$4)))*4+2,2)),ABS(LOG(((F48/SUM($F48:$S48))/(F$4/SUM($F$4:$S$4)))*4+2,2)))-3))</f>
        <v>2.0649279633486932</v>
      </c>
      <c r="V48" s="2">
        <f t="shared" si="45"/>
        <v>1.1031580180370266</v>
      </c>
      <c r="W48" s="2">
        <f t="shared" si="45"/>
        <v>1.3570415952695694</v>
      </c>
      <c r="X48" s="2">
        <f t="shared" si="45"/>
        <v>1.0150719723692907</v>
      </c>
      <c r="Y48" s="2">
        <f t="shared" si="45"/>
        <v>-1.5575329455354818</v>
      </c>
      <c r="Z48" s="2">
        <f t="shared" si="45"/>
        <v>5.4664522364694399</v>
      </c>
      <c r="AA48" s="2">
        <f t="shared" si="45"/>
        <v>3.7410283744562003</v>
      </c>
      <c r="AB48" s="2">
        <f t="shared" si="45"/>
        <v>1.6202110365013542</v>
      </c>
      <c r="AC48" s="2">
        <f t="shared" si="45"/>
        <v>-1.8787889342429589</v>
      </c>
      <c r="AD48" s="2">
        <f t="shared" si="45"/>
        <v>-1.9981389784334675</v>
      </c>
      <c r="AE48" s="2">
        <f t="shared" si="45"/>
        <v>-1.9999999113994555</v>
      </c>
      <c r="AF48" s="2">
        <f t="shared" si="45"/>
        <v>-0.71568608914509424</v>
      </c>
      <c r="AG48" s="2">
        <f t="shared" si="45"/>
        <v>-1.947298593326712</v>
      </c>
      <c r="AH48" s="2">
        <f t="shared" si="45"/>
        <v>-2.8514839848820639E-2</v>
      </c>
      <c r="AI48" s="18">
        <f t="shared" si="5"/>
        <v>79</v>
      </c>
      <c r="AJ48" s="2">
        <f t="shared" si="6"/>
        <v>1</v>
      </c>
    </row>
    <row r="49" spans="1:36" ht="10.5" customHeight="1" x14ac:dyDescent="0.25">
      <c r="A49" s="17">
        <v>41</v>
      </c>
      <c r="B49" s="2">
        <f t="shared" si="2"/>
        <v>1.1884998896608372E-2</v>
      </c>
      <c r="C49" s="4">
        <v>1</v>
      </c>
      <c r="D49" s="4">
        <v>23.333944769245701</v>
      </c>
      <c r="E49" s="18">
        <v>81</v>
      </c>
      <c r="F49" s="5">
        <v>0.1188</v>
      </c>
      <c r="G49" s="5">
        <v>7.2399999999999999E-3</v>
      </c>
      <c r="H49" s="5">
        <v>0.16020000000000001</v>
      </c>
      <c r="I49" s="5">
        <v>0.3992</v>
      </c>
      <c r="J49" s="5">
        <v>0.63460000000000005</v>
      </c>
      <c r="K49" s="5">
        <v>0.21829999999999999</v>
      </c>
      <c r="L49" s="5">
        <v>0.3478</v>
      </c>
      <c r="M49" s="5">
        <v>0.2031</v>
      </c>
      <c r="N49" s="5">
        <v>6.8300000000000007E-5</v>
      </c>
      <c r="O49" s="5">
        <v>2.379</v>
      </c>
      <c r="P49" s="5">
        <v>1.5200000000000001E-4</v>
      </c>
      <c r="Q49" s="5">
        <v>59.13</v>
      </c>
      <c r="R49" s="5">
        <v>0.15709999999999999</v>
      </c>
      <c r="S49" s="5">
        <v>115.4</v>
      </c>
      <c r="T49" s="18">
        <f t="shared" si="3"/>
        <v>81</v>
      </c>
      <c r="U49" s="2">
        <f t="shared" ref="U49:AH49" si="46">IF(OR(F49=0,F49&lt;0.00001,F49&gt;100000),"",IF((IF(F49&gt;F$5,ABS(LOG(((F$5/SUM($F49:$S49))/(F$4/SUM($F$4:$S$4)))*4+2,2)),ABS(LOG(((F49/SUM($F49:$S49))/(F$4/SUM($F$4:$S$4)))*4+2,2)))-3)&gt;8,(IF(F49&gt;F$5,ABS(LOG(((F$5/SUM($F49:$S49))/(F$4/SUM($F$4:$S$4)))*4+2,2)),ABS(LOG(((F49/SUM($F49:$S49))/(F$4/SUM($F$4:$S$4)))*4+2,2)))-3)/7,IF(F49&gt;F$5,ABS(LOG(((F$5/SUM($F49:$S49))/(F$4/SUM($F$4:$S$4)))*4+2,2)),ABS(LOG(((F49/SUM($F49:$S49))/(F$4/SUM($F$4:$S$4)))*4+2,2)))-3))</f>
        <v>0.67325564384385705</v>
      </c>
      <c r="V49" s="2">
        <f t="shared" si="46"/>
        <v>-1.8593068124038798</v>
      </c>
      <c r="W49" s="2">
        <f t="shared" si="46"/>
        <v>1.0449282559734545</v>
      </c>
      <c r="X49" s="2">
        <f t="shared" si="46"/>
        <v>-0.29547215400828408</v>
      </c>
      <c r="Y49" s="2">
        <f t="shared" si="46"/>
        <v>0.31918095514513389</v>
      </c>
      <c r="Z49" s="2">
        <f t="shared" si="46"/>
        <v>6.1883026648522623</v>
      </c>
      <c r="AA49" s="2">
        <f t="shared" si="46"/>
        <v>1.1494744052185801</v>
      </c>
      <c r="AB49" s="2">
        <f t="shared" si="46"/>
        <v>-0.22607555517342837</v>
      </c>
      <c r="AC49" s="2">
        <f t="shared" si="46"/>
        <v>-1.9986884726080898</v>
      </c>
      <c r="AD49" s="2">
        <f t="shared" si="46"/>
        <v>-0.60386355693755878</v>
      </c>
      <c r="AE49" s="2">
        <f t="shared" si="46"/>
        <v>-1.9999999183524795</v>
      </c>
      <c r="AF49" s="2">
        <f t="shared" si="46"/>
        <v>-0.74037888732315693</v>
      </c>
      <c r="AG49" s="2">
        <f t="shared" si="46"/>
        <v>-1.9540951249237817</v>
      </c>
      <c r="AH49" s="2">
        <f t="shared" si="46"/>
        <v>9.8115593187930727E-4</v>
      </c>
      <c r="AI49" s="18">
        <f t="shared" si="5"/>
        <v>81</v>
      </c>
      <c r="AJ49" s="2">
        <f t="shared" si="6"/>
        <v>1</v>
      </c>
    </row>
    <row r="50" spans="1:36" ht="10.5" customHeight="1" x14ac:dyDescent="0.25">
      <c r="A50" s="17">
        <v>42</v>
      </c>
      <c r="B50" s="2">
        <f t="shared" si="2"/>
        <v>3.0566893090934082</v>
      </c>
      <c r="C50" s="4">
        <v>1</v>
      </c>
      <c r="D50" s="4">
        <v>22.244389544296599</v>
      </c>
      <c r="E50" s="18">
        <v>83</v>
      </c>
      <c r="F50" s="5">
        <v>1.3299999999999999E-2</v>
      </c>
      <c r="G50" s="5">
        <v>0.47709999999999997</v>
      </c>
      <c r="H50" s="5">
        <v>0.24675</v>
      </c>
      <c r="I50" s="5">
        <v>2.1710000000000003</v>
      </c>
      <c r="J50" s="5">
        <v>0.79510000000000014</v>
      </c>
      <c r="K50" s="5">
        <v>0.20619999999999999</v>
      </c>
      <c r="L50" s="5">
        <v>2.5055000000000001</v>
      </c>
      <c r="M50" s="5">
        <v>0.62575000000000003</v>
      </c>
      <c r="N50" s="5">
        <v>2.8799999999999999E-2</v>
      </c>
      <c r="O50" s="5">
        <v>6.0749999999999997E-3</v>
      </c>
      <c r="P50" s="5">
        <v>0.59309999999999996</v>
      </c>
      <c r="Q50" s="5">
        <v>10.8405</v>
      </c>
      <c r="R50" s="5">
        <v>0.3226</v>
      </c>
      <c r="S50" s="5">
        <v>26.630000000000003</v>
      </c>
      <c r="T50" s="18">
        <f t="shared" si="3"/>
        <v>83</v>
      </c>
      <c r="U50" s="2">
        <f t="shared" ref="U50:AH50" si="47">IF(OR(F50=0,F50&lt;0.00001,F50&gt;100000),"",IF((IF(F50&gt;F$5,ABS(LOG(((F$5/SUM($F50:$S50))/(F$4/SUM($F$4:$S$4)))*4+2,2)),ABS(LOG(((F50/SUM($F50:$S50))/(F$4/SUM($F$4:$S$4)))*4+2,2)))-3)&gt;8,(IF(F50&gt;F$5,ABS(LOG(((F$5/SUM($F50:$S50))/(F$4/SUM($F$4:$S$4)))*4+2,2)),ABS(LOG(((F50/SUM($F50:$S50))/(F$4/SUM($F$4:$S$4)))*4+2,2)))-3)/7,IF(F50&gt;F$5,ABS(LOG(((F$5/SUM($F50:$S50))/(F$4/SUM($F$4:$S$4)))*4+2,2)),ABS(LOG(((F50/SUM($F50:$S50))/(F$4/SUM($F$4:$S$4)))*4+2,2)))-3))</f>
        <v>-0.24597640952817379</v>
      </c>
      <c r="V50" s="2">
        <f t="shared" si="47"/>
        <v>2.7866609193669687</v>
      </c>
      <c r="W50" s="2">
        <f t="shared" si="47"/>
        <v>3.4926548887926945</v>
      </c>
      <c r="X50" s="2">
        <f t="shared" si="47"/>
        <v>3.6269821419845352</v>
      </c>
      <c r="Y50" s="2">
        <f t="shared" si="47"/>
        <v>2.3717656017608677</v>
      </c>
      <c r="Z50" s="2">
        <f t="shared" si="47"/>
        <v>1.1544142839268152</v>
      </c>
      <c r="AA50" s="2">
        <f t="shared" si="47"/>
        <v>5.8106683572611555</v>
      </c>
      <c r="AB50" s="2">
        <f t="shared" si="47"/>
        <v>2.9250751286107164</v>
      </c>
      <c r="AC50" s="2">
        <f t="shared" si="47"/>
        <v>-0.67155511905584442</v>
      </c>
      <c r="AD50" s="2">
        <f t="shared" si="47"/>
        <v>-1.9764994910528655</v>
      </c>
      <c r="AE50" s="2">
        <f t="shared" si="47"/>
        <v>-1.9999996782438427</v>
      </c>
      <c r="AF50" s="2">
        <f t="shared" si="47"/>
        <v>-0.99469104859129498</v>
      </c>
      <c r="AG50" s="2">
        <f t="shared" si="47"/>
        <v>-1.6647135373672135</v>
      </c>
      <c r="AH50" s="2">
        <f t="shared" si="47"/>
        <v>-0.1005772563385241</v>
      </c>
      <c r="AI50" s="18">
        <f t="shared" si="5"/>
        <v>83</v>
      </c>
      <c r="AJ50" s="2">
        <f t="shared" si="6"/>
        <v>1</v>
      </c>
    </row>
    <row r="51" spans="1:36" ht="10.5" customHeight="1" x14ac:dyDescent="0.25">
      <c r="A51" s="17">
        <v>43</v>
      </c>
      <c r="B51" s="2">
        <f t="shared" si="2"/>
        <v>1.0171923913257228</v>
      </c>
      <c r="C51" s="4">
        <v>1</v>
      </c>
      <c r="D51" s="4">
        <v>23.523929346164849</v>
      </c>
      <c r="E51" s="18">
        <v>85</v>
      </c>
      <c r="F51" s="5"/>
      <c r="G51" s="5">
        <v>0.11509999999999999</v>
      </c>
      <c r="H51" s="5">
        <v>6.8000000000000005E-2</v>
      </c>
      <c r="I51" s="5">
        <v>0.59089999999999998</v>
      </c>
      <c r="J51" s="5">
        <v>0.47299999999999998</v>
      </c>
      <c r="K51" s="5">
        <v>1.8699999999999999E-3</v>
      </c>
      <c r="L51" s="5">
        <v>0.1158</v>
      </c>
      <c r="M51" s="5">
        <v>2.18E-2</v>
      </c>
      <c r="N51" s="5">
        <v>9.4300000000000002E-5</v>
      </c>
      <c r="O51" s="5">
        <v>2.23E-2</v>
      </c>
      <c r="P51" s="5">
        <v>1.06E-4</v>
      </c>
      <c r="Q51" s="5">
        <v>0.84440000000000004</v>
      </c>
      <c r="R51" s="5">
        <v>0.37369999999999998</v>
      </c>
      <c r="S51" s="5">
        <v>11.89</v>
      </c>
      <c r="T51" s="18">
        <f t="shared" si="3"/>
        <v>85</v>
      </c>
      <c r="U51" s="2" t="str">
        <f t="shared" ref="U51:AH51" si="48">IF(OR(F51=0,F51&lt;0.00001,F51&gt;100000),"",IF((IF(F51&gt;F$5,ABS(LOG(((F$5/SUM($F51:$S51))/(F$4/SUM($F$4:$S$4)))*4+2,2)),ABS(LOG(((F51/SUM($F51:$S51))/(F$4/SUM($F$4:$S$4)))*4+2,2)))-3)&gt;8,(IF(F51&gt;F$5,ABS(LOG(((F$5/SUM($F51:$S51))/(F$4/SUM($F$4:$S$4)))*4+2,2)),ABS(LOG(((F51/SUM($F51:$S51))/(F$4/SUM($F$4:$S$4)))*4+2,2)))-3)/7,IF(F51&gt;F$5,ABS(LOG(((F$5/SUM($F51:$S51))/(F$4/SUM($F$4:$S$4)))*4+2,2)),ABS(LOG(((F51/SUM($F51:$S51))/(F$4/SUM($F$4:$S$4)))*4+2,2)))-3))</f>
        <v/>
      </c>
      <c r="V51" s="2">
        <f t="shared" si="48"/>
        <v>2.3989782468461671</v>
      </c>
      <c r="W51" s="2">
        <f t="shared" si="48"/>
        <v>3.2851921123370182</v>
      </c>
      <c r="X51" s="2">
        <f t="shared" si="48"/>
        <v>3.401559953457391</v>
      </c>
      <c r="Y51" s="2">
        <f t="shared" si="48"/>
        <v>3.2367265886645278</v>
      </c>
      <c r="Z51" s="2">
        <f t="shared" si="48"/>
        <v>2.9878074675060216</v>
      </c>
      <c r="AA51" s="2">
        <f t="shared" si="48"/>
        <v>3.0596601289873684</v>
      </c>
      <c r="AB51" s="2">
        <f t="shared" si="48"/>
        <v>7.2244132502760294E-2</v>
      </c>
      <c r="AC51" s="2">
        <f t="shared" si="48"/>
        <v>-1.9778142802437042</v>
      </c>
      <c r="AD51" s="2">
        <f t="shared" si="48"/>
        <v>-1.7505104870762083</v>
      </c>
      <c r="AE51" s="2">
        <f t="shared" si="48"/>
        <v>-1.9999989923860506</v>
      </c>
      <c r="AF51" s="2">
        <f t="shared" si="48"/>
        <v>-1.6830095144188324</v>
      </c>
      <c r="AG51" s="2">
        <f t="shared" si="48"/>
        <v>-1.03719477698981</v>
      </c>
      <c r="AH51" s="2">
        <f t="shared" si="48"/>
        <v>0.268451381476424</v>
      </c>
      <c r="AI51" s="18">
        <f t="shared" si="5"/>
        <v>85</v>
      </c>
      <c r="AJ51" s="2">
        <f t="shared" si="6"/>
        <v>1</v>
      </c>
    </row>
    <row r="52" spans="1:36" ht="10.5" customHeight="1" x14ac:dyDescent="0.25">
      <c r="A52" s="17">
        <v>44</v>
      </c>
      <c r="B52" s="2">
        <f t="shared" si="2"/>
        <v>4.0307351601551025</v>
      </c>
      <c r="C52" s="4">
        <v>1</v>
      </c>
      <c r="D52" s="4">
        <v>23.182417382598249</v>
      </c>
      <c r="E52" s="18">
        <v>87</v>
      </c>
      <c r="F52" s="5">
        <v>7.8934749999999998E-2</v>
      </c>
      <c r="G52" s="5">
        <v>1.411755E-3</v>
      </c>
      <c r="H52" s="5">
        <v>7.2899999999999993E-2</v>
      </c>
      <c r="I52" s="5">
        <v>1.107</v>
      </c>
      <c r="J52" s="5">
        <v>1.85175</v>
      </c>
      <c r="K52" s="5">
        <v>0.25395000000000001</v>
      </c>
      <c r="L52" s="5">
        <v>0.21870000000000001</v>
      </c>
      <c r="M52" s="5">
        <v>5.6050000000000003E-2</v>
      </c>
      <c r="N52" s="5">
        <v>4.0204999999999998E-3</v>
      </c>
      <c r="O52" s="5">
        <v>0.24414999999999998</v>
      </c>
      <c r="P52" s="5">
        <v>0.3342</v>
      </c>
      <c r="Q52" s="5">
        <v>1.2872999999999999</v>
      </c>
      <c r="R52" s="5">
        <v>0.77984999999999993</v>
      </c>
      <c r="S52" s="5">
        <v>6.1624999999999996</v>
      </c>
      <c r="T52" s="18">
        <f t="shared" si="3"/>
        <v>87</v>
      </c>
      <c r="U52" s="2">
        <f t="shared" ref="U52:AH52" si="49">IF(OR(F52=0,F52&lt;0.00001,F52&gt;100000),"",IF((IF(F52&gt;F$5,ABS(LOG(((F$5/SUM($F52:$S52))/(F$4/SUM($F$4:$S$4)))*4+2,2)),ABS(LOG(((F52/SUM($F52:$S52))/(F$4/SUM($F$4:$S$4)))*4+2,2)))-3)&gt;8,(IF(F52&gt;F$5,ABS(LOG(((F$5/SUM($F52:$S52))/(F$4/SUM($F$4:$S$4)))*4+2,2)),ABS(LOG(((F52/SUM($F52:$S52))/(F$4/SUM($F$4:$S$4)))*4+2,2)))-3)/7,IF(F52&gt;F$5,ABS(LOG(((F$5/SUM($F52:$S52))/(F$4/SUM($F$4:$S$4)))*4+2,2)),ABS(LOG(((F52/SUM($F52:$S52))/(F$4/SUM($F$4:$S$4)))*4+2,2)))-3))</f>
        <v>3.7119177061223496</v>
      </c>
      <c r="V52" s="2">
        <f t="shared" si="49"/>
        <v>-1.6355787617691613</v>
      </c>
      <c r="W52" s="2">
        <f t="shared" si="49"/>
        <v>3.5994526486276381</v>
      </c>
      <c r="X52" s="2">
        <f t="shared" si="49"/>
        <v>4.5098965289923276</v>
      </c>
      <c r="Y52" s="2">
        <f t="shared" si="49"/>
        <v>5.3968018501638308</v>
      </c>
      <c r="Z52" s="2">
        <f t="shared" si="49"/>
        <v>1.4640796329014727</v>
      </c>
      <c r="AA52" s="2">
        <f t="shared" si="49"/>
        <v>4.1744623036991682</v>
      </c>
      <c r="AB52" s="2">
        <f t="shared" si="49"/>
        <v>1.407031606803141</v>
      </c>
      <c r="AC52" s="2">
        <f t="shared" si="49"/>
        <v>-1.1760554479431118</v>
      </c>
      <c r="AD52" s="2">
        <f t="shared" si="49"/>
        <v>-0.23041517744261464</v>
      </c>
      <c r="AE52" s="2">
        <f t="shared" si="49"/>
        <v>-1.9999988253485814</v>
      </c>
      <c r="AF52" s="2">
        <f t="shared" si="49"/>
        <v>-1.4772209828291369</v>
      </c>
      <c r="AG52" s="2">
        <f t="shared" si="49"/>
        <v>-0.27362998615363532</v>
      </c>
      <c r="AH52" s="2">
        <f t="shared" si="49"/>
        <v>-0.27451236023497971</v>
      </c>
      <c r="AI52" s="18">
        <f t="shared" si="5"/>
        <v>87</v>
      </c>
      <c r="AJ52" s="2">
        <f t="shared" si="6"/>
        <v>1</v>
      </c>
    </row>
    <row r="53" spans="1:36" ht="10.5" customHeight="1" x14ac:dyDescent="0.25">
      <c r="A53" s="17">
        <v>45</v>
      </c>
      <c r="B53" s="2">
        <f t="shared" si="2"/>
        <v>0.88478085896864067</v>
      </c>
      <c r="C53" s="4">
        <v>1</v>
      </c>
      <c r="D53" s="4">
        <v>21.7498984857714</v>
      </c>
      <c r="E53" s="18">
        <v>89</v>
      </c>
      <c r="F53" s="5">
        <v>2.5399999999999999E-2</v>
      </c>
      <c r="G53" s="5">
        <v>0.16450000000000001</v>
      </c>
      <c r="H53" s="5">
        <v>0.1532</v>
      </c>
      <c r="I53" s="5">
        <v>0.86839999999999995</v>
      </c>
      <c r="J53" s="5">
        <v>0.30170000000000002</v>
      </c>
      <c r="K53" s="5">
        <v>0.15060000000000001</v>
      </c>
      <c r="L53" s="5">
        <v>0.6331</v>
      </c>
      <c r="M53" s="5">
        <v>0.28710000000000002</v>
      </c>
      <c r="N53" s="5">
        <v>0.31269999999999998</v>
      </c>
      <c r="O53" s="5">
        <v>0.75119999999999998</v>
      </c>
      <c r="P53" s="5">
        <v>6.4300000000000002E-4</v>
      </c>
      <c r="Q53" s="5">
        <v>23.59</v>
      </c>
      <c r="R53" s="5">
        <v>0.3206</v>
      </c>
      <c r="S53" s="5">
        <v>78.08</v>
      </c>
      <c r="T53" s="18">
        <f t="shared" si="3"/>
        <v>89</v>
      </c>
      <c r="U53" s="2">
        <f t="shared" ref="U53:AH53" si="50">IF(OR(F53=0,F53&lt;0.00001,F53&gt;100000),"",IF((IF(F53&gt;F$5,ABS(LOG(((F$5/SUM($F53:$S53))/(F$4/SUM($F$4:$S$4)))*4+2,2)),ABS(LOG(((F53/SUM($F53:$S53))/(F$4/SUM($F$4:$S$4)))*4+2,2)))-3)&gt;8,(IF(F53&gt;F$5,ABS(LOG(((F$5/SUM($F53:$S53))/(F$4/SUM($F$4:$S$4)))*4+2,2)),ABS(LOG(((F53/SUM($F53:$S53))/(F$4/SUM($F$4:$S$4)))*4+2,2)))-3)/7,IF(F53&gt;F$5,ABS(LOG(((F$5/SUM($F53:$S53))/(F$4/SUM($F$4:$S$4)))*4+2,2)),ABS(LOG(((F53/SUM($F53:$S53))/(F$4/SUM($F$4:$S$4)))*4+2,2)))-3))</f>
        <v>-0.43914673238399127</v>
      </c>
      <c r="V53" s="2">
        <f t="shared" si="50"/>
        <v>0.30658750478295049</v>
      </c>
      <c r="W53" s="2">
        <f t="shared" si="50"/>
        <v>1.673909505885832</v>
      </c>
      <c r="X53" s="2">
        <f t="shared" si="50"/>
        <v>1.2226147417656827</v>
      </c>
      <c r="Y53" s="2">
        <f t="shared" si="50"/>
        <v>7.6358011524539027E-2</v>
      </c>
      <c r="Z53" s="2">
        <f t="shared" si="50"/>
        <v>6.4140618898244188</v>
      </c>
      <c r="AA53" s="2">
        <f t="shared" si="50"/>
        <v>2.6613843073627894</v>
      </c>
      <c r="AB53" s="2">
        <f t="shared" si="50"/>
        <v>0.76577696079207236</v>
      </c>
      <c r="AC53" s="2">
        <f t="shared" si="50"/>
        <v>1.0110945208500732</v>
      </c>
      <c r="AD53" s="2">
        <f t="shared" si="50"/>
        <v>-1.0939346765408284</v>
      </c>
      <c r="AE53" s="2">
        <f t="shared" si="50"/>
        <v>-1.9999998615323211</v>
      </c>
      <c r="AF53" s="2">
        <f t="shared" si="50"/>
        <v>-1.0414256374596524</v>
      </c>
      <c r="AG53" s="2">
        <f t="shared" si="50"/>
        <v>-1.8469814371006039</v>
      </c>
      <c r="AH53" s="2">
        <f t="shared" si="50"/>
        <v>0.15235131521665579</v>
      </c>
      <c r="AI53" s="18">
        <f t="shared" si="5"/>
        <v>89</v>
      </c>
      <c r="AJ53" s="2">
        <f t="shared" si="6"/>
        <v>1</v>
      </c>
    </row>
    <row r="54" spans="1:36" ht="10.5" customHeight="1" x14ac:dyDescent="0.25">
      <c r="A54" s="17">
        <v>46</v>
      </c>
      <c r="B54" s="2">
        <f t="shared" si="2"/>
        <v>1.9499330243688502</v>
      </c>
      <c r="C54" s="4">
        <v>1</v>
      </c>
      <c r="D54" s="4">
        <v>24.716291540443201</v>
      </c>
      <c r="E54" s="18">
        <v>91</v>
      </c>
      <c r="F54" s="5">
        <v>1.0699999999999999E-2</v>
      </c>
      <c r="G54" s="5">
        <v>0.40560000000000002</v>
      </c>
      <c r="H54" s="5">
        <v>0.39960000000000001</v>
      </c>
      <c r="I54" s="5">
        <v>1.0549999999999999</v>
      </c>
      <c r="J54" s="5">
        <v>3.1859999999999999</v>
      </c>
      <c r="K54" s="5">
        <v>0.44650000000000001</v>
      </c>
      <c r="L54" s="5">
        <v>0.79600000000000004</v>
      </c>
      <c r="M54" s="5">
        <v>0.32690000000000002</v>
      </c>
      <c r="N54" s="5">
        <v>4.4799999999999996E-3</v>
      </c>
      <c r="O54" s="5">
        <v>1.7899999999999999E-2</v>
      </c>
      <c r="P54" s="5">
        <v>0.25109999999999999</v>
      </c>
      <c r="Q54" s="5">
        <v>6.0540000000000003</v>
      </c>
      <c r="R54" s="5">
        <v>0.18190000000000001</v>
      </c>
      <c r="S54" s="5">
        <v>103</v>
      </c>
      <c r="T54" s="18">
        <f t="shared" si="3"/>
        <v>91</v>
      </c>
      <c r="U54" s="2">
        <f t="shared" ref="U54:AH54" si="51">IF(OR(F54=0,F54&lt;0.00001,F54&gt;100000),"",IF((IF(F54&gt;F$5,ABS(LOG(((F$5/SUM($F54:$S54))/(F$4/SUM($F$4:$S$4)))*4+2,2)),ABS(LOG(((F54/SUM($F54:$S54))/(F$4/SUM($F$4:$S$4)))*4+2,2)))-3)&gt;8,(IF(F54&gt;F$5,ABS(LOG(((F$5/SUM($F54:$S54))/(F$4/SUM($F$4:$S$4)))*4+2,2)),ABS(LOG(((F54/SUM($F54:$S54))/(F$4/SUM($F$4:$S$4)))*4+2,2)))-3)/7,IF(F54&gt;F$5,ABS(LOG(((F$5/SUM($F54:$S54))/(F$4/SUM($F$4:$S$4)))*4+2,2)),ABS(LOG(((F54/SUM($F54:$S54))/(F$4/SUM($F$4:$S$4)))*4+2,2)))-3))</f>
        <v>-1.1948557916708655</v>
      </c>
      <c r="V54" s="2">
        <f t="shared" si="51"/>
        <v>1.3005051154103455</v>
      </c>
      <c r="W54" s="2">
        <f t="shared" si="51"/>
        <v>2.8534605503908645</v>
      </c>
      <c r="X54" s="2">
        <f t="shared" si="51"/>
        <v>1.3519886509570256</v>
      </c>
      <c r="Y54" s="2">
        <f t="shared" si="51"/>
        <v>2.9957351192192361</v>
      </c>
      <c r="Z54" s="2">
        <f t="shared" si="51"/>
        <v>7.8426698776389561</v>
      </c>
      <c r="AA54" s="2">
        <f t="shared" si="51"/>
        <v>2.8478730040886617</v>
      </c>
      <c r="AB54" s="2">
        <f t="shared" si="51"/>
        <v>0.80907250263428176</v>
      </c>
      <c r="AC54" s="2">
        <f t="shared" si="51"/>
        <v>-1.8729895370189631</v>
      </c>
      <c r="AD54" s="2">
        <f t="shared" si="51"/>
        <v>-1.9729276749877889</v>
      </c>
      <c r="AE54" s="2">
        <f t="shared" si="51"/>
        <v>-1.9999998740472609</v>
      </c>
      <c r="AF54" s="2">
        <f t="shared" si="51"/>
        <v>-1.7128542130404003</v>
      </c>
      <c r="AG54" s="2">
        <f t="shared" si="51"/>
        <v>-1.9190047396420982</v>
      </c>
      <c r="AH54" s="2">
        <f t="shared" si="51"/>
        <v>0.36019186476842346</v>
      </c>
      <c r="AI54" s="18">
        <f t="shared" si="5"/>
        <v>91</v>
      </c>
      <c r="AJ54" s="2">
        <f t="shared" si="6"/>
        <v>1</v>
      </c>
    </row>
    <row r="55" spans="1:36" ht="10.5" customHeight="1" x14ac:dyDescent="0.25">
      <c r="A55" s="17">
        <v>47</v>
      </c>
      <c r="B55" s="2">
        <f t="shared" si="2"/>
        <v>0.60925618142099058</v>
      </c>
      <c r="C55" s="4">
        <v>1</v>
      </c>
      <c r="D55" s="4">
        <v>24.3821713824541</v>
      </c>
      <c r="E55" s="18">
        <v>93</v>
      </c>
      <c r="F55" s="5">
        <v>7.4175000000000005E-3</v>
      </c>
      <c r="G55" s="5">
        <v>2.9450000000000001E-5</v>
      </c>
      <c r="H55" s="5">
        <v>0.106075</v>
      </c>
      <c r="I55" s="5">
        <v>1.5255000000000001</v>
      </c>
      <c r="J55" s="5">
        <v>2.4219999999999997</v>
      </c>
      <c r="K55" s="5">
        <v>0.47897499999999998</v>
      </c>
      <c r="L55" s="5">
        <v>0.12750500000000001</v>
      </c>
      <c r="M55" s="5">
        <v>8.6852500000000003E-3</v>
      </c>
      <c r="N55" s="5">
        <v>3.1709999999999998E-3</v>
      </c>
      <c r="O55" s="5">
        <v>8.6169999999999997E-3</v>
      </c>
      <c r="P55" s="5">
        <v>0.35865750000000002</v>
      </c>
      <c r="Q55" s="5">
        <v>1.9472499999999999</v>
      </c>
      <c r="R55" s="5">
        <v>0.58555000000000001</v>
      </c>
      <c r="S55" s="5">
        <v>2.89575</v>
      </c>
      <c r="T55" s="18">
        <f t="shared" si="3"/>
        <v>93</v>
      </c>
      <c r="U55" s="2">
        <f t="shared" ref="U55:AH55" si="52">IF(OR(F55=0,F55&lt;0.00001,F55&gt;100000),"",IF((IF(F55&gt;F$5,ABS(LOG(((F$5/SUM($F55:$S55))/(F$4/SUM($F$4:$S$4)))*4+2,2)),ABS(LOG(((F55/SUM($F55:$S55))/(F$4/SUM($F$4:$S$4)))*4+2,2)))-3)&gt;8,(IF(F55&gt;F$5,ABS(LOG(((F$5/SUM($F55:$S55))/(F$4/SUM($F$4:$S$4)))*4+2,2)),ABS(LOG(((F55/SUM($F55:$S55))/(F$4/SUM($F$4:$S$4)))*4+2,2)))-3)/7,IF(F55&gt;F$5,ABS(LOG(((F$5/SUM($F55:$S55))/(F$4/SUM($F$4:$S$4)))*4+2,2)),ABS(LOG(((F55/SUM($F55:$S55))/(F$4/SUM($F$4:$S$4)))*4+2,2)))-3))</f>
        <v>0.75352041537906844</v>
      </c>
      <c r="V55" s="2">
        <f t="shared" si="52"/>
        <v>-1.9897554206874475</v>
      </c>
      <c r="W55" s="2">
        <f t="shared" si="52"/>
        <v>4.3774232100061905</v>
      </c>
      <c r="X55" s="2">
        <f t="shared" si="52"/>
        <v>5.2158281766775794</v>
      </c>
      <c r="Y55" s="2">
        <f t="shared" si="52"/>
        <v>6.0305382728566581</v>
      </c>
      <c r="Z55" s="2">
        <f t="shared" si="52"/>
        <v>1.6304691714786563</v>
      </c>
      <c r="AA55" s="2">
        <f t="shared" si="52"/>
        <v>3.6543666155244336</v>
      </c>
      <c r="AB55" s="2">
        <f t="shared" si="52"/>
        <v>-0.53021462491580085</v>
      </c>
      <c r="AC55" s="2">
        <f t="shared" si="52"/>
        <v>-1.2157654361951038</v>
      </c>
      <c r="AD55" s="2">
        <f t="shared" si="52"/>
        <v>-1.8610581175001628</v>
      </c>
      <c r="AE55" s="2">
        <f t="shared" si="52"/>
        <v>-1.9999986035947068</v>
      </c>
      <c r="AF55" s="2">
        <f t="shared" si="52"/>
        <v>-1.1638158964025487</v>
      </c>
      <c r="AG55" s="2">
        <f t="shared" si="52"/>
        <v>-0.38601829906245477</v>
      </c>
      <c r="AH55" s="2">
        <f t="shared" si="52"/>
        <v>-0.80549569909023777</v>
      </c>
      <c r="AI55" s="18">
        <f t="shared" si="5"/>
        <v>93</v>
      </c>
      <c r="AJ55" s="2">
        <f t="shared" si="6"/>
        <v>1</v>
      </c>
    </row>
    <row r="56" spans="1:36" ht="10.5" customHeight="1" x14ac:dyDescent="0.25">
      <c r="A56" s="17">
        <v>48</v>
      </c>
      <c r="B56" s="2">
        <f t="shared" si="2"/>
        <v>1.2852776650381004</v>
      </c>
      <c r="C56" s="4">
        <v>1</v>
      </c>
      <c r="D56" s="4">
        <v>21.178765360862901</v>
      </c>
      <c r="E56" s="18">
        <v>95</v>
      </c>
      <c r="F56" s="5">
        <v>8.8699999999999994E-3</v>
      </c>
      <c r="G56" s="5">
        <v>0.15759999999999999</v>
      </c>
      <c r="H56" s="5">
        <v>0.16300000000000001</v>
      </c>
      <c r="I56" s="5">
        <v>0.46610000000000001</v>
      </c>
      <c r="J56" s="5">
        <v>0.313</v>
      </c>
      <c r="K56" s="5">
        <v>0.1203</v>
      </c>
      <c r="L56" s="5">
        <v>0.4037</v>
      </c>
      <c r="M56" s="5">
        <v>0.18609999999999999</v>
      </c>
      <c r="N56" s="5">
        <v>8.4699999999999998E-2</v>
      </c>
      <c r="O56" s="5">
        <v>0.87849999999999995</v>
      </c>
      <c r="P56" s="5">
        <v>7.6000000000000004E-4</v>
      </c>
      <c r="Q56" s="5">
        <v>13.31</v>
      </c>
      <c r="R56" s="5">
        <v>0.22109999999999999</v>
      </c>
      <c r="S56" s="5">
        <v>51.24</v>
      </c>
      <c r="T56" s="18">
        <f t="shared" si="3"/>
        <v>95</v>
      </c>
      <c r="U56" s="2">
        <f t="shared" ref="U56:AH56" si="53">IF(OR(F56=0,F56&lt;0.00001,F56&gt;100000),"",IF((IF(F56&gt;F$5,ABS(LOG(((F$5/SUM($F56:$S56))/(F$4/SUM($F$4:$S$4)))*4+2,2)),ABS(LOG(((F56/SUM($F56:$S56))/(F$4/SUM($F$4:$S$4)))*4+2,2)))-3)&gt;8,(IF(F56&gt;F$5,ABS(LOG(((F$5/SUM($F56:$S56))/(F$4/SUM($F$4:$S$4)))*4+2,2)),ABS(LOG(((F56/SUM($F56:$S56))/(F$4/SUM($F$4:$S$4)))*4+2,2)))-3)/7,IF(F56&gt;F$5,ABS(LOG(((F$5/SUM($F56:$S56))/(F$4/SUM($F$4:$S$4)))*4+2,2)),ABS(LOG(((F56/SUM($F56:$S56))/(F$4/SUM($F$4:$S$4)))*4+2,2)))-3))</f>
        <v>-0.9538352105552983</v>
      </c>
      <c r="V56" s="2">
        <f t="shared" si="53"/>
        <v>0.78941925442317951</v>
      </c>
      <c r="W56" s="2">
        <f t="shared" si="53"/>
        <v>2.3625842838974007</v>
      </c>
      <c r="X56" s="2">
        <f t="shared" si="53"/>
        <v>0.99921665824660755</v>
      </c>
      <c r="Y56" s="2">
        <f t="shared" si="53"/>
        <v>0.63686092913632342</v>
      </c>
      <c r="Z56" s="2">
        <f t="shared" si="53"/>
        <v>6.7341700716241419</v>
      </c>
      <c r="AA56" s="2">
        <f t="shared" si="53"/>
        <v>2.6574344074466998</v>
      </c>
      <c r="AB56" s="2">
        <f t="shared" si="53"/>
        <v>0.78247916668262496</v>
      </c>
      <c r="AC56" s="2">
        <f t="shared" si="53"/>
        <v>-3.1812636674528605E-3</v>
      </c>
      <c r="AD56" s="2">
        <f t="shared" si="53"/>
        <v>-0.62247500363285235</v>
      </c>
      <c r="AE56" s="2">
        <f t="shared" si="53"/>
        <v>-1.9999997834670777</v>
      </c>
      <c r="AF56" s="2">
        <f t="shared" si="53"/>
        <v>-1.1262894162937365</v>
      </c>
      <c r="AG56" s="2">
        <f t="shared" si="53"/>
        <v>-1.8356362793357774</v>
      </c>
      <c r="AH56" s="2">
        <f t="shared" si="53"/>
        <v>0.18138706298551455</v>
      </c>
      <c r="AI56" s="18">
        <f t="shared" si="5"/>
        <v>95</v>
      </c>
      <c r="AJ56" s="2">
        <f t="shared" si="6"/>
        <v>1</v>
      </c>
    </row>
    <row r="57" spans="1:36" ht="10.5" customHeight="1" x14ac:dyDescent="0.25">
      <c r="A57" s="17">
        <v>49</v>
      </c>
      <c r="B57" s="2">
        <f t="shared" si="2"/>
        <v>2.0934546833398788</v>
      </c>
      <c r="C57" s="4">
        <v>1</v>
      </c>
      <c r="D57" s="4">
        <v>25.262808219930001</v>
      </c>
      <c r="E57" s="18">
        <v>99</v>
      </c>
      <c r="F57" s="5">
        <v>1.2589000000000001E-3</v>
      </c>
      <c r="G57" s="5">
        <v>0.11044999999999999</v>
      </c>
      <c r="H57" s="5">
        <v>0.48965000000000003</v>
      </c>
      <c r="I57" s="5">
        <v>0.96639999999999993</v>
      </c>
      <c r="J57" s="5">
        <v>0.86950000000000005</v>
      </c>
      <c r="K57" s="5">
        <v>1.6050000000000002E-2</v>
      </c>
      <c r="L57" s="5">
        <v>0.86744999999999994</v>
      </c>
      <c r="M57" s="5">
        <v>0.39015</v>
      </c>
      <c r="N57" s="5">
        <v>6.6050000000000006E-3</v>
      </c>
      <c r="O57" s="5">
        <v>6.5655000000000002E-3</v>
      </c>
      <c r="P57" s="5">
        <v>5.5865000000000003E-3</v>
      </c>
      <c r="Q57" s="5">
        <v>9.0689999999999991</v>
      </c>
      <c r="R57" s="5">
        <v>1.00525</v>
      </c>
      <c r="S57" s="5">
        <v>28.035</v>
      </c>
      <c r="T57" s="18">
        <f t="shared" si="3"/>
        <v>99</v>
      </c>
      <c r="U57" s="2">
        <f t="shared" ref="U57:AH57" si="54">IF(OR(F57=0,F57&lt;0.00001,F57&gt;100000),"",IF((IF(F57&gt;F$5,ABS(LOG(((F$5/SUM($F57:$S57))/(F$4/SUM($F$4:$S$4)))*4+2,2)),ABS(LOG(((F57/SUM($F57:$S57))/(F$4/SUM($F$4:$S$4)))*4+2,2)))-3)&gt;8,(IF(F57&gt;F$5,ABS(LOG(((F$5/SUM($F57:$S57))/(F$4/SUM($F$4:$S$4)))*4+2,2)),ABS(LOG(((F57/SUM($F57:$S57))/(F$4/SUM($F$4:$S$4)))*4+2,2)))-3)/7,IF(F57&gt;F$5,ABS(LOG(((F$5/SUM($F57:$S57))/(F$4/SUM($F$4:$S$4)))*4+2,2)),ABS(LOG(((F57/SUM($F57:$S57))/(F$4/SUM($F$4:$S$4)))*4+2,2)))-3))</f>
        <v>-1.6849420073016557</v>
      </c>
      <c r="V57" s="2">
        <f t="shared" si="54"/>
        <v>0.94326667899549799</v>
      </c>
      <c r="W57" s="2">
        <f t="shared" si="54"/>
        <v>4.5838792710403</v>
      </c>
      <c r="X57" s="2">
        <f t="shared" si="54"/>
        <v>2.6099542483623637</v>
      </c>
      <c r="Y57" s="2">
        <f t="shared" si="54"/>
        <v>2.6095405807945777</v>
      </c>
      <c r="Z57" s="2">
        <f t="shared" si="54"/>
        <v>4.5316553622749183</v>
      </c>
      <c r="AA57" s="2">
        <f t="shared" si="54"/>
        <v>4.4108468797319302</v>
      </c>
      <c r="AB57" s="2">
        <f t="shared" si="54"/>
        <v>2.3857576686391306</v>
      </c>
      <c r="AC57" s="2">
        <f t="shared" si="54"/>
        <v>-1.5388706664033094</v>
      </c>
      <c r="AD57" s="2">
        <f t="shared" si="54"/>
        <v>-1.9724417142480173</v>
      </c>
      <c r="AE57" s="2">
        <f t="shared" si="54"/>
        <v>-1.9999996503827702</v>
      </c>
      <c r="AF57" s="2">
        <f t="shared" si="54"/>
        <v>-1.0621072499864239</v>
      </c>
      <c r="AG57" s="2">
        <f t="shared" si="54"/>
        <v>-1.0847857895854649</v>
      </c>
      <c r="AH57" s="2">
        <f t="shared" si="54"/>
        <v>4.391502846508244E-2</v>
      </c>
      <c r="AI57" s="18">
        <f t="shared" si="5"/>
        <v>99</v>
      </c>
      <c r="AJ57" s="2">
        <f t="shared" si="6"/>
        <v>1</v>
      </c>
    </row>
    <row r="58" spans="1:36" ht="10.5" customHeight="1" x14ac:dyDescent="0.25">
      <c r="A58" s="17">
        <v>50</v>
      </c>
      <c r="B58" s="2">
        <f t="shared" si="2"/>
        <v>5.3604459303516636</v>
      </c>
      <c r="C58" s="4">
        <v>1</v>
      </c>
      <c r="D58" s="4">
        <v>21.121579968650298</v>
      </c>
      <c r="E58" s="18">
        <v>101</v>
      </c>
      <c r="F58" s="5">
        <v>1.54E-2</v>
      </c>
      <c r="G58" s="5">
        <v>3.2399999999999998E-2</v>
      </c>
      <c r="H58" s="5">
        <v>3.15E-2</v>
      </c>
      <c r="I58" s="5">
        <v>0.62319999999999998</v>
      </c>
      <c r="J58" s="5">
        <v>1.0760000000000001</v>
      </c>
      <c r="K58" s="5">
        <v>5.4299999999999998E-5</v>
      </c>
      <c r="L58" s="5">
        <v>0.23519999999999999</v>
      </c>
      <c r="M58" s="5">
        <v>3.1800000000000002E-2</v>
      </c>
      <c r="N58" s="5">
        <v>4.5999999999999999E-3</v>
      </c>
      <c r="O58" s="5">
        <v>0.10100000000000001</v>
      </c>
      <c r="P58" s="5">
        <v>3.1099999999999999E-3</v>
      </c>
      <c r="Q58" s="5">
        <v>7.3499999999999996E-2</v>
      </c>
      <c r="R58" s="5">
        <v>0.72729999999999995</v>
      </c>
      <c r="S58" s="5">
        <v>2.915</v>
      </c>
      <c r="T58" s="18">
        <f t="shared" si="3"/>
        <v>101</v>
      </c>
      <c r="U58" s="2">
        <f t="shared" ref="U58:AH58" si="55">IF(OR(F58=0,F58&lt;0.00001,F58&gt;100000),"",IF((IF(F58&gt;F$5,ABS(LOG(((F$5/SUM($F58:$S58))/(F$4/SUM($F$4:$S$4)))*4+2,2)),ABS(LOG(((F58/SUM($F58:$S58))/(F$4/SUM($F$4:$S$4)))*4+2,2)))-3)&gt;8,(IF(F58&gt;F$5,ABS(LOG(((F$5/SUM($F58:$S58))/(F$4/SUM($F$4:$S$4)))*4+2,2)),ABS(LOG(((F58/SUM($F58:$S58))/(F$4/SUM($F$4:$S$4)))*4+2,2)))-3)/7,IF(F58&gt;F$5,ABS(LOG(((F$5/SUM($F58:$S58))/(F$4/SUM($F$4:$S$4)))*4+2,2)),ABS(LOG(((F58/SUM($F58:$S58))/(F$4/SUM($F$4:$S$4)))*4+2,2)))-3))</f>
        <v>2.4776614306005902</v>
      </c>
      <c r="V58" s="2">
        <f t="shared" si="55"/>
        <v>1.906000436185292</v>
      </c>
      <c r="W58" s="2">
        <f t="shared" si="55"/>
        <v>3.4766010748281229</v>
      </c>
      <c r="X58" s="2">
        <f t="shared" si="55"/>
        <v>4.7634433722850806</v>
      </c>
      <c r="Y58" s="2">
        <f t="shared" si="55"/>
        <v>5.6969860768954703</v>
      </c>
      <c r="Z58" s="2">
        <f t="shared" si="55"/>
        <v>-0.31885686583920103</v>
      </c>
      <c r="AA58" s="2">
        <f t="shared" si="55"/>
        <v>5.3531463265140236</v>
      </c>
      <c r="AB58" s="2">
        <f t="shared" si="55"/>
        <v>1.6511668676400229</v>
      </c>
      <c r="AC58" s="2">
        <f t="shared" si="55"/>
        <v>-0.47920205922132642</v>
      </c>
      <c r="AD58" s="2">
        <f t="shared" si="55"/>
        <v>-0.36096415134797732</v>
      </c>
      <c r="AE58" s="2">
        <f t="shared" si="55"/>
        <v>-1.9999975081031027</v>
      </c>
      <c r="AF58" s="2">
        <f t="shared" si="55"/>
        <v>-1.9256355285300775</v>
      </c>
      <c r="AG58" s="2">
        <f t="shared" si="55"/>
        <v>0.47718838292017196</v>
      </c>
      <c r="AH58" s="2">
        <f t="shared" si="55"/>
        <v>-0.27102776457829503</v>
      </c>
      <c r="AI58" s="18">
        <f t="shared" si="5"/>
        <v>101</v>
      </c>
      <c r="AJ58" s="2">
        <f t="shared" si="6"/>
        <v>1</v>
      </c>
    </row>
    <row r="59" spans="1:36" ht="10.5" customHeight="1" x14ac:dyDescent="0.25">
      <c r="A59" s="17">
        <v>51</v>
      </c>
      <c r="B59" s="2">
        <f t="shared" si="2"/>
        <v>0.78272240686667116</v>
      </c>
      <c r="C59" s="4">
        <v>1</v>
      </c>
      <c r="D59" s="4">
        <v>21.530842042531599</v>
      </c>
      <c r="E59" s="18">
        <v>103</v>
      </c>
      <c r="F59" s="5">
        <v>0.21560000000000001</v>
      </c>
      <c r="G59" s="5">
        <v>0.1454</v>
      </c>
      <c r="H59" s="5">
        <v>0.62980000000000003</v>
      </c>
      <c r="I59" s="5">
        <v>1.3069999999999999</v>
      </c>
      <c r="J59" s="5">
        <v>2.0950000000000002</v>
      </c>
      <c r="K59" s="5">
        <v>3.915</v>
      </c>
      <c r="L59" s="5">
        <v>1.9059999999999999</v>
      </c>
      <c r="M59" s="5">
        <v>0.57909999999999995</v>
      </c>
      <c r="N59" s="5">
        <v>4.9500000000000002E-2</v>
      </c>
      <c r="O59" s="5">
        <v>9.8599999999999993E-2</v>
      </c>
      <c r="P59" s="5">
        <v>2.5900000000000001E-4</v>
      </c>
      <c r="Q59" s="5">
        <v>56.18</v>
      </c>
      <c r="R59" s="5">
        <v>0.2016</v>
      </c>
      <c r="S59" s="5">
        <v>72.53</v>
      </c>
      <c r="T59" s="18">
        <f t="shared" si="3"/>
        <v>103</v>
      </c>
      <c r="U59" s="2">
        <f t="shared" ref="U59:AH59" si="56">IF(OR(F59=0,F59&lt;0.00001,F59&gt;100000),"",IF((IF(F59&gt;F$5,ABS(LOG(((F$5/SUM($F59:$S59))/(F$4/SUM($F$4:$S$4)))*4+2,2)),ABS(LOG(((F59/SUM($F59:$S59))/(F$4/SUM($F$4:$S$4)))*4+2,2)))-3)&gt;8,(IF(F59&gt;F$5,ABS(LOG(((F$5/SUM($F59:$S59))/(F$4/SUM($F$4:$S$4)))*4+2,2)),ABS(LOG(((F59/SUM($F59:$S59))/(F$4/SUM($F$4:$S$4)))*4+2,2)))-3)/7,IF(F59&gt;F$5,ABS(LOG(((F$5/SUM($F59:$S59))/(F$4/SUM($F$4:$S$4)))*4+2,2)),ABS(LOG(((F59/SUM($F59:$S59))/(F$4/SUM($F$4:$S$4)))*4+2,2)))-3))</f>
        <v>1.7553677898142821</v>
      </c>
      <c r="V59" s="2">
        <f t="shared" si="56"/>
        <v>-0.137921316055726</v>
      </c>
      <c r="W59" s="2">
        <f t="shared" si="56"/>
        <v>3.2298766307802689</v>
      </c>
      <c r="X59" s="2">
        <f t="shared" si="56"/>
        <v>1.3889498046296982</v>
      </c>
      <c r="Y59" s="2">
        <f t="shared" si="56"/>
        <v>2.1599502133910207</v>
      </c>
      <c r="Z59" s="2">
        <f t="shared" si="56"/>
        <v>1.2857151813553496</v>
      </c>
      <c r="AA59" s="2">
        <f t="shared" si="56"/>
        <v>3.8143620502699527</v>
      </c>
      <c r="AB59" s="2">
        <f t="shared" si="56"/>
        <v>1.2984646492508825</v>
      </c>
      <c r="AC59" s="2">
        <f t="shared" si="56"/>
        <v>-1.1168553350386243</v>
      </c>
      <c r="AD59" s="2">
        <f t="shared" si="56"/>
        <v>-1.8801174808335788</v>
      </c>
      <c r="AE59" s="2">
        <f t="shared" si="56"/>
        <v>-1.9999998954071641</v>
      </c>
      <c r="AF59" s="2">
        <f t="shared" si="56"/>
        <v>-0.5686108973594961</v>
      </c>
      <c r="AG59" s="2">
        <f t="shared" si="56"/>
        <v>-1.9252920871541701</v>
      </c>
      <c r="AH59" s="2">
        <f t="shared" si="56"/>
        <v>-0.22701319541069065</v>
      </c>
      <c r="AI59" s="18">
        <f t="shared" si="5"/>
        <v>103</v>
      </c>
      <c r="AJ59" s="2">
        <f t="shared" si="6"/>
        <v>1</v>
      </c>
    </row>
    <row r="60" spans="1:36" ht="10.5" customHeight="1" x14ac:dyDescent="0.25">
      <c r="A60" s="17">
        <v>52</v>
      </c>
      <c r="B60" s="2">
        <f t="shared" si="2"/>
        <v>0.16030733423246077</v>
      </c>
      <c r="C60" s="4">
        <v>1</v>
      </c>
      <c r="D60" s="4">
        <v>22.528725226957</v>
      </c>
      <c r="E60" s="18">
        <v>105</v>
      </c>
      <c r="F60" s="5">
        <v>2.01E-2</v>
      </c>
      <c r="G60" s="5">
        <v>7.4999999999999997E-2</v>
      </c>
      <c r="H60" s="5">
        <v>1.66</v>
      </c>
      <c r="I60" s="5">
        <v>0.3952</v>
      </c>
      <c r="J60" s="5">
        <v>0.40689999999999998</v>
      </c>
      <c r="K60" s="5">
        <v>0.1231</v>
      </c>
      <c r="L60" s="5">
        <v>0.81299999999999994</v>
      </c>
      <c r="M60" s="5">
        <v>0.21970000000000001</v>
      </c>
      <c r="N60" s="5">
        <v>9.7800000000000005E-3</v>
      </c>
      <c r="O60" s="5">
        <v>0.2316</v>
      </c>
      <c r="P60" s="5">
        <v>4.9899999999999999E-4</v>
      </c>
      <c r="Q60" s="5">
        <v>54.03</v>
      </c>
      <c r="R60" s="5">
        <v>0.18190000000000001</v>
      </c>
      <c r="S60" s="5">
        <v>38.24</v>
      </c>
      <c r="T60" s="18">
        <f t="shared" si="3"/>
        <v>105</v>
      </c>
      <c r="U60" s="2">
        <f t="shared" ref="U60:AH60" si="57">IF(OR(F60=0,F60&lt;0.00001,F60&gt;100000),"",IF((IF(F60&gt;F$5,ABS(LOG(((F$5/SUM($F60:$S60))/(F$4/SUM($F$4:$S$4)))*4+2,2)),ABS(LOG(((F60/SUM($F60:$S60))/(F$4/SUM($F$4:$S$4)))*4+2,2)))-3)&gt;8,(IF(F60&gt;F$5,ABS(LOG(((F$5/SUM($F60:$S60))/(F$4/SUM($F$4:$S$4)))*4+2,2)),ABS(LOG(((F60/SUM($F60:$S60))/(F$4/SUM($F$4:$S$4)))*4+2,2)))-3)/7,IF(F60&gt;F$5,ABS(LOG(((F$5/SUM($F60:$S60))/(F$4/SUM($F$4:$S$4)))*4+2,2)),ABS(LOG(((F60/SUM($F60:$S60))/(F$4/SUM($F$4:$S$4)))*4+2,2)))-3))</f>
        <v>-0.57178741132454913</v>
      </c>
      <c r="V60" s="2">
        <f t="shared" si="57"/>
        <v>-0.42859772939041019</v>
      </c>
      <c r="W60" s="2">
        <f t="shared" si="57"/>
        <v>5.1361251360348952</v>
      </c>
      <c r="X60" s="2">
        <f t="shared" si="57"/>
        <v>0.36633952303403339</v>
      </c>
      <c r="Y60" s="2">
        <f t="shared" si="57"/>
        <v>0.52477709083964585</v>
      </c>
      <c r="Z60" s="2">
        <f t="shared" si="57"/>
        <v>6.2556014380368961</v>
      </c>
      <c r="AA60" s="2">
        <f t="shared" si="57"/>
        <v>3.137553943667907</v>
      </c>
      <c r="AB60" s="2">
        <f t="shared" si="57"/>
        <v>0.55197898683110846</v>
      </c>
      <c r="AC60" s="2">
        <f t="shared" si="57"/>
        <v>-1.687318159164044</v>
      </c>
      <c r="AD60" s="2">
        <f t="shared" si="57"/>
        <v>-1.6267800999651123</v>
      </c>
      <c r="AE60" s="2">
        <f t="shared" si="57"/>
        <v>-1.9999998482720092</v>
      </c>
      <c r="AF60" s="2">
        <f t="shared" si="57"/>
        <v>-0.24826383314614242</v>
      </c>
      <c r="AG60" s="2">
        <f t="shared" si="57"/>
        <v>-1.9029757509860363</v>
      </c>
      <c r="AH60" s="2">
        <f t="shared" si="57"/>
        <v>-0.48951656241126207</v>
      </c>
      <c r="AI60" s="18">
        <f t="shared" si="5"/>
        <v>105</v>
      </c>
      <c r="AJ60" s="2">
        <f t="shared" si="6"/>
        <v>1</v>
      </c>
    </row>
    <row r="61" spans="1:36" ht="10.5" customHeight="1" x14ac:dyDescent="0.25">
      <c r="A61" s="17">
        <v>53</v>
      </c>
      <c r="B61" s="2">
        <f t="shared" si="2"/>
        <v>6.6945718345350338</v>
      </c>
      <c r="C61" s="4">
        <v>1</v>
      </c>
      <c r="D61" s="4">
        <v>22.591140024719799</v>
      </c>
      <c r="E61" s="18">
        <v>107</v>
      </c>
      <c r="F61" s="5">
        <v>0.16389999999999999</v>
      </c>
      <c r="G61" s="5">
        <v>0.621</v>
      </c>
      <c r="H61" s="5">
        <v>0.76239999999999997</v>
      </c>
      <c r="I61" s="5">
        <v>3.1595</v>
      </c>
      <c r="J61" s="5">
        <v>0.8548</v>
      </c>
      <c r="K61" s="5">
        <v>2.6432500000000001</v>
      </c>
      <c r="L61" s="5">
        <v>4.633</v>
      </c>
      <c r="M61" s="5">
        <v>1.4695</v>
      </c>
      <c r="N61" s="5">
        <v>3.0699999999999998E-2</v>
      </c>
      <c r="O61" s="5">
        <v>1.6795</v>
      </c>
      <c r="P61" s="5">
        <v>3.5149999999999999E-3</v>
      </c>
      <c r="Q61" s="5">
        <v>11.71</v>
      </c>
      <c r="R61" s="5">
        <v>0.48670000000000002</v>
      </c>
      <c r="S61" s="5">
        <v>16.07</v>
      </c>
      <c r="T61" s="18">
        <f t="shared" si="3"/>
        <v>107</v>
      </c>
      <c r="U61" s="2">
        <f t="shared" ref="U61:AH61" si="58">IF(OR(F61=0,F61&lt;0.00001,F61&gt;100000),"",IF((IF(F61&gt;F$5,ABS(LOG(((F$5/SUM($F61:$S61))/(F$4/SUM($F$4:$S$4)))*4+2,2)),ABS(LOG(((F61/SUM($F61:$S61))/(F$4/SUM($F$4:$S$4)))*4+2,2)))-3)&gt;8,(IF(F61&gt;F$5,ABS(LOG(((F$5/SUM($F61:$S61))/(F$4/SUM($F$4:$S$4)))*4+2,2)),ABS(LOG(((F61/SUM($F61:$S61))/(F$4/SUM($F$4:$S$4)))*4+2,2)))-3)/7,IF(F61&gt;F$5,ABS(LOG(((F$5/SUM($F61:$S61))/(F$4/SUM($F$4:$S$4)))*4+2,2)),ABS(LOG(((F61/SUM($F61:$S61))/(F$4/SUM($F$4:$S$4)))*4+2,2)))-3))</f>
        <v>2.9550407927781421</v>
      </c>
      <c r="V61" s="2">
        <f t="shared" si="58"/>
        <v>3.1914990271836734</v>
      </c>
      <c r="W61" s="2">
        <f t="shared" si="58"/>
        <v>5.1357907161441858</v>
      </c>
      <c r="X61" s="2">
        <f t="shared" si="58"/>
        <v>4.1963804381495287</v>
      </c>
      <c r="Y61" s="2">
        <f t="shared" si="58"/>
        <v>2.5074063645247682</v>
      </c>
      <c r="Z61" s="2">
        <f t="shared" si="58"/>
        <v>1.5226363539251533</v>
      </c>
      <c r="AA61" s="2">
        <f t="shared" si="58"/>
        <v>6.7322185972288455</v>
      </c>
      <c r="AB61" s="2">
        <f t="shared" si="58"/>
        <v>4.166428587552482</v>
      </c>
      <c r="AC61" s="2">
        <f t="shared" si="58"/>
        <v>-0.59197873708859783</v>
      </c>
      <c r="AD61" s="2">
        <f t="shared" si="58"/>
        <v>0.50095287135573274</v>
      </c>
      <c r="AE61" s="2">
        <f t="shared" si="58"/>
        <v>-1.9999996697145144</v>
      </c>
      <c r="AF61" s="2">
        <f t="shared" si="58"/>
        <v>-0.91796561962341139</v>
      </c>
      <c r="AG61" s="2">
        <f t="shared" si="58"/>
        <v>-1.5092492166934437</v>
      </c>
      <c r="AH61" s="2">
        <f t="shared" si="58"/>
        <v>-0.57159038197243506</v>
      </c>
      <c r="AI61" s="18">
        <f t="shared" si="5"/>
        <v>107</v>
      </c>
      <c r="AJ61" s="2">
        <f t="shared" si="6"/>
        <v>1</v>
      </c>
    </row>
    <row r="62" spans="1:36" ht="10.5" customHeight="1" x14ac:dyDescent="0.25">
      <c r="A62" s="17">
        <v>54</v>
      </c>
      <c r="B62" s="2">
        <f t="shared" si="2"/>
        <v>1.0739390819909012</v>
      </c>
      <c r="C62" s="4">
        <v>1</v>
      </c>
      <c r="D62" s="4">
        <v>30.4624947778542</v>
      </c>
      <c r="E62" s="18">
        <v>109</v>
      </c>
      <c r="F62" s="5">
        <v>0.14749999999999999</v>
      </c>
      <c r="G62" s="5">
        <v>7.1400000000000001E-4</v>
      </c>
      <c r="H62" s="5">
        <v>7.6420000000000003</v>
      </c>
      <c r="I62" s="5">
        <v>6.6749999999999998</v>
      </c>
      <c r="J62" s="5">
        <v>16.170000000000002</v>
      </c>
      <c r="K62" s="5">
        <v>5.117</v>
      </c>
      <c r="L62" s="5">
        <v>1.7399999999999999E-2</v>
      </c>
      <c r="M62" s="5">
        <v>0.17219999999999999</v>
      </c>
      <c r="N62" s="5">
        <v>0.34639999999999999</v>
      </c>
      <c r="O62" s="5">
        <v>4.62E-3</v>
      </c>
      <c r="P62" s="5"/>
      <c r="Q62" s="5">
        <v>5.508</v>
      </c>
      <c r="R62" s="5">
        <v>7.1400000000000001E-4</v>
      </c>
      <c r="S62" s="5">
        <v>28.77</v>
      </c>
      <c r="T62" s="18">
        <f t="shared" si="3"/>
        <v>109</v>
      </c>
      <c r="U62" s="2">
        <f t="shared" ref="U62:AH62" si="59">IF(OR(F62=0,F62&lt;0.00001,F62&gt;100000),"",IF((IF(F62&gt;F$5,ABS(LOG(((F$5/SUM($F62:$S62))/(F$4/SUM($F$4:$S$4)))*4+2,2)),ABS(LOG(((F62/SUM($F62:$S62))/(F$4/SUM($F$4:$S$4)))*4+2,2)))-3)&gt;8,(IF(F62&gt;F$5,ABS(LOG(((F$5/SUM($F62:$S62))/(F$4/SUM($F$4:$S$4)))*4+2,2)),ABS(LOG(((F62/SUM($F62:$S62))/(F$4/SUM($F$4:$S$4)))*4+2,2)))-3)/7,IF(F62&gt;F$5,ABS(LOG(((F$5/SUM($F62:$S62))/(F$4/SUM($F$4:$S$4)))*4+2,2)),ABS(LOG(((F62/SUM($F62:$S62))/(F$4/SUM($F$4:$S$4)))*4+2,2)))-3))</f>
        <v>2.1661673587700054</v>
      </c>
      <c r="V62" s="2">
        <f t="shared" si="59"/>
        <v>-1.9634681483784258</v>
      </c>
      <c r="W62" s="2">
        <f t="shared" si="59"/>
        <v>7.7802888309263505</v>
      </c>
      <c r="X62" s="2">
        <f t="shared" si="59"/>
        <v>4.5984306221751856</v>
      </c>
      <c r="Y62" s="2">
        <f t="shared" si="59"/>
        <v>6.0175261139301792</v>
      </c>
      <c r="Z62" s="2">
        <f t="shared" si="59"/>
        <v>1.4266297776523438</v>
      </c>
      <c r="AA62" s="2">
        <f t="shared" si="59"/>
        <v>-1.0000359433523951</v>
      </c>
      <c r="AB62" s="2">
        <f t="shared" si="59"/>
        <v>0.63423357134407965</v>
      </c>
      <c r="AC62" s="2">
        <f t="shared" si="59"/>
        <v>1.6678957314575342</v>
      </c>
      <c r="AD62" s="2">
        <f t="shared" si="59"/>
        <v>-1.9884391320664605</v>
      </c>
      <c r="AE62" s="2" t="str">
        <f t="shared" si="59"/>
        <v/>
      </c>
      <c r="AF62" s="2">
        <f t="shared" si="59"/>
        <v>-1.5888721419048517</v>
      </c>
      <c r="AG62" s="2">
        <f t="shared" si="59"/>
        <v>-1.9994619431202032</v>
      </c>
      <c r="AH62" s="2">
        <f t="shared" si="59"/>
        <v>-0.46373789340881766</v>
      </c>
      <c r="AI62" s="18">
        <f t="shared" si="5"/>
        <v>109</v>
      </c>
      <c r="AJ62" s="2">
        <f t="shared" si="6"/>
        <v>4.0461213440515991</v>
      </c>
    </row>
    <row r="63" spans="1:36" ht="10.5" customHeight="1" x14ac:dyDescent="0.25">
      <c r="A63" s="17">
        <v>55</v>
      </c>
      <c r="B63" s="2">
        <f t="shared" si="2"/>
        <v>1.636286008131866</v>
      </c>
      <c r="C63" s="4">
        <v>1</v>
      </c>
      <c r="D63" s="4">
        <v>28.209077499129499</v>
      </c>
      <c r="E63" s="18">
        <v>111</v>
      </c>
      <c r="F63" s="5">
        <v>5.0349999999999999E-2</v>
      </c>
      <c r="G63" s="5">
        <v>2.4149999999999999E-4</v>
      </c>
      <c r="H63" s="5">
        <v>27.36</v>
      </c>
      <c r="I63" s="5">
        <v>18.122500000000002</v>
      </c>
      <c r="J63" s="5">
        <v>24.504999999999999</v>
      </c>
      <c r="K63" s="5">
        <v>10.961</v>
      </c>
      <c r="L63" s="5">
        <v>0.75065000000000004</v>
      </c>
      <c r="M63" s="5">
        <v>4.7055000000000007</v>
      </c>
      <c r="N63" s="5">
        <v>0.78079999999999994</v>
      </c>
      <c r="O63" s="5">
        <v>0.73914999999999997</v>
      </c>
      <c r="P63" s="5">
        <v>6.2945000000000002</v>
      </c>
      <c r="Q63" s="5">
        <v>40.695000000000007</v>
      </c>
      <c r="R63" s="5">
        <v>0.47606449999999995</v>
      </c>
      <c r="S63" s="5">
        <v>97.38</v>
      </c>
      <c r="T63" s="18">
        <f t="shared" si="3"/>
        <v>111</v>
      </c>
      <c r="U63" s="2">
        <f t="shared" ref="U63:AH63" si="60">IF(OR(F63=0,F63&lt;0.00001,F63&gt;100000),"",IF((IF(F63&gt;F$5,ABS(LOG(((F$5/SUM($F63:$S63))/(F$4/SUM($F$4:$S$4)))*4+2,2)),ABS(LOG(((F63/SUM($F63:$S63))/(F$4/SUM($F$4:$S$4)))*4+2,2)))-3)&gt;8,(IF(F63&gt;F$5,ABS(LOG(((F$5/SUM($F63:$S63))/(F$4/SUM($F$4:$S$4)))*4+2,2)),ABS(LOG(((F63/SUM($F63:$S63))/(F$4/SUM($F$4:$S$4)))*4+2,2)))-3)/7,IF(F63&gt;F$5,ABS(LOG(((F$5/SUM($F63:$S63))/(F$4/SUM($F$4:$S$4)))*4+2,2)),ABS(LOG(((F63/SUM($F63:$S63))/(F$4/SUM($F$4:$S$4)))*4+2,2)))-3))</f>
        <v>-0.53839328149833854</v>
      </c>
      <c r="V63" s="2">
        <f t="shared" si="60"/>
        <v>-1.9962117516862992</v>
      </c>
      <c r="W63" s="2">
        <f t="shared" si="60"/>
        <v>7.8981449398942338</v>
      </c>
      <c r="X63" s="2">
        <f t="shared" si="60"/>
        <v>4.3205112511416548</v>
      </c>
      <c r="Y63" s="2">
        <f t="shared" si="60"/>
        <v>4.9017592423281782</v>
      </c>
      <c r="Z63" s="2">
        <f t="shared" si="60"/>
        <v>1.1807377912479653</v>
      </c>
      <c r="AA63" s="2">
        <f t="shared" si="60"/>
        <v>1.8151643944411262</v>
      </c>
      <c r="AB63" s="2">
        <f t="shared" si="60"/>
        <v>3.4640442568124179</v>
      </c>
      <c r="AC63" s="2">
        <f t="shared" si="60"/>
        <v>1.1700370807057077</v>
      </c>
      <c r="AD63" s="2">
        <f t="shared" si="60"/>
        <v>-1.5247369789065195</v>
      </c>
      <c r="AE63" s="2">
        <f t="shared" si="60"/>
        <v>-1.9999999371722368</v>
      </c>
      <c r="AF63" s="2">
        <f t="shared" si="60"/>
        <v>-1.2022184841116106</v>
      </c>
      <c r="AG63" s="2">
        <f t="shared" si="60"/>
        <v>-1.8951408703532551</v>
      </c>
      <c r="AH63" s="2">
        <f t="shared" si="60"/>
        <v>-0.43938832244344539</v>
      </c>
      <c r="AI63" s="18">
        <f t="shared" si="5"/>
        <v>111</v>
      </c>
      <c r="AJ63" s="2">
        <f t="shared" si="6"/>
        <v>2.1209077499129498</v>
      </c>
    </row>
    <row r="64" spans="1:36" ht="10.5" customHeight="1" x14ac:dyDescent="0.25">
      <c r="A64" s="17">
        <v>56</v>
      </c>
      <c r="B64" s="2">
        <f t="shared" si="2"/>
        <v>8.5641259374520679E-3</v>
      </c>
      <c r="C64" s="4">
        <v>1</v>
      </c>
      <c r="D64" s="4">
        <v>25.099862855007501</v>
      </c>
      <c r="E64" s="18">
        <v>113</v>
      </c>
      <c r="F64" s="5">
        <v>1.3699999999999999E-3</v>
      </c>
      <c r="G64" s="5">
        <v>0.61580000000000001</v>
      </c>
      <c r="H64" s="5">
        <v>0.4476</v>
      </c>
      <c r="I64" s="5">
        <v>0.5645</v>
      </c>
      <c r="J64" s="5">
        <v>0.92610000000000003</v>
      </c>
      <c r="K64" s="5">
        <v>0.61360000000000003</v>
      </c>
      <c r="L64" s="5">
        <v>0.69979999999999998</v>
      </c>
      <c r="M64" s="5">
        <v>0.42909999999999998</v>
      </c>
      <c r="N64" s="5">
        <v>2.63E-3</v>
      </c>
      <c r="O64" s="5">
        <v>2.544</v>
      </c>
      <c r="P64" s="5">
        <v>19.66</v>
      </c>
      <c r="Q64" s="5">
        <v>69.11</v>
      </c>
      <c r="R64" s="5">
        <v>0.34720000000000001</v>
      </c>
      <c r="S64" s="5">
        <v>148.80000000000001</v>
      </c>
      <c r="T64" s="18">
        <f t="shared" si="3"/>
        <v>113</v>
      </c>
      <c r="U64" s="2">
        <f t="shared" ref="U64:AH64" si="61">IF(OR(F64=0,F64&lt;0.00001,F64&gt;100000),"",IF((IF(F64&gt;F$5,ABS(LOG(((F$5/SUM($F64:$S64))/(F$4/SUM($F$4:$S$4)))*4+2,2)),ABS(LOG(((F64/SUM($F64:$S64))/(F$4/SUM($F$4:$S$4)))*4+2,2)))-3)&gt;8,(IF(F64&gt;F$5,ABS(LOG(((F$5/SUM($F64:$S64))/(F$4/SUM($F$4:$S$4)))*4+2,2)),ABS(LOG(((F64/SUM($F64:$S64))/(F$4/SUM($F$4:$S$4)))*4+2,2)))-3)/7,IF(F64&gt;F$5,ABS(LOG(((F$5/SUM($F64:$S64))/(F$4/SUM($F$4:$S$4)))*4+2,2)),ABS(LOG(((F64/SUM($F64:$S64))/(F$4/SUM($F$4:$S$4)))*4+2,2)))-3))</f>
        <v>-1.9359434922969077</v>
      </c>
      <c r="V64" s="2">
        <f t="shared" si="61"/>
        <v>0.88308758832846523</v>
      </c>
      <c r="W64" s="2">
        <f t="shared" si="61"/>
        <v>1.9848825624360842</v>
      </c>
      <c r="X64" s="2">
        <f t="shared" si="61"/>
        <v>-0.2608421344000722</v>
      </c>
      <c r="Y64" s="2">
        <f t="shared" si="61"/>
        <v>0.39576524117561407</v>
      </c>
      <c r="Z64" s="2">
        <f t="shared" si="61"/>
        <v>7.2265798024197867</v>
      </c>
      <c r="AA64" s="2">
        <f t="shared" si="61"/>
        <v>1.6548357306434101</v>
      </c>
      <c r="AB64" s="2">
        <f t="shared" si="61"/>
        <v>0.24553871871447441</v>
      </c>
      <c r="AC64" s="2">
        <f t="shared" si="61"/>
        <v>-1.9634835297767497</v>
      </c>
      <c r="AD64" s="2">
        <f t="shared" si="61"/>
        <v>-0.81262803830709363</v>
      </c>
      <c r="AE64" s="2">
        <f t="shared" si="61"/>
        <v>-1.9999999402373518</v>
      </c>
      <c r="AF64" s="2">
        <f t="shared" si="61"/>
        <v>-0.86719446227300079</v>
      </c>
      <c r="AG64" s="2">
        <f t="shared" si="61"/>
        <v>-1.9264538339478006</v>
      </c>
      <c r="AH64" s="2">
        <f t="shared" si="61"/>
        <v>-6.1151806632839811E-2</v>
      </c>
      <c r="AI64" s="18">
        <f t="shared" si="5"/>
        <v>113</v>
      </c>
      <c r="AJ64" s="2">
        <f t="shared" si="6"/>
        <v>1</v>
      </c>
    </row>
    <row r="65" spans="1:36" ht="10.5" customHeight="1" x14ac:dyDescent="0.25">
      <c r="A65" s="17">
        <v>57</v>
      </c>
      <c r="B65" s="2">
        <f t="shared" si="2"/>
        <v>0.24929326100944948</v>
      </c>
      <c r="C65" s="4">
        <v>1</v>
      </c>
      <c r="D65" s="4">
        <v>27.148007611378901</v>
      </c>
      <c r="E65" s="18">
        <v>115</v>
      </c>
      <c r="F65" s="5">
        <v>1.6000000000000001E-3</v>
      </c>
      <c r="G65" s="5">
        <v>3.5400000000000002E-3</v>
      </c>
      <c r="H65" s="5">
        <v>1.7769999999999999</v>
      </c>
      <c r="I65" s="5">
        <v>5.4199999999999998E-2</v>
      </c>
      <c r="J65" s="5">
        <v>3.0880000000000001</v>
      </c>
      <c r="K65" s="5">
        <v>0.64739999999999998</v>
      </c>
      <c r="L65" s="5">
        <v>2.3600000000000001E-3</v>
      </c>
      <c r="M65" s="5">
        <v>0.55779999999999996</v>
      </c>
      <c r="N65" s="5">
        <v>2.7799999999999999E-3</v>
      </c>
      <c r="O65" s="5">
        <v>4.8760000000000003</v>
      </c>
      <c r="P65" s="5">
        <v>1.01E-2</v>
      </c>
      <c r="Q65" s="5">
        <v>0.1062</v>
      </c>
      <c r="R65" s="5">
        <v>4.2399999999999998E-3</v>
      </c>
      <c r="S65" s="5">
        <v>2.39</v>
      </c>
      <c r="T65" s="18">
        <f t="shared" si="3"/>
        <v>115</v>
      </c>
      <c r="U65" s="2">
        <f t="shared" ref="U65:AH65" si="62">IF(OR(F65=0,F65&lt;0.00001,F65&gt;100000),"",IF((IF(F65&gt;F$5,ABS(LOG(((F$5/SUM($F65:$S65))/(F$4/SUM($F$4:$S$4)))*4+2,2)),ABS(LOG(((F65/SUM($F65:$S65))/(F$4/SUM($F$4:$S$4)))*4+2,2)))-3)&gt;8,(IF(F65&gt;F$5,ABS(LOG(((F$5/SUM($F65:$S65))/(F$4/SUM($F$4:$S$4)))*4+2,2)),ABS(LOG(((F65/SUM($F65:$S65))/(F$4/SUM($F$4:$S$4)))*4+2,2)))-3)/7,IF(F65&gt;F$5,ABS(LOG(((F$5/SUM($F65:$S65))/(F$4/SUM($F$4:$S$4)))*4+2,2)),ABS(LOG(((F65/SUM($F65:$S65))/(F$4/SUM($F$4:$S$4)))*4+2,2)))-3))</f>
        <v>-1.0292738669918569</v>
      </c>
      <c r="V65" s="2">
        <f t="shared" si="62"/>
        <v>-1.2656652015796748</v>
      </c>
      <c r="W65" s="2">
        <f t="shared" si="62"/>
        <v>1.1513363903216629</v>
      </c>
      <c r="X65" s="2">
        <f t="shared" si="62"/>
        <v>0.3403533100474645</v>
      </c>
      <c r="Y65" s="2">
        <f t="shared" si="62"/>
        <v>6.012830639366701</v>
      </c>
      <c r="Z65" s="2">
        <f t="shared" si="62"/>
        <v>1.6399621903311996</v>
      </c>
      <c r="AA65" s="2">
        <f t="shared" si="62"/>
        <v>-1.2277999470754521</v>
      </c>
      <c r="AB65" s="2">
        <f t="shared" si="62"/>
        <v>4.476669917309156</v>
      </c>
      <c r="AC65" s="2">
        <f t="shared" si="62"/>
        <v>-1.4242039100454991</v>
      </c>
      <c r="AD65" s="2">
        <f t="shared" si="62"/>
        <v>3.5020528306137395</v>
      </c>
      <c r="AE65" s="2">
        <f t="shared" si="62"/>
        <v>-1.9999989181743831</v>
      </c>
      <c r="AF65" s="2">
        <f t="shared" si="62"/>
        <v>-1.9529062684188083</v>
      </c>
      <c r="AG65" s="2">
        <f t="shared" si="62"/>
        <v>-1.9834158949975051</v>
      </c>
      <c r="AH65" s="2">
        <f t="shared" si="62"/>
        <v>-1.1329028052797891</v>
      </c>
      <c r="AI65" s="18">
        <f t="shared" si="5"/>
        <v>115</v>
      </c>
      <c r="AJ65" s="2">
        <f t="shared" si="6"/>
        <v>2.0148007611378902</v>
      </c>
    </row>
    <row r="66" spans="1:36" ht="10.5" customHeight="1" x14ac:dyDescent="0.25">
      <c r="A66" s="17">
        <v>58</v>
      </c>
      <c r="B66" s="2">
        <f t="shared" si="2"/>
        <v>0.15405159325517423</v>
      </c>
      <c r="C66" s="4">
        <v>1</v>
      </c>
      <c r="D66" s="4">
        <v>23.1620271560171</v>
      </c>
      <c r="E66" s="18">
        <v>117</v>
      </c>
      <c r="F66" s="5">
        <v>2.64E-3</v>
      </c>
      <c r="G66" s="5">
        <v>0.38179999999999997</v>
      </c>
      <c r="H66" s="5">
        <v>0.22989999999999999</v>
      </c>
      <c r="I66" s="5">
        <v>0.49380000000000002</v>
      </c>
      <c r="J66" s="5">
        <v>0.45440000000000003</v>
      </c>
      <c r="K66" s="5">
        <v>0.32</v>
      </c>
      <c r="L66" s="5">
        <v>1.25</v>
      </c>
      <c r="M66" s="5">
        <v>0.40839999999999999</v>
      </c>
      <c r="N66" s="5">
        <v>4.8999999999999998E-3</v>
      </c>
      <c r="O66" s="5">
        <v>0.34910000000000002</v>
      </c>
      <c r="P66" s="5">
        <v>2E-3</v>
      </c>
      <c r="Q66" s="5">
        <v>36.71</v>
      </c>
      <c r="R66" s="5">
        <v>0.1968</v>
      </c>
      <c r="S66" s="5">
        <v>115.5</v>
      </c>
      <c r="T66" s="18">
        <f t="shared" si="3"/>
        <v>117</v>
      </c>
      <c r="U66" s="2">
        <f t="shared" ref="U66:AH66" si="63">IF(OR(F66=0,F66&lt;0.00001,F66&gt;100000),"",IF((IF(F66&gt;F$5,ABS(LOG(((F$5/SUM($F66:$S66))/(F$4/SUM($F$4:$S$4)))*4+2,2)),ABS(LOG(((F66/SUM($F66:$S66))/(F$4/SUM($F$4:$S$4)))*4+2,2)))-3)&gt;8,(IF(F66&gt;F$5,ABS(LOG(((F$5/SUM($F66:$S66))/(F$4/SUM($F$4:$S$4)))*4+2,2)),ABS(LOG(((F66/SUM($F66:$S66))/(F$4/SUM($F$4:$S$4)))*4+2,2)))-3)/7,IF(F66&gt;F$5,ABS(LOG(((F$5/SUM($F66:$S66))/(F$4/SUM($F$4:$S$4)))*4+2,2)),ABS(LOG(((F66/SUM($F66:$S66))/(F$4/SUM($F$4:$S$4)))*4+2,2)))-3))</f>
        <v>-1.8147666487147061</v>
      </c>
      <c r="V66" s="2">
        <f t="shared" si="63"/>
        <v>0.84631974459088521</v>
      </c>
      <c r="W66" s="2">
        <f t="shared" si="63"/>
        <v>1.6927052604466573</v>
      </c>
      <c r="X66" s="2">
        <f t="shared" si="63"/>
        <v>7.1479052327401149E-2</v>
      </c>
      <c r="Y66" s="2">
        <f t="shared" si="63"/>
        <v>9.595980151388428E-2</v>
      </c>
      <c r="Z66" s="2">
        <f t="shared" si="63"/>
        <v>6.9349193124679207</v>
      </c>
      <c r="AA66" s="2">
        <f t="shared" si="63"/>
        <v>3.0632404725477338</v>
      </c>
      <c r="AB66" s="2">
        <f t="shared" si="63"/>
        <v>0.71748846760335683</v>
      </c>
      <c r="AC66" s="2">
        <f t="shared" si="63"/>
        <v>-1.8959468121061238</v>
      </c>
      <c r="AD66" s="2">
        <f t="shared" si="63"/>
        <v>-1.6500808284216399</v>
      </c>
      <c r="AE66" s="2">
        <f t="shared" si="63"/>
        <v>-1.9999999064155012</v>
      </c>
      <c r="AF66" s="2">
        <f t="shared" si="63"/>
        <v>-1.0056320277666841</v>
      </c>
      <c r="AG66" s="2">
        <f t="shared" si="63"/>
        <v>-1.9345355250106335</v>
      </c>
      <c r="AH66" s="2">
        <f t="shared" si="63"/>
        <v>0.15208787904725263</v>
      </c>
      <c r="AI66" s="18">
        <f t="shared" si="5"/>
        <v>117</v>
      </c>
      <c r="AJ66" s="2">
        <f t="shared" si="6"/>
        <v>1</v>
      </c>
    </row>
    <row r="67" spans="1:36" ht="10.5" customHeight="1" x14ac:dyDescent="0.25">
      <c r="A67" s="17">
        <v>59</v>
      </c>
      <c r="B67" s="2">
        <f t="shared" si="2"/>
        <v>2.379924045843806</v>
      </c>
      <c r="C67" s="4">
        <v>1</v>
      </c>
      <c r="D67" s="4">
        <v>25.2914611010412</v>
      </c>
      <c r="E67" s="18">
        <v>119</v>
      </c>
      <c r="F67" s="5">
        <v>0.13507499999999997</v>
      </c>
      <c r="G67" s="5">
        <v>0.50905</v>
      </c>
      <c r="H67" s="5">
        <v>7.5429999999999993</v>
      </c>
      <c r="I67" s="5">
        <v>3.6965000000000003</v>
      </c>
      <c r="J67" s="5">
        <v>3.4669500000000002</v>
      </c>
      <c r="K67" s="5">
        <v>3.2550500000000002</v>
      </c>
      <c r="L67" s="5">
        <v>1.17455</v>
      </c>
      <c r="M67" s="5">
        <v>0.75829999999999997</v>
      </c>
      <c r="N67" s="5">
        <v>0.20239500000000002</v>
      </c>
      <c r="O67" s="5">
        <v>0.52769999999999995</v>
      </c>
      <c r="P67" s="5">
        <v>0.14617500000000003</v>
      </c>
      <c r="Q67" s="5">
        <v>27.740000000000002</v>
      </c>
      <c r="R67" s="5">
        <v>0.28639999999999999</v>
      </c>
      <c r="S67" s="5">
        <v>148.65</v>
      </c>
      <c r="T67" s="18">
        <f t="shared" si="3"/>
        <v>119</v>
      </c>
      <c r="U67" s="2">
        <f t="shared" ref="U67:AH67" si="64">IF(OR(F67=0,F67&lt;0.00001,F67&gt;100000),"",IF((IF(F67&gt;F$5,ABS(LOG(((F$5/SUM($F67:$S67))/(F$4/SUM($F$4:$S$4)))*4+2,2)),ABS(LOG(((F67/SUM($F67:$S67))/(F$4/SUM($F$4:$S$4)))*4+2,2)))-3)&gt;8,(IF(F67&gt;F$5,ABS(LOG(((F$5/SUM($F67:$S67))/(F$4/SUM($F$4:$S$4)))*4+2,2)),ABS(LOG(((F67/SUM($F67:$S67))/(F$4/SUM($F$4:$S$4)))*4+2,2)))-3)/7,IF(F67&gt;F$5,ABS(LOG(((F$5/SUM($F67:$S67))/(F$4/SUM($F$4:$S$4)))*4+2,2)),ABS(LOG(((F67/SUM($F67:$S67))/(F$4/SUM($F$4:$S$4)))*4+2,2)))-3))</f>
        <v>0.70728985974934888</v>
      </c>
      <c r="V67" s="2">
        <f t="shared" si="64"/>
        <v>0.90954194422886525</v>
      </c>
      <c r="W67" s="2">
        <f t="shared" si="64"/>
        <v>6.2754930135888447</v>
      </c>
      <c r="X67" s="2">
        <f t="shared" si="64"/>
        <v>2.3161560915731529</v>
      </c>
      <c r="Y67" s="2">
        <f t="shared" si="64"/>
        <v>2.3727366669010443</v>
      </c>
      <c r="Z67" s="2">
        <f t="shared" si="64"/>
        <v>1.2140064202411662</v>
      </c>
      <c r="AA67" s="2">
        <f t="shared" si="64"/>
        <v>2.6465796202409857</v>
      </c>
      <c r="AB67" s="2">
        <f t="shared" si="64"/>
        <v>1.197096626226954</v>
      </c>
      <c r="AC67" s="2">
        <f t="shared" si="64"/>
        <v>-0.21864045929009324</v>
      </c>
      <c r="AD67" s="2">
        <f t="shared" si="64"/>
        <v>-1.5914065116200018</v>
      </c>
      <c r="AE67" s="2">
        <f t="shared" si="64"/>
        <v>-1.9999999261571875</v>
      </c>
      <c r="AF67" s="2">
        <f t="shared" si="64"/>
        <v>-1.3295212681264073</v>
      </c>
      <c r="AG67" s="2">
        <f t="shared" si="64"/>
        <v>-1.9250757284201452</v>
      </c>
      <c r="AH67" s="2">
        <f t="shared" si="64"/>
        <v>0.16933416347645869</v>
      </c>
      <c r="AI67" s="18">
        <f t="shared" si="5"/>
        <v>119</v>
      </c>
      <c r="AJ67" s="2">
        <f t="shared" si="6"/>
        <v>1</v>
      </c>
    </row>
    <row r="68" spans="1:36" ht="10.5" customHeight="1" x14ac:dyDescent="0.25">
      <c r="A68" s="17">
        <v>60</v>
      </c>
      <c r="B68" s="2">
        <f t="shared" si="2"/>
        <v>1.9397151172931317</v>
      </c>
      <c r="C68" s="4">
        <v>1</v>
      </c>
      <c r="D68" s="4">
        <v>25.161832228454099</v>
      </c>
      <c r="E68" s="18">
        <v>121</v>
      </c>
      <c r="F68" s="5">
        <v>0.06</v>
      </c>
      <c r="G68" s="5">
        <v>0.92679999999999996</v>
      </c>
      <c r="H68" s="5">
        <v>1.9830000000000001</v>
      </c>
      <c r="I68" s="5">
        <v>2.3780000000000001</v>
      </c>
      <c r="J68" s="5">
        <v>0.40789999999999998</v>
      </c>
      <c r="K68" s="5">
        <v>0.58199999999999996</v>
      </c>
      <c r="L68" s="5">
        <v>1.3069999999999999</v>
      </c>
      <c r="M68" s="5">
        <v>1.347</v>
      </c>
      <c r="N68" s="5">
        <v>7.5100000000000002E-3</v>
      </c>
      <c r="O68" s="5">
        <v>2.1440000000000001</v>
      </c>
      <c r="P68" s="5">
        <v>1.5100000000000001E-2</v>
      </c>
      <c r="Q68" s="5">
        <v>30.67</v>
      </c>
      <c r="R68" s="5">
        <v>7.9399999999999991E-3</v>
      </c>
      <c r="S68" s="5">
        <v>65.55</v>
      </c>
      <c r="T68" s="18">
        <f t="shared" si="3"/>
        <v>121</v>
      </c>
      <c r="U68" s="2">
        <f t="shared" ref="U68:AH68" si="65">IF(OR(F68=0,F68&lt;0.00001,F68&gt;100000),"",IF((IF(F68&gt;F$5,ABS(LOG(((F$5/SUM($F68:$S68))/(F$4/SUM($F$4:$S$4)))*4+2,2)),ABS(LOG(((F68/SUM($F68:$S68))/(F$4/SUM($F$4:$S$4)))*4+2,2)))-3)&gt;8,(IF(F68&gt;F$5,ABS(LOG(((F$5/SUM($F68:$S68))/(F$4/SUM($F$4:$S$4)))*4+2,2)),ABS(LOG(((F68/SUM($F68:$S68))/(F$4/SUM($F$4:$S$4)))*4+2,2)))-3)/7,IF(F68&gt;F$5,ABS(LOG(((F$5/SUM($F68:$S68))/(F$4/SUM($F$4:$S$4)))*4+2,2)),ABS(LOG(((F68/SUM($F68:$S68))/(F$4/SUM($F$4:$S$4)))*4+2,2)))-3))</f>
        <v>0.46780502999050144</v>
      </c>
      <c r="V68" s="2">
        <f t="shared" si="65"/>
        <v>2.5157889744050417</v>
      </c>
      <c r="W68" s="2">
        <f t="shared" si="65"/>
        <v>5.2363308408077955</v>
      </c>
      <c r="X68" s="2">
        <f t="shared" si="65"/>
        <v>2.5516610130178856</v>
      </c>
      <c r="Y68" s="2">
        <f t="shared" si="65"/>
        <v>0.40031581736520749</v>
      </c>
      <c r="Z68" s="2">
        <f t="shared" si="65"/>
        <v>1.1910820227397054</v>
      </c>
      <c r="AA68" s="2">
        <f t="shared" si="65"/>
        <v>3.6542406145147934</v>
      </c>
      <c r="AB68" s="2">
        <f t="shared" si="65"/>
        <v>2.7956976938958435</v>
      </c>
      <c r="AC68" s="2">
        <f t="shared" si="65"/>
        <v>-1.7773928176955598</v>
      </c>
      <c r="AD68" s="2">
        <f t="shared" si="65"/>
        <v>-0.21185851125227684</v>
      </c>
      <c r="AE68" s="2">
        <f t="shared" si="65"/>
        <v>-1.9999998637851033</v>
      </c>
      <c r="AF68" s="2">
        <f t="shared" si="65"/>
        <v>-0.85819430570368604</v>
      </c>
      <c r="AG68" s="2">
        <f t="shared" si="65"/>
        <v>-1.9960724552124809</v>
      </c>
      <c r="AH68" s="2">
        <f t="shared" si="65"/>
        <v>-5.6816684258792272E-2</v>
      </c>
      <c r="AI68" s="18">
        <f t="shared" si="5"/>
        <v>121</v>
      </c>
      <c r="AJ68" s="2">
        <f t="shared" si="6"/>
        <v>1</v>
      </c>
    </row>
    <row r="69" spans="1:36" ht="10.5" customHeight="1" x14ac:dyDescent="0.25">
      <c r="A69" s="17">
        <v>61</v>
      </c>
      <c r="B69" s="2">
        <f t="shared" si="2"/>
        <v>1.0025541984067314</v>
      </c>
      <c r="C69" s="4">
        <v>1</v>
      </c>
      <c r="D69" s="4">
        <v>25.713460846285901</v>
      </c>
      <c r="E69" s="18">
        <v>123</v>
      </c>
      <c r="F69" s="5">
        <v>5.0000000000000002E-5</v>
      </c>
      <c r="G69" s="5"/>
      <c r="H69" s="5">
        <v>0.45379999999999998</v>
      </c>
      <c r="I69" s="5">
        <v>0.1038</v>
      </c>
      <c r="J69" s="5">
        <v>2.0310000000000001</v>
      </c>
      <c r="K69" s="5">
        <v>7.3200000000000001E-2</v>
      </c>
      <c r="L69" s="5">
        <v>3.5699999999999998E-3</v>
      </c>
      <c r="M69" s="5">
        <v>0.14610000000000001</v>
      </c>
      <c r="N69" s="5">
        <v>1.4899999999999999E-4</v>
      </c>
      <c r="O69" s="5">
        <v>0.93569999999999998</v>
      </c>
      <c r="P69" s="5">
        <v>1.2949999999999999</v>
      </c>
      <c r="Q69" s="5">
        <v>0.50249999999999995</v>
      </c>
      <c r="R69" s="5">
        <v>1.5309999999999999</v>
      </c>
      <c r="S69" s="5">
        <v>7.8739999999999997</v>
      </c>
      <c r="T69" s="18">
        <f t="shared" si="3"/>
        <v>123</v>
      </c>
      <c r="U69" s="2">
        <f t="shared" ref="U69:AH69" si="66">IF(OR(F69=0,F69&lt;0.00001,F69&gt;100000),"",IF((IF(F69&gt;F$5,ABS(LOG(((F$5/SUM($F69:$S69))/(F$4/SUM($F$4:$S$4)))*4+2,2)),ABS(LOG(((F69/SUM($F69:$S69))/(F$4/SUM($F$4:$S$4)))*4+2,2)))-3)&gt;8,(IF(F69&gt;F$5,ABS(LOG(((F$5/SUM($F69:$S69))/(F$4/SUM($F$4:$S$4)))*4+2,2)),ABS(LOG(((F69/SUM($F69:$S69))/(F$4/SUM($F$4:$S$4)))*4+2,2)))-3)/7,IF(F69&gt;F$5,ABS(LOG(((F$5/SUM($F69:$S69))/(F$4/SUM($F$4:$S$4)))*4+2,2)),ABS(LOG(((F69/SUM($F69:$S69))/(F$4/SUM($F$4:$S$4)))*4+2,2)))-3))</f>
        <v>-1.9613837043576019</v>
      </c>
      <c r="V69" s="2" t="str">
        <f t="shared" si="66"/>
        <v/>
      </c>
      <c r="W69" s="2">
        <f t="shared" si="66"/>
        <v>5.9496269314109469</v>
      </c>
      <c r="X69" s="2">
        <f t="shared" si="66"/>
        <v>1.007154986000832</v>
      </c>
      <c r="Y69" s="2">
        <f t="shared" si="66"/>
        <v>5.2672398780899687</v>
      </c>
      <c r="Z69" s="2">
        <f t="shared" si="66"/>
        <v>1.1701706073884226</v>
      </c>
      <c r="AA69" s="2">
        <f t="shared" si="66"/>
        <v>-1.0229196979438768</v>
      </c>
      <c r="AB69" s="2">
        <f t="shared" si="66"/>
        <v>2.45023315830211</v>
      </c>
      <c r="AC69" s="2">
        <f t="shared" si="66"/>
        <v>-1.9660983716656357</v>
      </c>
      <c r="AD69" s="2">
        <f t="shared" si="66"/>
        <v>1.1197022329051638</v>
      </c>
      <c r="AE69" s="2">
        <f t="shared" si="66"/>
        <v>-1.9999990215564638</v>
      </c>
      <c r="AF69" s="2">
        <f t="shared" si="66"/>
        <v>-1.8084382345613064</v>
      </c>
      <c r="AG69" s="2">
        <f t="shared" si="66"/>
        <v>0.25572900439860113</v>
      </c>
      <c r="AH69" s="2">
        <f t="shared" si="66"/>
        <v>-0.21120563762666844</v>
      </c>
      <c r="AI69" s="18">
        <f t="shared" si="5"/>
        <v>123</v>
      </c>
      <c r="AJ69" s="2">
        <f t="shared" si="6"/>
        <v>1</v>
      </c>
    </row>
    <row r="70" spans="1:36" ht="10.5" customHeight="1" x14ac:dyDescent="0.25">
      <c r="A70" s="17">
        <v>62</v>
      </c>
      <c r="B70" s="2">
        <f t="shared" si="2"/>
        <v>2.7776502791317954E-2</v>
      </c>
      <c r="C70" s="4">
        <v>1</v>
      </c>
      <c r="D70" s="4">
        <v>26.310816737248199</v>
      </c>
      <c r="E70" s="18">
        <v>125</v>
      </c>
      <c r="F70" s="5">
        <v>7.5699999999999997E-5</v>
      </c>
      <c r="G70" s="5"/>
      <c r="H70" s="5">
        <v>0.746</v>
      </c>
      <c r="I70" s="5">
        <v>1.27</v>
      </c>
      <c r="J70" s="5">
        <v>1.7050000000000001</v>
      </c>
      <c r="K70" s="5">
        <v>0.1361</v>
      </c>
      <c r="L70" s="5">
        <v>8.2399999999999997E-4</v>
      </c>
      <c r="M70" s="5">
        <v>9.9500000000000001E-4</v>
      </c>
      <c r="N70" s="5">
        <v>6.3500000000000001E-2</v>
      </c>
      <c r="O70" s="5">
        <v>2.14</v>
      </c>
      <c r="P70" s="5">
        <v>7.5699999999999997E-5</v>
      </c>
      <c r="Q70" s="5">
        <v>21.5</v>
      </c>
      <c r="R70" s="5">
        <v>5.7400000000000003E-3</v>
      </c>
      <c r="S70" s="5">
        <v>48.43</v>
      </c>
      <c r="T70" s="18">
        <f t="shared" si="3"/>
        <v>125</v>
      </c>
      <c r="U70" s="2">
        <f t="shared" ref="U70:AH70" si="67">IF(OR(F70=0,F70&lt;0.00001,F70&gt;100000),"",IF((IF(F70&gt;F$5,ABS(LOG(((F$5/SUM($F70:$S70))/(F$4/SUM($F$4:$S$4)))*4+2,2)),ABS(LOG(((F70/SUM($F70:$S70))/(F$4/SUM($F$4:$S$4)))*4+2,2)))-3)&gt;8,(IF(F70&gt;F$5,ABS(LOG(((F$5/SUM($F70:$S70))/(F$4/SUM($F$4:$S$4)))*4+2,2)),ABS(LOG(((F70/SUM($F70:$S70))/(F$4/SUM($F$4:$S$4)))*4+2,2)))-3)/7,IF(F70&gt;F$5,ABS(LOG(((F$5/SUM($F70:$S70))/(F$4/SUM($F$4:$S$4)))*4+2,2)),ABS(LOG(((F70/SUM($F70:$S70))/(F$4/SUM($F$4:$S$4)))*4+2,2)))-3))</f>
        <v>-1.9883906826238451</v>
      </c>
      <c r="V70" s="2" t="str">
        <f t="shared" si="67"/>
        <v/>
      </c>
      <c r="W70" s="2">
        <f t="shared" si="67"/>
        <v>4.333070694274161</v>
      </c>
      <c r="X70" s="2">
        <f t="shared" si="67"/>
        <v>2.1653750558553746</v>
      </c>
      <c r="Y70" s="2">
        <f t="shared" si="67"/>
        <v>2.7155726408108736</v>
      </c>
      <c r="Z70" s="2">
        <f t="shared" si="67"/>
        <v>6.7422496171971371</v>
      </c>
      <c r="AA70" s="2">
        <f t="shared" si="67"/>
        <v>-1.9379161685696367</v>
      </c>
      <c r="AB70" s="2">
        <f t="shared" si="67"/>
        <v>-1.9602351017157706</v>
      </c>
      <c r="AC70" s="2">
        <f t="shared" si="67"/>
        <v>-0.41824773535977489</v>
      </c>
      <c r="AD70" s="2">
        <f t="shared" si="67"/>
        <v>0.15724615281240073</v>
      </c>
      <c r="AE70" s="2">
        <f t="shared" si="67"/>
        <v>-1.9999998075272123</v>
      </c>
      <c r="AF70" s="2">
        <f t="shared" si="67"/>
        <v>-0.86568114460396872</v>
      </c>
      <c r="AG70" s="2">
        <f t="shared" si="67"/>
        <v>-1.9959881509769366</v>
      </c>
      <c r="AH70" s="2">
        <f t="shared" si="67"/>
        <v>-1.0628411024546924E-2</v>
      </c>
      <c r="AI70" s="18">
        <f t="shared" si="5"/>
        <v>125</v>
      </c>
      <c r="AJ70" s="2">
        <f t="shared" si="6"/>
        <v>1</v>
      </c>
    </row>
    <row r="71" spans="1:36" ht="10.5" customHeight="1" x14ac:dyDescent="0.25">
      <c r="A71" s="17">
        <v>63</v>
      </c>
      <c r="B71" s="2">
        <f t="shared" si="2"/>
        <v>1.1300222655211258</v>
      </c>
      <c r="C71" s="4">
        <v>1</v>
      </c>
      <c r="D71" s="4">
        <v>34.525707612051498</v>
      </c>
      <c r="E71" s="18">
        <v>127</v>
      </c>
      <c r="F71" s="5">
        <v>0.39500000000000002</v>
      </c>
      <c r="G71" s="5"/>
      <c r="H71" s="5"/>
      <c r="I71" s="5">
        <v>314.8</v>
      </c>
      <c r="J71" s="5">
        <v>616.70000000000005</v>
      </c>
      <c r="K71" s="5">
        <v>5.9779999999999998</v>
      </c>
      <c r="L71" s="5">
        <v>5.2279999999999998</v>
      </c>
      <c r="M71" s="5">
        <v>109.6</v>
      </c>
      <c r="N71" s="5">
        <v>7.226</v>
      </c>
      <c r="O71" s="5">
        <v>0.74629999999999996</v>
      </c>
      <c r="P71" s="5"/>
      <c r="Q71" s="5">
        <v>1172</v>
      </c>
      <c r="R71" s="5">
        <v>0.06</v>
      </c>
      <c r="S71" s="5">
        <v>1257</v>
      </c>
      <c r="T71" s="18">
        <f t="shared" si="3"/>
        <v>127</v>
      </c>
      <c r="U71" s="2">
        <f t="shared" ref="U71:AH71" si="68">IF(OR(F71=0,F71&lt;0.00001,F71&gt;100000),"",IF((IF(F71&gt;F$5,ABS(LOG(((F$5/SUM($F71:$S71))/(F$4/SUM($F$4:$S$4)))*4+2,2)),ABS(LOG(((F71/SUM($F71:$S71))/(F$4/SUM($F$4:$S$4)))*4+2,2)))-3)&gt;8,(IF(F71&gt;F$5,ABS(LOG(((F$5/SUM($F71:$S71))/(F$4/SUM($F$4:$S$4)))*4+2,2)),ABS(LOG(((F71/SUM($F71:$S71))/(F$4/SUM($F$4:$S$4)))*4+2,2)))-3)/7,IF(F71&gt;F$5,ABS(LOG(((F$5/SUM($F71:$S71))/(F$4/SUM($F$4:$S$4)))*4+2,2)),ABS(LOG(((F71/SUM($F71:$S71))/(F$4/SUM($F$4:$S$4)))*4+2,2)))-3))</f>
        <v>-1.0603163044793804</v>
      </c>
      <c r="V71" s="2" t="str">
        <f t="shared" si="68"/>
        <v/>
      </c>
      <c r="W71" s="2" t="str">
        <f t="shared" si="68"/>
        <v/>
      </c>
      <c r="X71" s="2">
        <f t="shared" si="68"/>
        <v>3.2217823549904692</v>
      </c>
      <c r="Y71" s="2">
        <f t="shared" si="68"/>
        <v>5.6444673070616904</v>
      </c>
      <c r="Z71" s="2">
        <f t="shared" si="68"/>
        <v>4.3756465522203944</v>
      </c>
      <c r="AA71" s="2">
        <f t="shared" si="68"/>
        <v>0.82288935388643658</v>
      </c>
      <c r="AB71" s="2">
        <f t="shared" si="68"/>
        <v>2.2742556846379758</v>
      </c>
      <c r="AC71" s="2">
        <f t="shared" si="68"/>
        <v>0.57043144914079846</v>
      </c>
      <c r="AD71" s="2">
        <f t="shared" si="68"/>
        <v>-1.9625721460614318</v>
      </c>
      <c r="AE71" s="2" t="str">
        <f t="shared" si="68"/>
        <v/>
      </c>
      <c r="AF71" s="2">
        <f t="shared" si="68"/>
        <v>-0.72570517125632561</v>
      </c>
      <c r="AG71" s="2">
        <f t="shared" si="68"/>
        <v>-1.999085756235107</v>
      </c>
      <c r="AH71" s="2">
        <f t="shared" si="68"/>
        <v>-0.57823911527905603</v>
      </c>
      <c r="AI71" s="18">
        <f t="shared" si="5"/>
        <v>127</v>
      </c>
      <c r="AJ71" s="2">
        <f t="shared" si="6"/>
        <v>1.9013533428771874</v>
      </c>
    </row>
    <row r="72" spans="1:36" ht="10.5" customHeight="1" x14ac:dyDescent="0.25">
      <c r="A72" s="17">
        <v>64</v>
      </c>
      <c r="B72" s="2">
        <f t="shared" si="2"/>
        <v>8.7236285204947847E-2</v>
      </c>
      <c r="C72" s="4">
        <v>1</v>
      </c>
      <c r="D72" s="4">
        <v>26.648155570730999</v>
      </c>
      <c r="E72" s="18">
        <v>129</v>
      </c>
      <c r="F72" s="5">
        <v>0.1391</v>
      </c>
      <c r="G72" s="5">
        <v>9.5699999999999995E-5</v>
      </c>
      <c r="H72" s="5">
        <v>81.87</v>
      </c>
      <c r="I72" s="5">
        <v>0.314</v>
      </c>
      <c r="J72" s="5">
        <v>3.6680000000000001</v>
      </c>
      <c r="K72" s="5">
        <v>9.9410000000000007</v>
      </c>
      <c r="L72" s="5">
        <v>2.1339999999999999</v>
      </c>
      <c r="M72" s="5">
        <v>0.85260000000000002</v>
      </c>
      <c r="N72" s="5">
        <v>1.16E-3</v>
      </c>
      <c r="O72" s="5">
        <v>3.4599999999999999E-2</v>
      </c>
      <c r="P72" s="5">
        <v>7.5100000000000004E-4</v>
      </c>
      <c r="Q72" s="5">
        <v>13.16</v>
      </c>
      <c r="R72" s="5">
        <v>5.6299999999999996E-3</v>
      </c>
      <c r="S72" s="5">
        <v>60.43</v>
      </c>
      <c r="T72" s="18">
        <f t="shared" si="3"/>
        <v>129</v>
      </c>
      <c r="U72" s="2">
        <f t="shared" ref="U72:AH72" si="69">IF(OR(F72=0,F72&lt;0.00001,F72&gt;100000),"",IF((IF(F72&gt;F$5,ABS(LOG(((F$5/SUM($F72:$S72))/(F$4/SUM($F$4:$S$4)))*4+2,2)),ABS(LOG(((F72/SUM($F72:$S72))/(F$4/SUM($F$4:$S$4)))*4+2,2)))-3)&gt;8,(IF(F72&gt;F$5,ABS(LOG(((F$5/SUM($F72:$S72))/(F$4/SUM($F$4:$S$4)))*4+2,2)),ABS(LOG(((F72/SUM($F72:$S72))/(F$4/SUM($F$4:$S$4)))*4+2,2)))-3)/7,IF(F72&gt;F$5,ABS(LOG(((F$5/SUM($F72:$S72))/(F$4/SUM($F$4:$S$4)))*4+2,2)),ABS(LOG(((F72/SUM($F72:$S72))/(F$4/SUM($F$4:$S$4)))*4+2,2)))-3))</f>
        <v>0.91433635578284989</v>
      </c>
      <c r="V72" s="2">
        <f t="shared" si="69"/>
        <v>-1.9979732376209944</v>
      </c>
      <c r="W72" s="2">
        <f t="shared" si="69"/>
        <v>1.268218343390709</v>
      </c>
      <c r="X72" s="2">
        <f t="shared" si="69"/>
        <v>-0.49153963548847956</v>
      </c>
      <c r="Y72" s="2">
        <f t="shared" si="69"/>
        <v>2.6408491045803517</v>
      </c>
      <c r="Z72" s="2">
        <f t="shared" si="69"/>
        <v>1.2424369145082694</v>
      </c>
      <c r="AA72" s="2">
        <f t="shared" si="69"/>
        <v>3.6768737517295227</v>
      </c>
      <c r="AB72" s="2">
        <f t="shared" si="69"/>
        <v>1.5294589623829111</v>
      </c>
      <c r="AC72" s="2">
        <f t="shared" si="69"/>
        <v>-1.9770456244817645</v>
      </c>
      <c r="AD72" s="2">
        <f t="shared" si="69"/>
        <v>-1.964877857705585</v>
      </c>
      <c r="AE72" s="2">
        <f t="shared" si="69"/>
        <v>-1.9999999152273091</v>
      </c>
      <c r="AF72" s="2">
        <f t="shared" si="69"/>
        <v>-1.5970591315760587</v>
      </c>
      <c r="AG72" s="2">
        <f t="shared" si="69"/>
        <v>-1.9982655148317363</v>
      </c>
      <c r="AH72" s="2">
        <f t="shared" si="69"/>
        <v>-0.60352200093519581</v>
      </c>
      <c r="AI72" s="18">
        <f t="shared" si="5"/>
        <v>129</v>
      </c>
      <c r="AJ72" s="2">
        <f t="shared" si="6"/>
        <v>1</v>
      </c>
    </row>
    <row r="73" spans="1:36" ht="10.5" customHeight="1" x14ac:dyDescent="0.25">
      <c r="A73" s="17">
        <v>65</v>
      </c>
      <c r="B73" s="2">
        <f t="shared" si="2"/>
        <v>0.13039912072526708</v>
      </c>
      <c r="C73" s="4">
        <v>1</v>
      </c>
      <c r="D73" s="4">
        <v>24.9572068404315</v>
      </c>
      <c r="E73" s="18">
        <v>131</v>
      </c>
      <c r="F73" s="5">
        <v>3.21E-4</v>
      </c>
      <c r="G73" s="5">
        <v>0.38179999999999997</v>
      </c>
      <c r="H73" s="5">
        <v>0.68220000000000003</v>
      </c>
      <c r="I73" s="5">
        <v>0.45400000000000001</v>
      </c>
      <c r="J73" s="5">
        <v>1.18</v>
      </c>
      <c r="K73" s="5">
        <v>0.3896</v>
      </c>
      <c r="L73" s="5">
        <v>3.6200000000000003E-2</v>
      </c>
      <c r="M73" s="5">
        <v>0.41</v>
      </c>
      <c r="N73" s="5">
        <v>3.32E-2</v>
      </c>
      <c r="O73" s="5">
        <v>5.1920000000000002</v>
      </c>
      <c r="P73" s="5">
        <v>5.31E-4</v>
      </c>
      <c r="Q73" s="5">
        <v>36.01</v>
      </c>
      <c r="R73" s="5">
        <v>0.4461</v>
      </c>
      <c r="S73" s="5">
        <v>126.3</v>
      </c>
      <c r="T73" s="18">
        <f t="shared" si="3"/>
        <v>131</v>
      </c>
      <c r="U73" s="2">
        <f t="shared" ref="U73:AH73" si="70">IF(OR(F73=0,F73&lt;0.00001,F73&gt;100000),"",IF((IF(F73&gt;F$5,ABS(LOG(((F$5/SUM($F73:$S73))/(F$4/SUM($F$4:$S$4)))*4+2,2)),ABS(LOG(((F73/SUM($F73:$S73))/(F$4/SUM($F$4:$S$4)))*4+2,2)))-3)&gt;8,(IF(F73&gt;F$5,ABS(LOG(((F$5/SUM($F73:$S73))/(F$4/SUM($F$4:$S$4)))*4+2,2)),ABS(LOG(((F73/SUM($F73:$S73))/(F$4/SUM($F$4:$S$4)))*4+2,2)))-3)/7,IF(F73&gt;F$5,ABS(LOG(((F$5/SUM($F73:$S73))/(F$4/SUM($F$4:$S$4)))*4+2,2)),ABS(LOG(((F73/SUM($F73:$S73))/(F$4/SUM($F$4:$S$4)))*4+2,2)))-3))</f>
        <v>-1.9782635789047911</v>
      </c>
      <c r="V73" s="2">
        <f t="shared" si="70"/>
        <v>0.73172240234291541</v>
      </c>
      <c r="W73" s="2">
        <f t="shared" si="70"/>
        <v>3.0558180312086742</v>
      </c>
      <c r="X73" s="2">
        <f t="shared" si="70"/>
        <v>-0.11880538387000739</v>
      </c>
      <c r="Y73" s="2">
        <f t="shared" si="70"/>
        <v>1.1293772911350404</v>
      </c>
      <c r="Z73" s="2">
        <f t="shared" si="70"/>
        <v>7.0845596269109006</v>
      </c>
      <c r="AA73" s="2">
        <f t="shared" si="70"/>
        <v>-1.1078200767507818</v>
      </c>
      <c r="AB73" s="2">
        <f t="shared" si="70"/>
        <v>0.60940449921268369</v>
      </c>
      <c r="AC73" s="2">
        <f t="shared" si="70"/>
        <v>-1.4522651109606213</v>
      </c>
      <c r="AD73" s="2">
        <f t="shared" si="70"/>
        <v>0.23887074793956131</v>
      </c>
      <c r="AE73" s="2">
        <f t="shared" si="70"/>
        <v>-1.9999999147157623</v>
      </c>
      <c r="AF73" s="2">
        <f t="shared" si="70"/>
        <v>-1.0839328943602122</v>
      </c>
      <c r="AG73" s="2">
        <f t="shared" si="70"/>
        <v>-1.8678910588344773</v>
      </c>
      <c r="AH73" s="2">
        <f t="shared" si="70"/>
        <v>0.148192118475865</v>
      </c>
      <c r="AI73" s="18">
        <f t="shared" si="5"/>
        <v>131</v>
      </c>
      <c r="AJ73" s="2">
        <f t="shared" si="6"/>
        <v>1</v>
      </c>
    </row>
    <row r="74" spans="1:36" ht="10.5" customHeight="1" x14ac:dyDescent="0.25">
      <c r="A74" s="17">
        <v>66</v>
      </c>
      <c r="B74" s="2">
        <f t="shared" si="2"/>
        <v>2.5119251943547131E-2</v>
      </c>
      <c r="C74" s="4">
        <v>1</v>
      </c>
      <c r="D74" s="4">
        <v>29.9923184129444</v>
      </c>
      <c r="E74" s="18">
        <v>133</v>
      </c>
      <c r="F74" s="5">
        <v>3.95E-2</v>
      </c>
      <c r="G74" s="5">
        <v>9.7099999999999997E-4</v>
      </c>
      <c r="H74" s="5">
        <v>19.18</v>
      </c>
      <c r="I74" s="5">
        <v>0.1113</v>
      </c>
      <c r="J74" s="5">
        <v>37.909999999999997</v>
      </c>
      <c r="K74" s="5">
        <v>0.59760000000000002</v>
      </c>
      <c r="L74" s="5">
        <v>6.0200000000000002E-3</v>
      </c>
      <c r="M74" s="5">
        <v>1.125</v>
      </c>
      <c r="N74" s="5">
        <v>9.7099999999999997E-4</v>
      </c>
      <c r="O74" s="5">
        <v>25.7</v>
      </c>
      <c r="P74" s="5"/>
      <c r="Q74" s="5">
        <v>36.28</v>
      </c>
      <c r="R74" s="5">
        <v>8.1839999999999993</v>
      </c>
      <c r="S74" s="5">
        <v>141.6</v>
      </c>
      <c r="T74" s="18">
        <f t="shared" si="3"/>
        <v>133</v>
      </c>
      <c r="U74" s="2">
        <f t="shared" ref="U74:AH74" si="71">IF(OR(F74=0,F74&lt;0.00001,F74&gt;100000),"",IF((IF(F74&gt;F$5,ABS(LOG(((F$5/SUM($F74:$S74))/(F$4/SUM($F$4:$S$4)))*4+2,2)),ABS(LOG(((F74/SUM($F74:$S74))/(F$4/SUM($F$4:$S$4)))*4+2,2)))-3)&gt;8,(IF(F74&gt;F$5,ABS(LOG(((F$5/SUM($F74:$S74))/(F$4/SUM($F$4:$S$4)))*4+2,2)),ABS(LOG(((F74/SUM($F74:$S74))/(F$4/SUM($F$4:$S$4)))*4+2,2)))-3)/7,IF(F74&gt;F$5,ABS(LOG(((F$5/SUM($F74:$S74))/(F$4/SUM($F$4:$S$4)))*4+2,2)),ABS(LOG(((F74/SUM($F74:$S74))/(F$4/SUM($F$4:$S$4)))*4+2,2)))-3))</f>
        <v>-0.87340680397594461</v>
      </c>
      <c r="V74" s="2">
        <f t="shared" si="71"/>
        <v>-1.9869436764986879</v>
      </c>
      <c r="W74" s="2">
        <f t="shared" si="71"/>
        <v>7.1690114804808349</v>
      </c>
      <c r="X74" s="2">
        <f t="shared" si="71"/>
        <v>-1.4973431320320205</v>
      </c>
      <c r="Y74" s="2">
        <f t="shared" si="71"/>
        <v>5.3105985421753115</v>
      </c>
      <c r="Z74" s="2">
        <f t="shared" si="71"/>
        <v>7.0432827943536029</v>
      </c>
      <c r="AA74" s="2">
        <f t="shared" si="71"/>
        <v>-1.875433632969429</v>
      </c>
      <c r="AB74" s="2">
        <f t="shared" si="71"/>
        <v>1.3030174614119208</v>
      </c>
      <c r="AC74" s="2">
        <f t="shared" si="71"/>
        <v>-1.9877084333786201</v>
      </c>
      <c r="AD74" s="2">
        <f t="shared" si="71"/>
        <v>1.6629226803816062</v>
      </c>
      <c r="AE74" s="2" t="str">
        <f t="shared" si="71"/>
        <v/>
      </c>
      <c r="AF74" s="2">
        <f t="shared" si="71"/>
        <v>-1.3528036576876963</v>
      </c>
      <c r="AG74" s="2">
        <f t="shared" si="71"/>
        <v>-0.91967182530926017</v>
      </c>
      <c r="AH74" s="2">
        <f t="shared" si="71"/>
        <v>-0.21837375322054831</v>
      </c>
      <c r="AI74" s="18">
        <f t="shared" si="5"/>
        <v>133</v>
      </c>
      <c r="AJ74" s="2">
        <f t="shared" si="6"/>
        <v>2.2992318412944401</v>
      </c>
    </row>
    <row r="75" spans="1:36" ht="10.5" customHeight="1" x14ac:dyDescent="0.25">
      <c r="A75" s="17">
        <v>67</v>
      </c>
      <c r="B75" s="2">
        <f t="shared" si="2"/>
        <v>0.4287069554143853</v>
      </c>
      <c r="C75" s="4">
        <v>1</v>
      </c>
      <c r="D75" s="4">
        <v>31.094217504024101</v>
      </c>
      <c r="E75" s="18">
        <v>135</v>
      </c>
      <c r="F75" s="5">
        <v>0.16239999999999999</v>
      </c>
      <c r="G75" s="5"/>
      <c r="H75" s="5"/>
      <c r="I75" s="5">
        <v>26.91</v>
      </c>
      <c r="J75" s="5">
        <v>162.5</v>
      </c>
      <c r="K75" s="5">
        <v>4.2910000000000004</v>
      </c>
      <c r="L75" s="5">
        <v>2.8900000000000002E-3</v>
      </c>
      <c r="M75" s="5">
        <v>8.9469999999999992</v>
      </c>
      <c r="N75" s="5"/>
      <c r="O75" s="5">
        <v>839.6</v>
      </c>
      <c r="P75" s="5"/>
      <c r="Q75" s="5">
        <v>14.6</v>
      </c>
      <c r="R75" s="5">
        <v>2.8900000000000002E-3</v>
      </c>
      <c r="S75" s="5">
        <v>34.340000000000003</v>
      </c>
      <c r="T75" s="18">
        <f t="shared" si="3"/>
        <v>135</v>
      </c>
      <c r="U75" s="2">
        <f t="shared" ref="U75:AH75" si="72">IF(OR(F75=0,F75&lt;0.00001,F75&gt;100000),"",IF((IF(F75&gt;F$5,ABS(LOG(((F$5/SUM($F75:$S75))/(F$4/SUM($F$4:$S$4)))*4+2,2)),ABS(LOG(((F75/SUM($F75:$S75))/(F$4/SUM($F$4:$S$4)))*4+2,2)))-3)&gt;8,(IF(F75&gt;F$5,ABS(LOG(((F$5/SUM($F75:$S75))/(F$4/SUM($F$4:$S$4)))*4+2,2)),ABS(LOG(((F75/SUM($F75:$S75))/(F$4/SUM($F$4:$S$4)))*4+2,2)))-3)/7,IF(F75&gt;F$5,ABS(LOG(((F$5/SUM($F75:$S75))/(F$4/SUM($F$4:$S$4)))*4+2,2)),ABS(LOG(((F75/SUM($F75:$S75))/(F$4/SUM($F$4:$S$4)))*4+2,2)))-3))</f>
        <v>-0.85791156512137157</v>
      </c>
      <c r="V75" s="2" t="str">
        <f t="shared" si="72"/>
        <v/>
      </c>
      <c r="W75" s="2" t="str">
        <f t="shared" si="72"/>
        <v/>
      </c>
      <c r="X75" s="2">
        <f t="shared" si="72"/>
        <v>2.7004586945567928</v>
      </c>
      <c r="Y75" s="2">
        <f t="shared" si="72"/>
        <v>5.398679558797399</v>
      </c>
      <c r="Z75" s="2">
        <f t="shared" si="72"/>
        <v>6.0406506708850767</v>
      </c>
      <c r="AA75" s="2">
        <f t="shared" si="72"/>
        <v>-1.9845885710381337</v>
      </c>
      <c r="AB75" s="2">
        <f t="shared" si="72"/>
        <v>2.2093843308304528</v>
      </c>
      <c r="AC75" s="2" t="str">
        <f t="shared" si="72"/>
        <v/>
      </c>
      <c r="AD75" s="2">
        <f t="shared" si="72"/>
        <v>1.3232011293884227</v>
      </c>
      <c r="AE75" s="2" t="str">
        <f t="shared" si="72"/>
        <v/>
      </c>
      <c r="AF75" s="2">
        <f t="shared" si="72"/>
        <v>-1.9206849489478139</v>
      </c>
      <c r="AG75" s="2">
        <f t="shared" si="72"/>
        <v>-1.9998591519820546</v>
      </c>
      <c r="AH75" s="2">
        <f t="shared" si="72"/>
        <v>-1.8025361489766292</v>
      </c>
      <c r="AI75" s="18">
        <f t="shared" si="5"/>
        <v>135</v>
      </c>
      <c r="AJ75" s="2">
        <f t="shared" si="6"/>
        <v>3.3432520356986055</v>
      </c>
    </row>
    <row r="76" spans="1:36" ht="10.5" customHeight="1" x14ac:dyDescent="0.25">
      <c r="A76" s="17">
        <v>68</v>
      </c>
      <c r="B76" s="2">
        <f t="shared" si="2"/>
        <v>2.5064678448176426E-2</v>
      </c>
      <c r="C76" s="4">
        <v>1</v>
      </c>
      <c r="D76" s="4">
        <v>24.424479288378201</v>
      </c>
      <c r="E76" s="18">
        <v>137</v>
      </c>
      <c r="F76" s="5">
        <v>7.0699999999999995E-4</v>
      </c>
      <c r="G76" s="5">
        <v>0.58950000000000002</v>
      </c>
      <c r="H76" s="5">
        <v>6.7549999999999999</v>
      </c>
      <c r="I76" s="5">
        <v>0.19869999999999999</v>
      </c>
      <c r="J76" s="5">
        <v>1.0269999999999999</v>
      </c>
      <c r="K76" s="5">
        <v>1.1970000000000001</v>
      </c>
      <c r="L76" s="5">
        <v>1.0720000000000001</v>
      </c>
      <c r="M76" s="5">
        <v>0.73670000000000002</v>
      </c>
      <c r="N76" s="5">
        <v>9.0899999999999998E-4</v>
      </c>
      <c r="O76" s="5">
        <v>7.1700000000000002E-3</v>
      </c>
      <c r="P76" s="5">
        <v>8.6499999999999997E-3</v>
      </c>
      <c r="Q76" s="5">
        <v>25.25</v>
      </c>
      <c r="R76" s="5">
        <v>0.2041</v>
      </c>
      <c r="S76" s="5">
        <v>170</v>
      </c>
      <c r="T76" s="18">
        <f t="shared" si="3"/>
        <v>137</v>
      </c>
      <c r="U76" s="2">
        <f t="shared" ref="U76:AH76" si="73">IF(OR(F76=0,F76&lt;0.00001,F76&gt;100000),"",IF((IF(F76&gt;F$5,ABS(LOG(((F$5/SUM($F76:$S76))/(F$4/SUM($F$4:$S$4)))*4+2,2)),ABS(LOG(((F76/SUM($F76:$S76))/(F$4/SUM($F$4:$S$4)))*4+2,2)))-3)&gt;8,(IF(F76&gt;F$5,ABS(LOG(((F$5/SUM($F76:$S76))/(F$4/SUM($F$4:$S$4)))*4+2,2)),ABS(LOG(((F76/SUM($F76:$S76))/(F$4/SUM($F$4:$S$4)))*4+2,2)))-3)/7,IF(F76&gt;F$5,ABS(LOG(((F$5/SUM($F76:$S76))/(F$4/SUM($F$4:$S$4)))*4+2,2)),ABS(LOG(((F76/SUM($F76:$S76))/(F$4/SUM($F$4:$S$4)))*4+2,2)))-3))</f>
        <v>-1.9605845290032944</v>
      </c>
      <c r="V76" s="2">
        <f t="shared" si="73"/>
        <v>1.0386001545479102</v>
      </c>
      <c r="W76" s="2">
        <f t="shared" si="73"/>
        <v>6.0532913944962594</v>
      </c>
      <c r="X76" s="2">
        <f t="shared" si="73"/>
        <v>-1.0195862165184688</v>
      </c>
      <c r="Y76" s="2">
        <f t="shared" si="73"/>
        <v>0.71984180590072144</v>
      </c>
      <c r="Z76" s="2">
        <f t="shared" si="73"/>
        <v>1.2043834940020248</v>
      </c>
      <c r="AA76" s="2">
        <f t="shared" si="73"/>
        <v>2.459318699311317</v>
      </c>
      <c r="AB76" s="2">
        <f t="shared" si="73"/>
        <v>1.1034923243353036</v>
      </c>
      <c r="AC76" s="2">
        <f t="shared" si="73"/>
        <v>-1.9849680989501217</v>
      </c>
      <c r="AD76" s="2">
        <f t="shared" si="73"/>
        <v>-1.9938730247606742</v>
      </c>
      <c r="AE76" s="2">
        <f t="shared" si="73"/>
        <v>-1.9999999293514203</v>
      </c>
      <c r="AF76" s="2">
        <f t="shared" si="73"/>
        <v>-1.4004881568209042</v>
      </c>
      <c r="AG76" s="2">
        <f t="shared" si="73"/>
        <v>-1.9484962783155806</v>
      </c>
      <c r="AH76" s="2">
        <f t="shared" si="73"/>
        <v>0.27128512962929952</v>
      </c>
      <c r="AI76" s="18">
        <f t="shared" si="5"/>
        <v>137</v>
      </c>
      <c r="AJ76" s="2">
        <f t="shared" si="6"/>
        <v>1</v>
      </c>
    </row>
    <row r="77" spans="1:36" ht="10.5" customHeight="1" x14ac:dyDescent="0.25">
      <c r="A77" s="17">
        <v>69</v>
      </c>
      <c r="B77" s="2">
        <f t="shared" si="2"/>
        <v>0.46844282011769306</v>
      </c>
      <c r="C77" s="4">
        <v>1</v>
      </c>
      <c r="D77" s="4">
        <v>26.685625162713698</v>
      </c>
      <c r="E77" s="18">
        <v>139</v>
      </c>
      <c r="F77" s="5">
        <v>0.50429999999999997</v>
      </c>
      <c r="G77" s="5">
        <v>0.65720000000000001</v>
      </c>
      <c r="H77" s="5">
        <v>1.8</v>
      </c>
      <c r="I77" s="5">
        <v>1.29</v>
      </c>
      <c r="J77" s="5">
        <v>3.6139999999999999</v>
      </c>
      <c r="K77" s="5">
        <v>0.15179999999999999</v>
      </c>
      <c r="L77" s="5">
        <v>2.86</v>
      </c>
      <c r="M77" s="5">
        <v>0.11360000000000001</v>
      </c>
      <c r="N77" s="5">
        <v>1.17E-2</v>
      </c>
      <c r="O77" s="5">
        <v>14.31</v>
      </c>
      <c r="P77" s="5">
        <v>29.53</v>
      </c>
      <c r="Q77" s="5">
        <v>145.30000000000001</v>
      </c>
      <c r="R77" s="5">
        <v>6.1899999999999997E-2</v>
      </c>
      <c r="S77" s="5">
        <v>206.4</v>
      </c>
      <c r="T77" s="18">
        <f t="shared" si="3"/>
        <v>139</v>
      </c>
      <c r="U77" s="2">
        <f t="shared" ref="U77:AH77" si="74">IF(OR(F77=0,F77&lt;0.00001,F77&gt;100000),"",IF((IF(F77&gt;F$5,ABS(LOG(((F$5/SUM($F77:$S77))/(F$4/SUM($F$4:$S$4)))*4+2,2)),ABS(LOG(((F77/SUM($F77:$S77))/(F$4/SUM($F$4:$S$4)))*4+2,2)))-3)&gt;8,(IF(F77&gt;F$5,ABS(LOG(((F$5/SUM($F77:$S77))/(F$4/SUM($F$4:$S$4)))*4+2,2)),ABS(LOG(((F77/SUM($F77:$S77))/(F$4/SUM($F$4:$S$4)))*4+2,2)))-3)/7,IF(F77&gt;F$5,ABS(LOG(((F$5/SUM($F77:$S77))/(F$4/SUM($F$4:$S$4)))*4+2,2)),ABS(LOG(((F77/SUM($F77:$S77))/(F$4/SUM($F$4:$S$4)))*4+2,2)))-3))</f>
        <v>1.4673023162699739</v>
      </c>
      <c r="V77" s="2">
        <f t="shared" si="74"/>
        <v>0.34964350054223647</v>
      </c>
      <c r="W77" s="2">
        <f t="shared" si="74"/>
        <v>3.2058547362892282</v>
      </c>
      <c r="X77" s="2">
        <f t="shared" si="74"/>
        <v>7.6128915431510347E-2</v>
      </c>
      <c r="Y77" s="2">
        <f t="shared" si="74"/>
        <v>1.4611597949447974</v>
      </c>
      <c r="Z77" s="2">
        <f t="shared" si="74"/>
        <v>4.4929023944831412</v>
      </c>
      <c r="AA77" s="2">
        <f t="shared" si="74"/>
        <v>2.8839516628602162</v>
      </c>
      <c r="AB77" s="2">
        <f t="shared" si="74"/>
        <v>-1.3252104918765406</v>
      </c>
      <c r="AC77" s="2">
        <f t="shared" si="74"/>
        <v>-1.9042142087702527</v>
      </c>
      <c r="AD77" s="2">
        <f t="shared" si="74"/>
        <v>0.41285209854417104</v>
      </c>
      <c r="AE77" s="2">
        <f t="shared" si="74"/>
        <v>-1.9999999640249739</v>
      </c>
      <c r="AF77" s="2">
        <f t="shared" si="74"/>
        <v>-0.67250446177140555</v>
      </c>
      <c r="AG77" s="2">
        <f t="shared" si="74"/>
        <v>-1.9919249894168392</v>
      </c>
      <c r="AH77" s="2">
        <f t="shared" si="74"/>
        <v>-0.24881940788768464</v>
      </c>
      <c r="AI77" s="18">
        <f t="shared" si="5"/>
        <v>139</v>
      </c>
      <c r="AJ77" s="2">
        <f t="shared" si="6"/>
        <v>1</v>
      </c>
    </row>
    <row r="78" spans="1:36" ht="10.5" customHeight="1" x14ac:dyDescent="0.25">
      <c r="A78" s="17">
        <v>70</v>
      </c>
      <c r="B78" s="2">
        <f t="shared" si="2"/>
        <v>0.43066872319758548</v>
      </c>
      <c r="C78" s="4">
        <v>1</v>
      </c>
      <c r="D78" s="4">
        <v>24.953181079919801</v>
      </c>
      <c r="E78" s="18">
        <v>141</v>
      </c>
      <c r="F78" s="5">
        <v>2.12E-4</v>
      </c>
      <c r="G78" s="5">
        <v>2.7099999999999997E-4</v>
      </c>
      <c r="H78" s="5">
        <v>0.5423</v>
      </c>
      <c r="I78" s="5">
        <v>2.35E-2</v>
      </c>
      <c r="J78" s="5">
        <v>1.0389999999999999</v>
      </c>
      <c r="K78" s="5">
        <v>0.5635</v>
      </c>
      <c r="L78" s="5">
        <v>6.4500000000000002E-2</v>
      </c>
      <c r="M78" s="5">
        <v>0.54959999999999998</v>
      </c>
      <c r="N78" s="5">
        <v>2.9499999999999999E-5</v>
      </c>
      <c r="O78" s="5">
        <v>6.8440000000000003</v>
      </c>
      <c r="P78" s="5">
        <v>1.5100000000000001E-2</v>
      </c>
      <c r="Q78" s="5">
        <v>38</v>
      </c>
      <c r="R78" s="5">
        <v>0.23089999999999999</v>
      </c>
      <c r="S78" s="5">
        <v>81.16</v>
      </c>
      <c r="T78" s="18">
        <f t="shared" si="3"/>
        <v>141</v>
      </c>
      <c r="U78" s="2">
        <f t="shared" ref="U78:AH78" si="75">IF(OR(F78=0,F78&lt;0.00001,F78&gt;100000),"",IF((IF(F78&gt;F$5,ABS(LOG(((F$5/SUM($F78:$S78))/(F$4/SUM($F$4:$S$4)))*4+2,2)),ABS(LOG(((F78/SUM($F78:$S78))/(F$4/SUM($F$4:$S$4)))*4+2,2)))-3)&gt;8,(IF(F78&gt;F$5,ABS(LOG(((F$5/SUM($F78:$S78))/(F$4/SUM($F$4:$S$4)))*4+2,2)),ABS(LOG(((F78/SUM($F78:$S78))/(F$4/SUM($F$4:$S$4)))*4+2,2)))-3)/7,IF(F78&gt;F$5,ABS(LOG(((F$5/SUM($F78:$S78))/(F$4/SUM($F$4:$S$4)))*4+2,2)),ABS(LOG(((F78/SUM($F78:$S78))/(F$4/SUM($F$4:$S$4)))*4+2,2)))-3))</f>
        <v>-1.9809005559306572</v>
      </c>
      <c r="V78" s="2">
        <f t="shared" si="75"/>
        <v>-1.9923400021529114</v>
      </c>
      <c r="W78" s="2">
        <f t="shared" si="75"/>
        <v>3.1329907985687306</v>
      </c>
      <c r="X78" s="2">
        <f t="shared" si="75"/>
        <v>-1.7555304100741498</v>
      </c>
      <c r="Y78" s="2">
        <f t="shared" si="75"/>
        <v>1.3321833148113136</v>
      </c>
      <c r="Z78" s="2">
        <f t="shared" si="75"/>
        <v>1.1466156428830132</v>
      </c>
      <c r="AA78" s="2">
        <f t="shared" si="75"/>
        <v>-0.40196846194756253</v>
      </c>
      <c r="AB78" s="2">
        <f t="shared" si="75"/>
        <v>1.3351161179782336</v>
      </c>
      <c r="AC78" s="2">
        <f t="shared" si="75"/>
        <v>-1.9992133392550853</v>
      </c>
      <c r="AD78" s="2">
        <f t="shared" si="75"/>
        <v>0.91046400332759037</v>
      </c>
      <c r="AE78" s="2">
        <f t="shared" si="75"/>
        <v>-1.99999988663662</v>
      </c>
      <c r="AF78" s="2">
        <f t="shared" si="75"/>
        <v>-0.83383480440726743</v>
      </c>
      <c r="AG78" s="2">
        <f t="shared" si="75"/>
        <v>-1.9078243192180269</v>
      </c>
      <c r="AH78" s="2">
        <f t="shared" si="75"/>
        <v>-2.4694382251825076E-2</v>
      </c>
      <c r="AI78" s="18">
        <f t="shared" si="5"/>
        <v>141</v>
      </c>
      <c r="AJ78" s="2">
        <f t="shared" si="6"/>
        <v>1</v>
      </c>
    </row>
    <row r="79" spans="1:36" ht="10.5" customHeight="1" x14ac:dyDescent="0.25">
      <c r="A79" s="17">
        <v>71</v>
      </c>
      <c r="B79" s="2" t="str">
        <f t="shared" si="2"/>
        <v/>
      </c>
      <c r="C79" s="4">
        <v>1</v>
      </c>
      <c r="D79" s="4">
        <v>36.651456617411803</v>
      </c>
      <c r="E79" s="18">
        <v>143</v>
      </c>
      <c r="F79" s="5">
        <v>1650</v>
      </c>
      <c r="G79" s="5"/>
      <c r="H79" s="5">
        <v>2889</v>
      </c>
      <c r="I79" s="5">
        <v>927.7</v>
      </c>
      <c r="J79" s="5">
        <v>4862</v>
      </c>
      <c r="K79" s="5">
        <v>21.78</v>
      </c>
      <c r="L79" s="5">
        <v>12.21</v>
      </c>
      <c r="M79" s="5">
        <v>329.8</v>
      </c>
      <c r="N79" s="5">
        <v>0.52769999999999995</v>
      </c>
      <c r="O79" s="5">
        <v>4487</v>
      </c>
      <c r="P79" s="5">
        <v>0.1754</v>
      </c>
      <c r="Q79" s="5">
        <v>18.32</v>
      </c>
      <c r="R79" s="5">
        <v>1.1339999999999999</v>
      </c>
      <c r="S79" s="5">
        <v>4.1520000000000001</v>
      </c>
      <c r="T79" s="18">
        <f t="shared" si="3"/>
        <v>143</v>
      </c>
      <c r="U79" s="2">
        <f t="shared" ref="U79:AH79" si="76">IF(OR(F79=0,F79&lt;0.00001,F79&gt;100000),"",IF((IF(F79&gt;F$5,ABS(LOG(((F$5/SUM($F79:$S79))/(F$4/SUM($F$4:$S$4)))*4+2,2)),ABS(LOG(((F79/SUM($F79:$S79))/(F$4/SUM($F$4:$S$4)))*4+2,2)))-3)&gt;8,(IF(F79&gt;F$5,ABS(LOG(((F$5/SUM($F79:$S79))/(F$4/SUM($F$4:$S$4)))*4+2,2)),ABS(LOG(((F79/SUM($F79:$S79))/(F$4/SUM($F$4:$S$4)))*4+2,2)))-3)/7,IF(F79&gt;F$5,ABS(LOG(((F$5/SUM($F79:$S79))/(F$4/SUM($F$4:$S$4)))*4+2,2)),ABS(LOG(((F79/SUM($F79:$S79))/(F$4/SUM($F$4:$S$4)))*4+2,2)))-3))</f>
        <v>-0.95245783030094655</v>
      </c>
      <c r="V79" s="2" t="str">
        <f t="shared" si="76"/>
        <v/>
      </c>
      <c r="W79" s="2">
        <f t="shared" si="76"/>
        <v>2.4815642772935211</v>
      </c>
      <c r="X79" s="2">
        <f t="shared" si="76"/>
        <v>1.2228014427732194</v>
      </c>
      <c r="Y79" s="2">
        <f t="shared" si="76"/>
        <v>4.2306948665536348</v>
      </c>
      <c r="Z79" s="2">
        <f t="shared" si="76"/>
        <v>2.3095769309210974</v>
      </c>
      <c r="AA79" s="2">
        <f t="shared" si="76"/>
        <v>8.9848624739799821E-2</v>
      </c>
      <c r="AB79" s="2">
        <f t="shared" si="76"/>
        <v>0.38179929667613521</v>
      </c>
      <c r="AC79" s="2">
        <f t="shared" si="76"/>
        <v>-1.8852295318281738</v>
      </c>
      <c r="AD79" s="2">
        <f t="shared" si="76"/>
        <v>-1.2804485825046787</v>
      </c>
      <c r="AE79" s="2">
        <f t="shared" si="76"/>
        <v>-1.999999999037898</v>
      </c>
      <c r="AF79" s="2">
        <f t="shared" si="76"/>
        <v>-1.9926745829229906</v>
      </c>
      <c r="AG79" s="2">
        <f t="shared" si="76"/>
        <v>-1.9960380856978297</v>
      </c>
      <c r="AH79" s="2">
        <f t="shared" si="76"/>
        <v>-1.9981645482520911</v>
      </c>
      <c r="AI79" s="18">
        <f t="shared" si="5"/>
        <v>143</v>
      </c>
      <c r="AJ79" s="2">
        <f t="shared" si="6"/>
        <v>1.4384382037037566</v>
      </c>
    </row>
    <row r="80" spans="1:36" ht="10.5" customHeight="1" x14ac:dyDescent="0.25">
      <c r="A80" s="17">
        <v>72</v>
      </c>
      <c r="B80" s="2">
        <f t="shared" si="2"/>
        <v>0.14944678072534368</v>
      </c>
      <c r="C80" s="4">
        <v>1</v>
      </c>
      <c r="D80" s="4">
        <v>28.013865393437101</v>
      </c>
      <c r="E80" s="18">
        <v>145</v>
      </c>
      <c r="F80" s="5">
        <v>1.2999999999999999E-2</v>
      </c>
      <c r="G80" s="5">
        <v>2.4600000000000002E-4</v>
      </c>
      <c r="H80" s="5">
        <v>33.08</v>
      </c>
      <c r="I80" s="5">
        <v>1.962</v>
      </c>
      <c r="J80" s="5">
        <v>7.8920000000000003</v>
      </c>
      <c r="K80" s="5">
        <v>4.734</v>
      </c>
      <c r="L80" s="5">
        <v>8.5999999999999993E-2</v>
      </c>
      <c r="M80" s="5">
        <v>1.339</v>
      </c>
      <c r="N80" s="5">
        <v>2.919</v>
      </c>
      <c r="O80" s="5">
        <v>0.82730000000000004</v>
      </c>
      <c r="P80" s="5">
        <v>1.5200000000000001E-3</v>
      </c>
      <c r="Q80" s="5">
        <v>228.6</v>
      </c>
      <c r="R80" s="5">
        <v>1.37E-2</v>
      </c>
      <c r="S80" s="5">
        <v>125</v>
      </c>
      <c r="T80" s="18">
        <f t="shared" si="3"/>
        <v>145</v>
      </c>
      <c r="U80" s="2">
        <f t="shared" ref="U80:AH80" si="77">IF(OR(F80=0,F80&lt;0.00001,F80&gt;100000),"",IF((IF(F80&gt;F$5,ABS(LOG(((F$5/SUM($F80:$S80))/(F$4/SUM($F$4:$S$4)))*4+2,2)),ABS(LOG(((F80/SUM($F80:$S80))/(F$4/SUM($F$4:$S$4)))*4+2,2)))-3)&gt;8,(IF(F80&gt;F$5,ABS(LOG(((F$5/SUM($F80:$S80))/(F$4/SUM($F$4:$S$4)))*4+2,2)),ABS(LOG(((F80/SUM($F80:$S80))/(F$4/SUM($F$4:$S$4)))*4+2,2)))-3)/7,IF(F80&gt;F$5,ABS(LOG(((F$5/SUM($F80:$S80))/(F$4/SUM($F$4:$S$4)))*4+2,2)),ABS(LOG(((F80/SUM($F80:$S80))/(F$4/SUM($F$4:$S$4)))*4+2,2)))-3))</f>
        <v>-1.6672387804459694</v>
      </c>
      <c r="V80" s="2">
        <f t="shared" si="77"/>
        <v>-1.9977884874932139</v>
      </c>
      <c r="W80" s="2">
        <f t="shared" si="77"/>
        <v>7.3687857636553034</v>
      </c>
      <c r="X80" s="2">
        <f t="shared" si="77"/>
        <v>0.55926827581005956</v>
      </c>
      <c r="Y80" s="2">
        <f t="shared" si="77"/>
        <v>2.5156018650352809</v>
      </c>
      <c r="Z80" s="2">
        <f t="shared" si="77"/>
        <v>7.4621173820785494</v>
      </c>
      <c r="AA80" s="2">
        <f t="shared" si="77"/>
        <v>-1.1061822938391006</v>
      </c>
      <c r="AB80" s="2">
        <f t="shared" si="77"/>
        <v>1.0057033091561447</v>
      </c>
      <c r="AC80" s="2">
        <f t="shared" si="77"/>
        <v>2.1804967718799233</v>
      </c>
      <c r="AD80" s="2">
        <f t="shared" si="77"/>
        <v>-1.6779112737453048</v>
      </c>
      <c r="AE80" s="2">
        <f t="shared" si="77"/>
        <v>-1.9999999640128721</v>
      </c>
      <c r="AF80" s="2">
        <f t="shared" si="77"/>
        <v>-0.24470566650670778</v>
      </c>
      <c r="AG80" s="2">
        <f t="shared" si="77"/>
        <v>-1.9982082997265129</v>
      </c>
      <c r="AH80" s="2">
        <f t="shared" si="77"/>
        <v>-0.71691691855980721</v>
      </c>
      <c r="AI80" s="18">
        <f t="shared" si="5"/>
        <v>145</v>
      </c>
      <c r="AJ80" s="2">
        <f t="shared" si="6"/>
        <v>2.1013865393437099</v>
      </c>
    </row>
    <row r="81" spans="1:36" ht="10.5" customHeight="1" x14ac:dyDescent="0.25">
      <c r="A81" s="17">
        <v>73</v>
      </c>
      <c r="B81" s="2">
        <f t="shared" si="2"/>
        <v>0.75404376468996581</v>
      </c>
      <c r="C81" s="4">
        <v>1</v>
      </c>
      <c r="D81" s="4">
        <v>21.799236992230501</v>
      </c>
      <c r="E81" s="18">
        <v>145</v>
      </c>
      <c r="F81" s="5">
        <v>2.9899999999999999E-2</v>
      </c>
      <c r="G81" s="5">
        <v>1.3799999999999999E-3</v>
      </c>
      <c r="H81" s="5">
        <v>3.4750000000000001</v>
      </c>
      <c r="I81" s="5">
        <v>1.1120000000000001</v>
      </c>
      <c r="J81" s="5">
        <v>0.36080000000000001</v>
      </c>
      <c r="K81" s="5">
        <v>0.16830000000000001</v>
      </c>
      <c r="L81" s="5">
        <v>0.43559999999999999</v>
      </c>
      <c r="M81" s="5">
        <v>0.1206</v>
      </c>
      <c r="N81" s="5">
        <v>8.0100000000000005E-2</v>
      </c>
      <c r="O81" s="5">
        <v>0.33889999999999998</v>
      </c>
      <c r="P81" s="5">
        <v>3.5100000000000001E-3</v>
      </c>
      <c r="Q81" s="5">
        <v>21.63</v>
      </c>
      <c r="R81" s="5">
        <v>0.84279999999999999</v>
      </c>
      <c r="S81" s="5">
        <v>62.29</v>
      </c>
      <c r="T81" s="18">
        <f t="shared" si="3"/>
        <v>145</v>
      </c>
      <c r="U81" s="2">
        <f t="shared" ref="U81:AH81" si="78">IF(OR(F81=0,F81&lt;0.00001,F81&gt;100000),"",IF((IF(F81&gt;F$5,ABS(LOG(((F$5/SUM($F81:$S81))/(F$4/SUM($F$4:$S$4)))*4+2,2)),ABS(LOG(((F81/SUM($F81:$S81))/(F$4/SUM($F$4:$S$4)))*4+2,2)))-3)&gt;8,(IF(F81&gt;F$5,ABS(LOG(((F$5/SUM($F81:$S81))/(F$4/SUM($F$4:$S$4)))*4+2,2)),ABS(LOG(((F81/SUM($F81:$S81))/(F$4/SUM($F$4:$S$4)))*4+2,2)))-3)/7,IF(F81&gt;F$5,ABS(LOG(((F$5/SUM($F81:$S81))/(F$4/SUM($F$4:$S$4)))*4+2,2)),ABS(LOG(((F81/SUM($F81:$S81))/(F$4/SUM($F$4:$S$4)))*4+2,2)))-3))</f>
        <v>-0.12485337273986552</v>
      </c>
      <c r="V81" s="2">
        <f t="shared" si="78"/>
        <v>-1.9455177054969608</v>
      </c>
      <c r="W81" s="2">
        <f t="shared" si="78"/>
        <v>6.2813372137877721</v>
      </c>
      <c r="X81" s="2">
        <f t="shared" si="78"/>
        <v>1.7446869655845232</v>
      </c>
      <c r="Y81" s="2">
        <f t="shared" si="78"/>
        <v>0.45209589174669551</v>
      </c>
      <c r="Z81" s="2">
        <f t="shared" si="78"/>
        <v>6.7903703459055134</v>
      </c>
      <c r="AA81" s="2">
        <f t="shared" si="78"/>
        <v>2.3531323568782012</v>
      </c>
      <c r="AB81" s="2">
        <f t="shared" si="78"/>
        <v>-6.1783580147678485E-2</v>
      </c>
      <c r="AC81" s="2">
        <f t="shared" si="78"/>
        <v>-0.36657881657810076</v>
      </c>
      <c r="AD81" s="2">
        <f t="shared" si="78"/>
        <v>-1.4557586782057563</v>
      </c>
      <c r="AE81" s="2">
        <f t="shared" si="78"/>
        <v>-1.9999998390605622</v>
      </c>
      <c r="AF81" s="2">
        <f t="shared" si="78"/>
        <v>-0.99611936355285646</v>
      </c>
      <c r="AG81" s="2">
        <f t="shared" si="78"/>
        <v>-1.5757391736207347</v>
      </c>
      <c r="AH81" s="2">
        <f t="shared" si="78"/>
        <v>6.8610523714310645E-2</v>
      </c>
      <c r="AI81" s="18">
        <f t="shared" si="5"/>
        <v>145</v>
      </c>
      <c r="AJ81" s="2">
        <f t="shared" si="6"/>
        <v>1</v>
      </c>
    </row>
    <row r="82" spans="1:36" ht="10.5" customHeight="1" x14ac:dyDescent="0.25">
      <c r="A82" s="17">
        <v>74</v>
      </c>
      <c r="B82" s="2">
        <f t="shared" si="2"/>
        <v>1.0144440591712909</v>
      </c>
      <c r="C82" s="4">
        <v>1</v>
      </c>
      <c r="D82" s="4">
        <v>29.507713216511299</v>
      </c>
      <c r="E82" s="18">
        <v>148</v>
      </c>
      <c r="F82" s="5">
        <v>8.0599999999999995E-3</v>
      </c>
      <c r="G82" s="5">
        <v>2.4500000000000001E-2</v>
      </c>
      <c r="H82" s="5">
        <v>58.89</v>
      </c>
      <c r="I82" s="5">
        <v>72.97</v>
      </c>
      <c r="J82" s="5">
        <v>90.71</v>
      </c>
      <c r="K82" s="5">
        <v>91.43</v>
      </c>
      <c r="L82" s="5">
        <v>1.1830000000000001</v>
      </c>
      <c r="M82" s="5">
        <v>34.979999999999997</v>
      </c>
      <c r="N82" s="5">
        <v>14.18</v>
      </c>
      <c r="O82" s="5">
        <v>122.4</v>
      </c>
      <c r="P82" s="5">
        <v>924.7</v>
      </c>
      <c r="Q82" s="5">
        <v>800.8</v>
      </c>
      <c r="R82" s="5"/>
      <c r="S82" s="5">
        <v>111.6</v>
      </c>
      <c r="T82" s="18">
        <f t="shared" si="3"/>
        <v>148</v>
      </c>
      <c r="U82" s="2">
        <f t="shared" ref="U82:AH82" si="79">IF(OR(F82=0,F82&lt;0.00001,F82&gt;100000),"",IF((IF(F82&gt;F$5,ABS(LOG(((F$5/SUM($F82:$S82))/(F$4/SUM($F$4:$S$4)))*4+2,2)),ABS(LOG(((F82/SUM($F82:$S82))/(F$4/SUM($F$4:$S$4)))*4+2,2)))-3)&gt;8,(IF(F82&gt;F$5,ABS(LOG(((F$5/SUM($F82:$S82))/(F$4/SUM($F$4:$S$4)))*4+2,2)),ABS(LOG(((F82/SUM($F82:$S82))/(F$4/SUM($F$4:$S$4)))*4+2,2)))-3)/7,IF(F82&gt;F$5,ABS(LOG(((F$5/SUM($F82:$S82))/(F$4/SUM($F$4:$S$4)))*4+2,2)),ABS(LOG(((F82/SUM($F82:$S82))/(F$4/SUM($F$4:$S$4)))*4+2,2)))-3))</f>
        <v>-1.959973560942444</v>
      </c>
      <c r="V82" s="2">
        <f t="shared" si="79"/>
        <v>-1.9619524051756292</v>
      </c>
      <c r="W82" s="2">
        <f t="shared" si="79"/>
        <v>5.135619201479086</v>
      </c>
      <c r="X82" s="2">
        <f t="shared" si="79"/>
        <v>3.0372443170414902</v>
      </c>
      <c r="Y82" s="2">
        <f t="shared" si="79"/>
        <v>3.4910276809978544</v>
      </c>
      <c r="Z82" s="2">
        <f t="shared" si="79"/>
        <v>4.9564142817330286</v>
      </c>
      <c r="AA82" s="2">
        <f t="shared" si="79"/>
        <v>-0.3843130607823162</v>
      </c>
      <c r="AB82" s="2">
        <f t="shared" si="79"/>
        <v>2.8357135533545597</v>
      </c>
      <c r="AC82" s="2">
        <f t="shared" si="79"/>
        <v>1.9594960588599912</v>
      </c>
      <c r="AD82" s="2">
        <f t="shared" si="79"/>
        <v>0.38703009994888671</v>
      </c>
      <c r="AE82" s="2">
        <f t="shared" si="79"/>
        <v>-1.9999999937055117</v>
      </c>
      <c r="AF82" s="2">
        <f t="shared" si="79"/>
        <v>-0.70381282896190456</v>
      </c>
      <c r="AG82" s="2" t="str">
        <f t="shared" si="79"/>
        <v/>
      </c>
      <c r="AH82" s="2">
        <f t="shared" si="79"/>
        <v>-1.7085527586077593</v>
      </c>
      <c r="AI82" s="18">
        <f t="shared" si="5"/>
        <v>148</v>
      </c>
      <c r="AJ82" s="2">
        <f t="shared" si="6"/>
        <v>2.25077132165113</v>
      </c>
    </row>
    <row r="83" spans="1:36" ht="10.5" customHeight="1" x14ac:dyDescent="0.25">
      <c r="A83" s="17">
        <v>75</v>
      </c>
      <c r="B83" s="2">
        <f t="shared" si="2"/>
        <v>2.1354085448189881</v>
      </c>
      <c r="C83" s="4">
        <v>1</v>
      </c>
      <c r="D83" s="4">
        <v>29.1501701184471</v>
      </c>
      <c r="E83" s="18">
        <v>148</v>
      </c>
      <c r="F83" s="5">
        <v>0.1225</v>
      </c>
      <c r="G83" s="5">
        <v>2.7299999999999998E-3</v>
      </c>
      <c r="H83" s="5">
        <v>78.37</v>
      </c>
      <c r="I83" s="5">
        <v>20.56</v>
      </c>
      <c r="J83" s="5">
        <v>26.74</v>
      </c>
      <c r="K83" s="5">
        <v>3.081</v>
      </c>
      <c r="L83" s="5">
        <v>18.7</v>
      </c>
      <c r="M83" s="5"/>
      <c r="N83" s="5"/>
      <c r="O83" s="5">
        <v>18.239999999999998</v>
      </c>
      <c r="P83" s="5">
        <v>0.1229</v>
      </c>
      <c r="Q83" s="5">
        <v>37.57</v>
      </c>
      <c r="R83" s="5"/>
      <c r="S83" s="5">
        <v>20.55</v>
      </c>
      <c r="T83" s="18">
        <f t="shared" si="3"/>
        <v>148</v>
      </c>
      <c r="U83" s="2">
        <f t="shared" ref="U83:AH83" si="80">IF(OR(F83=0,F83&lt;0.00001,F83&gt;100000),"",IF((IF(F83&gt;F$5,ABS(LOG(((F$5/SUM($F83:$S83))/(F$4/SUM($F$4:$S$4)))*4+2,2)),ABS(LOG(((F83/SUM($F83:$S83))/(F$4/SUM($F$4:$S$4)))*4+2,2)))-3)&gt;8,(IF(F83&gt;F$5,ABS(LOG(((F$5/SUM($F83:$S83))/(F$4/SUM($F$4:$S$4)))*4+2,2)),ABS(LOG(((F83/SUM($F83:$S83))/(F$4/SUM($F$4:$S$4)))*4+2,2)))-3)/7,IF(F83&gt;F$5,ABS(LOG(((F$5/SUM($F83:$S83))/(F$4/SUM($F$4:$S$4)))*4+2,2)),ABS(LOG(((F83/SUM($F83:$S83))/(F$4/SUM($F$4:$S$4)))*4+2,2)))-3))</f>
        <v>0.44219483834755691</v>
      </c>
      <c r="V83" s="2">
        <f t="shared" si="80"/>
        <v>-1.9561174765581868</v>
      </c>
      <c r="W83" s="2">
        <f t="shared" si="80"/>
        <v>1.2144142985174464</v>
      </c>
      <c r="X83" s="2">
        <f t="shared" si="80"/>
        <v>4.5551682140109486</v>
      </c>
      <c r="Y83" s="2">
        <f t="shared" si="80"/>
        <v>5.0815974766640259</v>
      </c>
      <c r="Z83" s="2">
        <f t="shared" si="80"/>
        <v>1.1886372265262846</v>
      </c>
      <c r="AA83" s="2">
        <f t="shared" si="80"/>
        <v>6.4071983531903189</v>
      </c>
      <c r="AB83" s="2" t="str">
        <f t="shared" si="80"/>
        <v/>
      </c>
      <c r="AC83" s="2" t="str">
        <f t="shared" si="80"/>
        <v/>
      </c>
      <c r="AD83" s="2">
        <f t="shared" si="80"/>
        <v>1.4600567709111685</v>
      </c>
      <c r="AE83" s="2">
        <f t="shared" si="80"/>
        <v>-1.9999999347154152</v>
      </c>
      <c r="AF83" s="2">
        <f t="shared" si="80"/>
        <v>-1.2273713882272639</v>
      </c>
      <c r="AG83" s="2" t="str">
        <f t="shared" si="80"/>
        <v/>
      </c>
      <c r="AH83" s="2">
        <f t="shared" si="80"/>
        <v>-1.4864569593145684</v>
      </c>
      <c r="AI83" s="18">
        <f t="shared" si="5"/>
        <v>148</v>
      </c>
      <c r="AJ83" s="2">
        <f t="shared" si="6"/>
        <v>2.2150170118447101</v>
      </c>
    </row>
    <row r="84" spans="1:36" ht="10.5" customHeight="1" x14ac:dyDescent="0.25">
      <c r="A84" s="17">
        <v>76</v>
      </c>
      <c r="B84" s="2">
        <f t="shared" si="2"/>
        <v>0.93115305072941668</v>
      </c>
      <c r="C84" s="4">
        <v>1</v>
      </c>
      <c r="D84" s="4">
        <v>25.818199192514101</v>
      </c>
      <c r="E84" s="18">
        <v>151</v>
      </c>
      <c r="F84" s="5">
        <v>6.5899999999999997E-4</v>
      </c>
      <c r="G84" s="5">
        <v>0.94069999999999998</v>
      </c>
      <c r="H84" s="5">
        <v>2.7269999999999999</v>
      </c>
      <c r="I84" s="5">
        <v>5.6000000000000001E-2</v>
      </c>
      <c r="J84" s="5">
        <v>1.5609999999999999</v>
      </c>
      <c r="K84" s="5">
        <v>0.14099999999999999</v>
      </c>
      <c r="L84" s="5">
        <v>0.24959999999999999</v>
      </c>
      <c r="M84" s="5">
        <v>0.81789999999999996</v>
      </c>
      <c r="N84" s="5">
        <v>5.4399999999999997E-2</v>
      </c>
      <c r="O84" s="5">
        <v>5.8299999999999998E-2</v>
      </c>
      <c r="P84" s="5"/>
      <c r="Q84" s="5">
        <v>21.17</v>
      </c>
      <c r="R84" s="5">
        <v>3.48E-3</v>
      </c>
      <c r="S84" s="5">
        <v>120.3</v>
      </c>
      <c r="T84" s="18">
        <f t="shared" si="3"/>
        <v>151</v>
      </c>
      <c r="U84" s="2">
        <f t="shared" ref="U84:AH84" si="81">IF(OR(F84=0,F84&lt;0.00001,F84&gt;100000),"",IF((IF(F84&gt;F$5,ABS(LOG(((F$5/SUM($F84:$S84))/(F$4/SUM($F$4:$S$4)))*4+2,2)),ABS(LOG(((F84/SUM($F84:$S84))/(F$4/SUM($F$4:$S$4)))*4+2,2)))-3)&gt;8,(IF(F84&gt;F$5,ABS(LOG(((F$5/SUM($F84:$S84))/(F$4/SUM($F$4:$S$4)))*4+2,2)),ABS(LOG(((F84/SUM($F84:$S84))/(F$4/SUM($F$4:$S$4)))*4+2,2)))-3)/7,IF(F84&gt;F$5,ABS(LOG(((F$5/SUM($F84:$S84))/(F$4/SUM($F$4:$S$4)))*4+2,2)),ABS(LOG(((F84/SUM($F84:$S84))/(F$4/SUM($F$4:$S$4)))*4+2,2)))-3))</f>
        <v>-1.9488401682728391</v>
      </c>
      <c r="V84" s="2">
        <f t="shared" si="81"/>
        <v>2.0961356022658313</v>
      </c>
      <c r="W84" s="2">
        <f t="shared" si="81"/>
        <v>5.232419113750522</v>
      </c>
      <c r="X84" s="2">
        <f t="shared" si="81"/>
        <v>-1.5317465032521715</v>
      </c>
      <c r="Y84" s="2">
        <f t="shared" si="81"/>
        <v>1.6865894395549521</v>
      </c>
      <c r="Z84" s="2">
        <f t="shared" si="81"/>
        <v>5.833903949970157</v>
      </c>
      <c r="AA84" s="2">
        <f t="shared" si="81"/>
        <v>0.97013119815920223</v>
      </c>
      <c r="AB84" s="2">
        <f t="shared" si="81"/>
        <v>1.6769291622732974</v>
      </c>
      <c r="AC84" s="2">
        <f t="shared" si="81"/>
        <v>-1.0920173195728846</v>
      </c>
      <c r="AD84" s="2">
        <f t="shared" si="81"/>
        <v>-1.9318304468231569</v>
      </c>
      <c r="AE84" s="2" t="str">
        <f t="shared" si="81"/>
        <v/>
      </c>
      <c r="AF84" s="2">
        <f t="shared" si="81"/>
        <v>-1.3183572283591745</v>
      </c>
      <c r="AG84" s="2">
        <f t="shared" si="81"/>
        <v>-1.9987505029035717</v>
      </c>
      <c r="AH84" s="2">
        <f t="shared" si="81"/>
        <v>0.2591567707562441</v>
      </c>
      <c r="AI84" s="18">
        <f t="shared" si="5"/>
        <v>151</v>
      </c>
      <c r="AJ84" s="2">
        <f t="shared" si="6"/>
        <v>1</v>
      </c>
    </row>
    <row r="85" spans="1:36" ht="10.5" customHeight="1" x14ac:dyDescent="0.25">
      <c r="A85" s="17">
        <v>77</v>
      </c>
      <c r="B85" s="2">
        <f t="shared" si="2"/>
        <v>0.35807075837727487</v>
      </c>
      <c r="C85" s="4">
        <v>1</v>
      </c>
      <c r="D85" s="4">
        <v>27.181641110908998</v>
      </c>
      <c r="E85" s="18">
        <v>154</v>
      </c>
      <c r="F85" s="5">
        <v>2.2800000000000001E-2</v>
      </c>
      <c r="G85" s="5">
        <v>0.97560000000000002</v>
      </c>
      <c r="H85" s="5">
        <v>3.3559999999999999</v>
      </c>
      <c r="I85" s="5">
        <v>1.1990000000000001</v>
      </c>
      <c r="J85" s="5">
        <v>5.0999999999999996</v>
      </c>
      <c r="K85" s="5">
        <v>2.238</v>
      </c>
      <c r="L85" s="5">
        <v>1.0780000000000001</v>
      </c>
      <c r="M85" s="5">
        <v>2.0609999999999999</v>
      </c>
      <c r="N85" s="5">
        <v>0.2722</v>
      </c>
      <c r="O85" s="5">
        <v>3.2480000000000002</v>
      </c>
      <c r="P85" s="5">
        <v>1.3799999999999999E-4</v>
      </c>
      <c r="Q85" s="5">
        <v>48.34</v>
      </c>
      <c r="R85" s="5">
        <v>2.6700000000000002E-2</v>
      </c>
      <c r="S85" s="5">
        <v>198.4</v>
      </c>
      <c r="T85" s="18">
        <f t="shared" si="3"/>
        <v>154</v>
      </c>
      <c r="U85" s="2">
        <f t="shared" ref="U85:AH85" si="82">IF(OR(F85=0,F85&lt;0.00001,F85&gt;100000),"",IF((IF(F85&gt;F$5,ABS(LOG(((F$5/SUM($F85:$S85))/(F$4/SUM($F$4:$S$4)))*4+2,2)),ABS(LOG(((F85/SUM($F85:$S85))/(F$4/SUM($F$4:$S$4)))*4+2,2)))-3)&gt;8,(IF(F85&gt;F$5,ABS(LOG(((F$5/SUM($F85:$S85))/(F$4/SUM($F$4:$S$4)))*4+2,2)),ABS(LOG(((F85/SUM($F85:$S85))/(F$4/SUM($F$4:$S$4)))*4+2,2)))-3)/7,IF(F85&gt;F$5,ABS(LOG(((F$5/SUM($F85:$S85))/(F$4/SUM($F$4:$S$4)))*4+2,2)),ABS(LOG(((F85/SUM($F85:$S85))/(F$4/SUM($F$4:$S$4)))*4+2,2)))-3))</f>
        <v>-1.2392060625513044</v>
      </c>
      <c r="V85" s="2">
        <f t="shared" si="82"/>
        <v>1.362557014128158</v>
      </c>
      <c r="W85" s="2">
        <f t="shared" si="82"/>
        <v>4.6894972130516539</v>
      </c>
      <c r="X85" s="2">
        <f t="shared" si="82"/>
        <v>0.47632054153257197</v>
      </c>
      <c r="Y85" s="2">
        <f t="shared" si="82"/>
        <v>2.4965779578513949</v>
      </c>
      <c r="Z85" s="2">
        <f t="shared" si="82"/>
        <v>1.1530579971886397</v>
      </c>
      <c r="AA85" s="2">
        <f t="shared" si="82"/>
        <v>2.122374499410455</v>
      </c>
      <c r="AB85" s="2">
        <f t="shared" si="82"/>
        <v>2.1308478600088634</v>
      </c>
      <c r="AC85" s="2">
        <f t="shared" si="82"/>
        <v>-0.21827815831046227</v>
      </c>
      <c r="AD85" s="2">
        <f t="shared" si="82"/>
        <v>-0.6787296013402071</v>
      </c>
      <c r="AE85" s="2">
        <f t="shared" si="82"/>
        <v>-1.9999999450745416</v>
      </c>
      <c r="AF85" s="2">
        <f t="shared" si="82"/>
        <v>-1.1788432985461137</v>
      </c>
      <c r="AG85" s="2">
        <f t="shared" si="82"/>
        <v>-1.9946770689708395</v>
      </c>
      <c r="AH85" s="2">
        <f t="shared" si="82"/>
        <v>0.16118287572414269</v>
      </c>
      <c r="AI85" s="18">
        <f t="shared" si="5"/>
        <v>154</v>
      </c>
      <c r="AJ85" s="2">
        <f t="shared" si="6"/>
        <v>2.0181641110908997</v>
      </c>
    </row>
    <row r="86" spans="1:36" ht="10.5" customHeight="1" x14ac:dyDescent="0.25">
      <c r="A86" s="17">
        <v>78</v>
      </c>
      <c r="B86" s="2">
        <f t="shared" si="2"/>
        <v>0.81730939838374927</v>
      </c>
      <c r="C86" s="4">
        <v>1</v>
      </c>
      <c r="D86" s="4">
        <v>32.569993518599901</v>
      </c>
      <c r="E86" s="18">
        <v>157</v>
      </c>
      <c r="F86" s="5">
        <v>8.5999999999999993E-2</v>
      </c>
      <c r="G86" s="5">
        <v>3.925E-2</v>
      </c>
      <c r="H86" s="5">
        <v>221.8</v>
      </c>
      <c r="I86" s="5">
        <v>26.88</v>
      </c>
      <c r="J86" s="5">
        <v>30.26</v>
      </c>
      <c r="K86" s="5">
        <v>31.26</v>
      </c>
      <c r="L86" s="5">
        <v>53.7</v>
      </c>
      <c r="M86" s="5">
        <v>10.62</v>
      </c>
      <c r="N86" s="5">
        <v>33.68</v>
      </c>
      <c r="O86" s="5">
        <v>67.260000000000005</v>
      </c>
      <c r="P86" s="5">
        <v>5.79E-2</v>
      </c>
      <c r="Q86" s="5">
        <v>1871</v>
      </c>
      <c r="R86" s="5">
        <v>5.7999999999999996E-3</v>
      </c>
      <c r="S86" s="5">
        <v>504.4</v>
      </c>
      <c r="T86" s="18">
        <f t="shared" si="3"/>
        <v>157</v>
      </c>
      <c r="U86" s="2">
        <f t="shared" ref="U86:AH86" si="83">IF(OR(F86=0,F86&lt;0.00001,F86&gt;100000),"",IF((IF(F86&gt;F$5,ABS(LOG(((F$5/SUM($F86:$S86))/(F$4/SUM($F$4:$S$4)))*4+2,2)),ABS(LOG(((F86/SUM($F86:$S86))/(F$4/SUM($F$4:$S$4)))*4+2,2)))-3)&gt;8,(IF(F86&gt;F$5,ABS(LOG(((F$5/SUM($F86:$S86))/(F$4/SUM($F$4:$S$4)))*4+2,2)),ABS(LOG(((F86/SUM($F86:$S86))/(F$4/SUM($F$4:$S$4)))*4+2,2)))-3)/7,IF(F86&gt;F$5,ABS(LOG(((F$5/SUM($F86:$S86))/(F$4/SUM($F$4:$S$4)))*4+2,2)),ABS(LOG(((F86/SUM($F86:$S86))/(F$4/SUM($F$4:$S$4)))*4+2,2)))-3))</f>
        <v>-1.6842355299207721</v>
      </c>
      <c r="V86" s="2">
        <f t="shared" si="83"/>
        <v>-1.9505144175398537</v>
      </c>
      <c r="W86" s="2">
        <f t="shared" si="83"/>
        <v>4.8429847801415855</v>
      </c>
      <c r="X86" s="2">
        <f t="shared" si="83"/>
        <v>1.4004340627052567</v>
      </c>
      <c r="Y86" s="2">
        <f t="shared" si="83"/>
        <v>1.69565452953562</v>
      </c>
      <c r="Z86" s="2">
        <f t="shared" si="83"/>
        <v>4.6640871592913919</v>
      </c>
      <c r="AA86" s="2">
        <f t="shared" si="83"/>
        <v>4.2740485539335555</v>
      </c>
      <c r="AB86" s="2">
        <f t="shared" si="83"/>
        <v>1.1620584400826077</v>
      </c>
      <c r="AC86" s="2">
        <f t="shared" si="83"/>
        <v>2.8670242845950531</v>
      </c>
      <c r="AD86" s="2">
        <f t="shared" si="83"/>
        <v>-3.6775337511765649E-2</v>
      </c>
      <c r="AE86" s="2">
        <f t="shared" si="83"/>
        <v>-1.9999999948693943</v>
      </c>
      <c r="AF86" s="2">
        <f t="shared" si="83"/>
        <v>-8.4515521610913691E-2</v>
      </c>
      <c r="AG86" s="2">
        <f t="shared" si="83"/>
        <v>-1.999891794922056</v>
      </c>
      <c r="AH86" s="2">
        <f t="shared" si="83"/>
        <v>-1.1323198230393738</v>
      </c>
      <c r="AI86" s="18">
        <f t="shared" si="5"/>
        <v>157</v>
      </c>
      <c r="AJ86" s="2">
        <f t="shared" si="6"/>
        <v>2.5230330060877435</v>
      </c>
    </row>
    <row r="87" spans="1:36" ht="10.5" customHeight="1" x14ac:dyDescent="0.25">
      <c r="A87" s="17">
        <v>79</v>
      </c>
      <c r="B87" s="2">
        <f t="shared" si="2"/>
        <v>9.2910662298465604E-2</v>
      </c>
      <c r="C87" s="4">
        <v>1</v>
      </c>
      <c r="D87" s="4">
        <v>30.194266227017948</v>
      </c>
      <c r="E87" s="18">
        <v>160</v>
      </c>
      <c r="F87" s="5">
        <v>3.0034999999999998</v>
      </c>
      <c r="G87" s="5">
        <v>5.1699999999999992E-3</v>
      </c>
      <c r="H87" s="5">
        <v>51.704999999999998</v>
      </c>
      <c r="I87" s="5">
        <v>6.27475</v>
      </c>
      <c r="J87" s="5">
        <v>19.895</v>
      </c>
      <c r="K87" s="5">
        <v>5.2210000000000001</v>
      </c>
      <c r="L87" s="5">
        <v>4.5762499999999999</v>
      </c>
      <c r="M87" s="5">
        <v>6.7725</v>
      </c>
      <c r="N87" s="5">
        <v>11.498950000000001</v>
      </c>
      <c r="O87" s="5">
        <v>7.4044999999999996</v>
      </c>
      <c r="P87" s="5">
        <v>8.7000000000000001E-4</v>
      </c>
      <c r="Q87" s="5">
        <v>2684.7000000000003</v>
      </c>
      <c r="R87" s="5">
        <v>4.0562500000000004</v>
      </c>
      <c r="S87" s="5">
        <v>133.69999999999999</v>
      </c>
      <c r="T87" s="18">
        <f t="shared" si="3"/>
        <v>160</v>
      </c>
      <c r="U87" s="2">
        <f t="shared" ref="U87:AH87" si="84">IF(OR(F87=0,F87&lt;0.00001,F87&gt;100000),"",IF((IF(F87&gt;F$5,ABS(LOG(((F$5/SUM($F87:$S87))/(F$4/SUM($F$4:$S$4)))*4+2,2)),ABS(LOG(((F87/SUM($F87:$S87))/(F$4/SUM($F$4:$S$4)))*4+2,2)))-3)&gt;8,(IF(F87&gt;F$5,ABS(LOG(((F$5/SUM($F87:$S87))/(F$4/SUM($F$4:$S$4)))*4+2,2)),ABS(LOG(((F87/SUM($F87:$S87))/(F$4/SUM($F$4:$S$4)))*4+2,2)))-3)/7,IF(F87&gt;F$5,ABS(LOG(((F$5/SUM($F87:$S87))/(F$4/SUM($F$4:$S$4)))*4+2,2)),ABS(LOG(((F87/SUM($F87:$S87))/(F$4/SUM($F$4:$S$4)))*4+2,2)))-3))</f>
        <v>0.70489335920897567</v>
      </c>
      <c r="V87" s="2">
        <f t="shared" si="84"/>
        <v>-1.9935810309207223</v>
      </c>
      <c r="W87" s="2">
        <f t="shared" si="84"/>
        <v>4.79963046618888</v>
      </c>
      <c r="X87" s="2">
        <f t="shared" si="84"/>
        <v>-0.3378735114772855</v>
      </c>
      <c r="Y87" s="2">
        <f t="shared" si="84"/>
        <v>1.1087837428835332</v>
      </c>
      <c r="Z87" s="2">
        <f t="shared" si="84"/>
        <v>4.6207839025857673</v>
      </c>
      <c r="AA87" s="2">
        <f t="shared" si="84"/>
        <v>0.87092405521419902</v>
      </c>
      <c r="AB87" s="2">
        <f t="shared" si="84"/>
        <v>0.56536804375839367</v>
      </c>
      <c r="AC87" s="2">
        <f t="shared" si="84"/>
        <v>1.369411381053169</v>
      </c>
      <c r="AD87" s="2">
        <f t="shared" si="84"/>
        <v>-1.6108207293465524</v>
      </c>
      <c r="AE87" s="2">
        <f t="shared" si="84"/>
        <v>-1.9999999950226148</v>
      </c>
      <c r="AF87" s="2">
        <f t="shared" si="84"/>
        <v>0.28075558424191449</v>
      </c>
      <c r="AG87" s="2">
        <f t="shared" si="84"/>
        <v>-1.9283905426639956</v>
      </c>
      <c r="AH87" s="2">
        <f t="shared" si="84"/>
        <v>-1.7225155805712746</v>
      </c>
      <c r="AI87" s="18">
        <f t="shared" si="5"/>
        <v>160</v>
      </c>
      <c r="AJ87" s="2">
        <f t="shared" si="6"/>
        <v>4.6468843978209637</v>
      </c>
    </row>
    <row r="88" spans="1:36" ht="10.5" customHeight="1" x14ac:dyDescent="0.25">
      <c r="A88" s="17">
        <v>80</v>
      </c>
      <c r="B88" s="2">
        <f t="shared" si="2"/>
        <v>5.7043667262558259E-2</v>
      </c>
      <c r="C88" s="4">
        <v>1</v>
      </c>
      <c r="D88" s="4">
        <v>28.416299185524299</v>
      </c>
      <c r="E88" s="18">
        <v>163</v>
      </c>
      <c r="F88" s="5">
        <v>3.04E-2</v>
      </c>
      <c r="G88" s="5">
        <v>3.226</v>
      </c>
      <c r="H88" s="5">
        <v>13.39</v>
      </c>
      <c r="I88" s="5">
        <v>5.0500000000000003E-2</v>
      </c>
      <c r="J88" s="5">
        <v>6.9119999999999999</v>
      </c>
      <c r="K88" s="5">
        <v>2.3690000000000002</v>
      </c>
      <c r="L88" s="5">
        <v>5.8700000000000002E-3</v>
      </c>
      <c r="M88" s="5">
        <v>1.9</v>
      </c>
      <c r="N88" s="5">
        <v>3.6799999999999999E-2</v>
      </c>
      <c r="O88" s="5">
        <v>6.6459999999999999</v>
      </c>
      <c r="P88" s="5"/>
      <c r="Q88" s="5">
        <v>391</v>
      </c>
      <c r="R88" s="5">
        <v>2.0299999999999999E-2</v>
      </c>
      <c r="S88" s="5">
        <v>664.3</v>
      </c>
      <c r="T88" s="18">
        <f t="shared" si="3"/>
        <v>163</v>
      </c>
      <c r="U88" s="2">
        <f t="shared" ref="U88:AH88" si="85">IF(OR(F88=0,F88&lt;0.00001,F88&gt;100000),"",IF((IF(F88&gt;F$5,ABS(LOG(((F$5/SUM($F88:$S88))/(F$4/SUM($F$4:$S$4)))*4+2,2)),ABS(LOG(((F88/SUM($F88:$S88))/(F$4/SUM($F$4:$S$4)))*4+2,2)))-3)&gt;8,(IF(F88&gt;F$5,ABS(LOG(((F$5/SUM($F88:$S88))/(F$4/SUM($F$4:$S$4)))*4+2,2)),ABS(LOG(((F88/SUM($F88:$S88))/(F$4/SUM($F$4:$S$4)))*4+2,2)))-3)/7,IF(F88&gt;F$5,ABS(LOG(((F$5/SUM($F88:$S88))/(F$4/SUM($F$4:$S$4)))*4+2,2)),ABS(LOG(((F88/SUM($F88:$S88))/(F$4/SUM($F$4:$S$4)))*4+2,2)))-3))</f>
        <v>-1.7057515670005003</v>
      </c>
      <c r="V88" s="2">
        <f t="shared" si="85"/>
        <v>1.0879331533974348</v>
      </c>
      <c r="W88" s="2">
        <f t="shared" si="85"/>
        <v>4.6532382387226985</v>
      </c>
      <c r="X88" s="2">
        <f t="shared" si="85"/>
        <v>-1.9337667562585883</v>
      </c>
      <c r="Y88" s="2">
        <f t="shared" si="85"/>
        <v>1.0258457233742444</v>
      </c>
      <c r="Z88" s="2">
        <f t="shared" si="85"/>
        <v>6.0425869261690544</v>
      </c>
      <c r="AA88" s="2">
        <f t="shared" si="85"/>
        <v>-1.9688262243793844</v>
      </c>
      <c r="AB88" s="2">
        <f t="shared" si="85"/>
        <v>0.23913873405565766</v>
      </c>
      <c r="AC88" s="2">
        <f t="shared" si="85"/>
        <v>-1.8882315222729866</v>
      </c>
      <c r="AD88" s="2">
        <f t="shared" si="85"/>
        <v>-1.1931255095134128</v>
      </c>
      <c r="AE88" s="2" t="str">
        <f t="shared" si="85"/>
        <v/>
      </c>
      <c r="AF88" s="2">
        <f t="shared" si="85"/>
        <v>-0.66910093692310735</v>
      </c>
      <c r="AG88" s="2">
        <f t="shared" si="85"/>
        <v>-1.9990096102218866</v>
      </c>
      <c r="AH88" s="2">
        <f t="shared" si="85"/>
        <v>-5.8392476204607302E-2</v>
      </c>
      <c r="AI88" s="18">
        <f t="shared" si="5"/>
        <v>163</v>
      </c>
      <c r="AJ88" s="2">
        <f t="shared" si="6"/>
        <v>2.1416299185524297</v>
      </c>
    </row>
    <row r="89" spans="1:36" ht="10.5" customHeight="1" x14ac:dyDescent="0.25">
      <c r="A89" s="17">
        <v>81</v>
      </c>
      <c r="B89" s="2">
        <f t="shared" si="2"/>
        <v>0.94312345060077152</v>
      </c>
      <c r="C89" s="4">
        <v>1</v>
      </c>
      <c r="D89" s="4">
        <v>26.433072545239</v>
      </c>
      <c r="E89" s="18">
        <v>166</v>
      </c>
      <c r="F89" s="5">
        <v>0.85580000000000001</v>
      </c>
      <c r="G89" s="5">
        <v>6.3200000000000001E-3</v>
      </c>
      <c r="H89" s="5">
        <v>1.2549999999999999</v>
      </c>
      <c r="I89" s="5">
        <v>1.99</v>
      </c>
      <c r="J89" s="5">
        <v>1.998</v>
      </c>
      <c r="K89" s="5">
        <v>1.675</v>
      </c>
      <c r="L89" s="5">
        <v>0.46489999999999998</v>
      </c>
      <c r="M89" s="5">
        <v>0.67300000000000004</v>
      </c>
      <c r="N89" s="5">
        <v>3.4299999999999999E-4</v>
      </c>
      <c r="O89" s="5">
        <v>11.87</v>
      </c>
      <c r="P89" s="5">
        <v>5.8299999999999997E-4</v>
      </c>
      <c r="Q89" s="5">
        <v>396.6</v>
      </c>
      <c r="R89" s="5">
        <v>0.55120000000000002</v>
      </c>
      <c r="S89" s="5">
        <v>1022</v>
      </c>
      <c r="T89" s="18">
        <f t="shared" si="3"/>
        <v>166</v>
      </c>
      <c r="U89" s="2">
        <f t="shared" ref="U89:AH89" si="86">IF(OR(F89=0,F89&lt;0.00001,F89&gt;100000),"",IF((IF(F89&gt;F$5,ABS(LOG(((F$5/SUM($F89:$S89))/(F$4/SUM($F$4:$S$4)))*4+2,2)),ABS(LOG(((F89/SUM($F89:$S89))/(F$4/SUM($F$4:$S$4)))*4+2,2)))-3)&gt;8,(IF(F89&gt;F$5,ABS(LOG(((F$5/SUM($F89:$S89))/(F$4/SUM($F$4:$S$4)))*4+2,2)),ABS(LOG(((F89/SUM($F89:$S89))/(F$4/SUM($F$4:$S$4)))*4+2,2)))-3)/7,IF(F89&gt;F$5,ABS(LOG(((F$5/SUM($F89:$S89))/(F$4/SUM($F$4:$S$4)))*4+2,2)),ABS(LOG(((F89/SUM($F89:$S89))/(F$4/SUM($F$4:$S$4)))*4+2,2)))-3))</f>
        <v>0.54121051114515417</v>
      </c>
      <c r="V89" s="2">
        <f t="shared" si="86"/>
        <v>-1.9840382226798103</v>
      </c>
      <c r="W89" s="2">
        <f t="shared" si="86"/>
        <v>1.0124773571850954</v>
      </c>
      <c r="X89" s="2">
        <f t="shared" si="86"/>
        <v>-0.7362303310987901</v>
      </c>
      <c r="Y89" s="2">
        <f t="shared" si="86"/>
        <v>-0.6420686312428332</v>
      </c>
      <c r="Z89" s="2">
        <f t="shared" si="86"/>
        <v>5.6425127904329972</v>
      </c>
      <c r="AA89" s="2">
        <f t="shared" si="86"/>
        <v>-0.79247905123894302</v>
      </c>
      <c r="AB89" s="2">
        <f t="shared" si="86"/>
        <v>-1.0017001922745614</v>
      </c>
      <c r="AC89" s="2">
        <f t="shared" si="86"/>
        <v>-1.9991803835197017</v>
      </c>
      <c r="AD89" s="2">
        <f t="shared" si="86"/>
        <v>-0.99058320212642892</v>
      </c>
      <c r="AE89" s="2">
        <f t="shared" si="86"/>
        <v>-1.9999999898415168</v>
      </c>
      <c r="AF89" s="2">
        <f t="shared" si="86"/>
        <v>-0.88658034800079877</v>
      </c>
      <c r="AG89" s="2">
        <f t="shared" si="86"/>
        <v>-1.9797810513814074</v>
      </c>
      <c r="AH89" s="2">
        <f t="shared" si="86"/>
        <v>0.10722348677551441</v>
      </c>
      <c r="AI89" s="18">
        <f t="shared" si="5"/>
        <v>166</v>
      </c>
      <c r="AJ89" s="2">
        <f t="shared" si="6"/>
        <v>1</v>
      </c>
    </row>
    <row r="90" spans="1:36" ht="10.5" customHeight="1" x14ac:dyDescent="0.25">
      <c r="A90" s="17">
        <v>82</v>
      </c>
      <c r="B90" s="2" t="str">
        <f t="shared" si="2"/>
        <v/>
      </c>
      <c r="C90" s="4">
        <v>1</v>
      </c>
      <c r="D90" s="4">
        <v>26.838979559462949</v>
      </c>
      <c r="E90" s="18">
        <v>169</v>
      </c>
      <c r="F90" s="5">
        <v>4.2698</v>
      </c>
      <c r="G90" s="5">
        <v>0.39954999999999996</v>
      </c>
      <c r="H90" s="5">
        <v>161.31729999999999</v>
      </c>
      <c r="I90" s="5">
        <v>0.68064999999999998</v>
      </c>
      <c r="J90" s="5">
        <v>66.951449999999994</v>
      </c>
      <c r="K90" s="5">
        <v>33.935200000000002</v>
      </c>
      <c r="L90" s="5">
        <v>2.2524999999999999</v>
      </c>
      <c r="M90" s="5">
        <v>112.7814</v>
      </c>
      <c r="N90" s="5">
        <v>101.4579</v>
      </c>
      <c r="O90" s="5">
        <v>10.90995</v>
      </c>
      <c r="P90" s="5">
        <v>8.0999999999999996E-4</v>
      </c>
      <c r="Q90" s="5">
        <v>10708.77</v>
      </c>
      <c r="R90" s="5">
        <v>1.0084499999999998</v>
      </c>
      <c r="S90" s="5">
        <v>1672.675</v>
      </c>
      <c r="T90" s="18">
        <f t="shared" si="3"/>
        <v>169</v>
      </c>
      <c r="U90" s="2">
        <f t="shared" ref="U90:AH90" si="87">IF(OR(F90=0,F90&lt;0.00001,F90&gt;100000),"",IF((IF(F90&gt;F$5,ABS(LOG(((F$5/SUM($F90:$S90))/(F$4/SUM($F$4:$S$4)))*4+2,2)),ABS(LOG(((F90/SUM($F90:$S90))/(F$4/SUM($F$4:$S$4)))*4+2,2)))-3)&gt;8,(IF(F90&gt;F$5,ABS(LOG(((F$5/SUM($F90:$S90))/(F$4/SUM($F$4:$S$4)))*4+2,2)),ABS(LOG(((F90/SUM($F90:$S90))/(F$4/SUM($F$4:$S$4)))*4+2,2)))-3)/7,IF(F90&gt;F$5,ABS(LOG(((F$5/SUM($F90:$S90))/(F$4/SUM($F$4:$S$4)))*4+2,2)),ABS(LOG(((F90/SUM($F90:$S90))/(F$4/SUM($F$4:$S$4)))*4+2,2)))-3))</f>
        <v>-0.82382597866202456</v>
      </c>
      <c r="V90" s="2">
        <f t="shared" si="87"/>
        <v>-1.8907773847716494</v>
      </c>
      <c r="W90" s="2">
        <f t="shared" si="87"/>
        <v>2.7112382726706867</v>
      </c>
      <c r="X90" s="2">
        <f t="shared" si="87"/>
        <v>-1.92468469626934</v>
      </c>
      <c r="Y90" s="2">
        <f t="shared" si="87"/>
        <v>0.77761297846905109</v>
      </c>
      <c r="Z90" s="2">
        <f t="shared" si="87"/>
        <v>2.5379906673622727</v>
      </c>
      <c r="AA90" s="2">
        <f t="shared" si="87"/>
        <v>-1.2265046664870292</v>
      </c>
      <c r="AB90" s="2">
        <f t="shared" si="87"/>
        <v>0.57839882418088528</v>
      </c>
      <c r="AC90" s="2">
        <f t="shared" si="87"/>
        <v>2.3071425446885785</v>
      </c>
      <c r="AD90" s="2">
        <f t="shared" si="87"/>
        <v>-1.85710148853798</v>
      </c>
      <c r="AE90" s="2">
        <f t="shared" si="87"/>
        <v>-1.9999999988640877</v>
      </c>
      <c r="AF90" s="2">
        <f t="shared" si="87"/>
        <v>0.17413963745258609</v>
      </c>
      <c r="AG90" s="2">
        <f t="shared" si="87"/>
        <v>-1.9958405084998803</v>
      </c>
      <c r="AH90" s="2">
        <f t="shared" si="87"/>
        <v>-1.3169668121022557</v>
      </c>
      <c r="AI90" s="18">
        <f t="shared" si="5"/>
        <v>169</v>
      </c>
      <c r="AJ90" s="2">
        <f t="shared" si="6"/>
        <v>1</v>
      </c>
    </row>
    <row r="91" spans="1:36" ht="10.5" customHeight="1" x14ac:dyDescent="0.25">
      <c r="A91" s="17">
        <v>83</v>
      </c>
      <c r="B91" s="2">
        <f t="shared" si="2"/>
        <v>1.4367176087559243E-2</v>
      </c>
      <c r="C91" s="4">
        <v>1</v>
      </c>
      <c r="D91" s="4">
        <v>28.118589244916301</v>
      </c>
      <c r="E91" s="18">
        <v>172</v>
      </c>
      <c r="F91" s="5">
        <v>1.2013499999999999</v>
      </c>
      <c r="G91" s="5">
        <v>1.6964999999999999</v>
      </c>
      <c r="H91" s="5">
        <v>43.33</v>
      </c>
      <c r="I91" s="5">
        <v>22.606450000000002</v>
      </c>
      <c r="J91" s="5">
        <v>39.816250000000004</v>
      </c>
      <c r="K91" s="5">
        <v>19.375</v>
      </c>
      <c r="L91" s="5">
        <v>3.0304999999999999E-2</v>
      </c>
      <c r="M91" s="5">
        <v>11.510505</v>
      </c>
      <c r="N91" s="5">
        <v>5.6910000000000002E-2</v>
      </c>
      <c r="O91" s="5">
        <v>17.474599999999999</v>
      </c>
      <c r="P91" s="5">
        <v>399.25001985</v>
      </c>
      <c r="Q91" s="5">
        <v>608.54099999999994</v>
      </c>
      <c r="R91" s="5">
        <v>15.792249999999999</v>
      </c>
      <c r="S91" s="5">
        <v>3134.2188000000001</v>
      </c>
      <c r="T91" s="18">
        <f t="shared" si="3"/>
        <v>172</v>
      </c>
      <c r="U91" s="2">
        <f t="shared" ref="U91:AH91" si="88">IF(OR(F91=0,F91&lt;0.00001,F91&gt;100000),"",IF((IF(F91&gt;F$5,ABS(LOG(((F$5/SUM($F91:$S91))/(F$4/SUM($F$4:$S$4)))*4+2,2)),ABS(LOG(((F91/SUM($F91:$S91))/(F$4/SUM($F$4:$S$4)))*4+2,2)))-3)&gt;8,(IF(F91&gt;F$5,ABS(LOG(((F$5/SUM($F91:$S91))/(F$4/SUM($F$4:$S$4)))*4+2,2)),ABS(LOG(((F91/SUM($F91:$S91))/(F$4/SUM($F$4:$S$4)))*4+2,2)))-3)/7,IF(F91&gt;F$5,ABS(LOG(((F$5/SUM($F91:$S91))/(F$4/SUM($F$4:$S$4)))*4+2,2)),ABS(LOG(((F91/SUM($F91:$S91))/(F$4/SUM($F$4:$S$4)))*4+2,2)))-3))</f>
        <v>-0.29586688112576187</v>
      </c>
      <c r="V91" s="2">
        <f t="shared" si="88"/>
        <v>-1.0024529696468025</v>
      </c>
      <c r="W91" s="2">
        <f t="shared" si="88"/>
        <v>4.2515885250113614</v>
      </c>
      <c r="X91" s="2">
        <f t="shared" si="88"/>
        <v>0.65810373819480628</v>
      </c>
      <c r="Y91" s="2">
        <f t="shared" si="88"/>
        <v>1.5103938288007637</v>
      </c>
      <c r="Z91" s="2">
        <f t="shared" si="88"/>
        <v>4.0735387022153393</v>
      </c>
      <c r="AA91" s="2">
        <f t="shared" si="88"/>
        <v>-1.9594805267512725</v>
      </c>
      <c r="AB91" s="2">
        <f t="shared" si="88"/>
        <v>0.7429005948317764</v>
      </c>
      <c r="AC91" s="2">
        <f t="shared" si="88"/>
        <v>-1.9553051365662741</v>
      </c>
      <c r="AD91" s="2">
        <f t="shared" si="88"/>
        <v>-1.4172362179353966</v>
      </c>
      <c r="AE91" s="2">
        <f t="shared" si="88"/>
        <v>-1.9999999966099775</v>
      </c>
      <c r="AF91" s="2">
        <f t="shared" si="88"/>
        <v>-1.3257125358215907</v>
      </c>
      <c r="AG91" s="2">
        <f t="shared" si="88"/>
        <v>-1.817384505229743</v>
      </c>
      <c r="AH91" s="2">
        <f t="shared" si="88"/>
        <v>0.13293435809930543</v>
      </c>
      <c r="AI91" s="18">
        <f t="shared" si="5"/>
        <v>172</v>
      </c>
      <c r="AJ91" s="2">
        <f t="shared" si="6"/>
        <v>2.1118589244916302</v>
      </c>
    </row>
    <row r="92" spans="1:36" ht="10.5" customHeight="1" x14ac:dyDescent="0.25">
      <c r="A92" s="17">
        <v>84</v>
      </c>
      <c r="B92" s="2">
        <f t="shared" si="2"/>
        <v>4.8497920154017243E-2</v>
      </c>
      <c r="C92" s="4">
        <v>1</v>
      </c>
      <c r="D92" s="4">
        <v>27.505404769569452</v>
      </c>
      <c r="E92" s="18">
        <v>175</v>
      </c>
      <c r="F92" s="5">
        <v>2.2495000000000001E-2</v>
      </c>
      <c r="G92" s="5">
        <v>1.7121599999999999</v>
      </c>
      <c r="H92" s="5">
        <v>27.752450000000003</v>
      </c>
      <c r="I92" s="5">
        <v>9.1199999999999992</v>
      </c>
      <c r="J92" s="5">
        <v>32.402149999999999</v>
      </c>
      <c r="K92" s="5">
        <v>6.2622499999999999</v>
      </c>
      <c r="L92" s="5">
        <v>12.171999999999999</v>
      </c>
      <c r="M92" s="5">
        <v>8.8051499999999994</v>
      </c>
      <c r="N92" s="5">
        <v>1.4450000000000001E-3</v>
      </c>
      <c r="O92" s="5">
        <v>6.7780000000000005</v>
      </c>
      <c r="P92" s="5">
        <v>62.100063999999996</v>
      </c>
      <c r="Q92" s="5">
        <v>288.37</v>
      </c>
      <c r="R92" s="5">
        <v>8.6049999999999988E-2</v>
      </c>
      <c r="S92" s="5">
        <v>1914.6200000000001</v>
      </c>
      <c r="T92" s="18">
        <f t="shared" si="3"/>
        <v>175</v>
      </c>
      <c r="U92" s="2">
        <f t="shared" ref="U92:AH92" si="89">IF(OR(F92=0,F92&lt;0.00001,F92&gt;100000),"",IF((IF(F92&gt;F$5,ABS(LOG(((F$5/SUM($F92:$S92))/(F$4/SUM($F$4:$S$4)))*4+2,2)),ABS(LOG(((F92/SUM($F92:$S92))/(F$4/SUM($F$4:$S$4)))*4+2,2)))-3)&gt;8,(IF(F92&gt;F$5,ABS(LOG(((F$5/SUM($F92:$S92))/(F$4/SUM($F$4:$S$4)))*4+2,2)),ABS(LOG(((F92/SUM($F92:$S92))/(F$4/SUM($F$4:$S$4)))*4+2,2)))-3)/7,IF(F92&gt;F$5,ABS(LOG(((F$5/SUM($F92:$S92))/(F$4/SUM($F$4:$S$4)))*4+2,2)),ABS(LOG(((F92/SUM($F92:$S92))/(F$4/SUM($F$4:$S$4)))*4+2,2)))-3))</f>
        <v>-1.8930059114644755</v>
      </c>
      <c r="V92" s="2">
        <f t="shared" si="89"/>
        <v>-0.49866889449402985</v>
      </c>
      <c r="W92" s="2">
        <f t="shared" si="89"/>
        <v>4.5845703517100347</v>
      </c>
      <c r="X92" s="2">
        <f t="shared" si="89"/>
        <v>0.29316045792492407</v>
      </c>
      <c r="Y92" s="2">
        <f t="shared" si="89"/>
        <v>2.0356975142623854</v>
      </c>
      <c r="Z92" s="2">
        <f t="shared" si="89"/>
        <v>4.9281673056188282</v>
      </c>
      <c r="AA92" s="2">
        <f t="shared" si="89"/>
        <v>2.4480679909527314</v>
      </c>
      <c r="AB92" s="2">
        <f t="shared" si="89"/>
        <v>1.158609908186075</v>
      </c>
      <c r="AC92" s="2">
        <f t="shared" si="89"/>
        <v>-1.9979032298734305</v>
      </c>
      <c r="AD92" s="2">
        <f t="shared" si="89"/>
        <v>-1.5654943973118074</v>
      </c>
      <c r="AE92" s="2">
        <f t="shared" si="89"/>
        <v>-1.9999999938285453</v>
      </c>
      <c r="AF92" s="2">
        <f t="shared" si="89"/>
        <v>-1.4016475219497204</v>
      </c>
      <c r="AG92" s="2">
        <f t="shared" si="89"/>
        <v>-1.9980701870356905</v>
      </c>
      <c r="AH92" s="2">
        <f t="shared" si="89"/>
        <v>0.25266348832535224</v>
      </c>
      <c r="AI92" s="18">
        <f t="shared" si="5"/>
        <v>175</v>
      </c>
      <c r="AJ92" s="2">
        <f t="shared" si="6"/>
        <v>2.0505404769569453</v>
      </c>
    </row>
    <row r="93" spans="1:36" ht="10.5" customHeight="1" x14ac:dyDescent="0.25">
      <c r="A93" s="17">
        <v>85</v>
      </c>
      <c r="B93" s="2">
        <f t="shared" si="2"/>
        <v>2.6111480149619532E-4</v>
      </c>
      <c r="C93" s="4">
        <v>1</v>
      </c>
      <c r="D93" s="4">
        <v>30.415832751684601</v>
      </c>
      <c r="E93" s="18">
        <v>178</v>
      </c>
      <c r="F93" s="5">
        <v>0.12683999999999998</v>
      </c>
      <c r="G93" s="5">
        <v>0.75015000000000009</v>
      </c>
      <c r="H93" s="5">
        <v>415.4</v>
      </c>
      <c r="I93" s="5">
        <v>64.099999999999994</v>
      </c>
      <c r="J93" s="5">
        <v>967.23200000000008</v>
      </c>
      <c r="K93" s="5">
        <v>55.268000000000001</v>
      </c>
      <c r="L93" s="5">
        <v>362.81149999999997</v>
      </c>
      <c r="M93" s="5">
        <v>99.742499999999993</v>
      </c>
      <c r="N93" s="5">
        <v>0.51515</v>
      </c>
      <c r="O93" s="5">
        <v>23.370999999999999</v>
      </c>
      <c r="P93" s="5">
        <v>1.4450000000000001E-3</v>
      </c>
      <c r="Q93" s="5">
        <v>2335.165</v>
      </c>
      <c r="R93" s="5">
        <v>0.45800000000000002</v>
      </c>
      <c r="S93" s="5">
        <v>1685.8500000000001</v>
      </c>
      <c r="T93" s="18">
        <f t="shared" si="3"/>
        <v>178</v>
      </c>
      <c r="U93" s="2">
        <f t="shared" ref="U93:AH93" si="90">IF(OR(F93=0,F93&lt;0.00001,F93&gt;100000),"",IF((IF(F93&gt;F$5,ABS(LOG(((F$5/SUM($F93:$S93))/(F$4/SUM($F$4:$S$4)))*4+2,2)),ABS(LOG(((F93/SUM($F93:$S93))/(F$4/SUM($F$4:$S$4)))*4+2,2)))-3)&gt;8,(IF(F93&gt;F$5,ABS(LOG(((F$5/SUM($F93:$S93))/(F$4/SUM($F$4:$S$4)))*4+2,2)),ABS(LOG(((F93/SUM($F93:$S93))/(F$4/SUM($F$4:$S$4)))*4+2,2)))-3)/7,IF(F93&gt;F$5,ABS(LOG(((F$5/SUM($F93:$S93))/(F$4/SUM($F$4:$S$4)))*4+2,2)),ABS(LOG(((F93/SUM($F93:$S93))/(F$4/SUM($F$4:$S$4)))*4+2,2)))-3))</f>
        <v>-1.7720564562448358</v>
      </c>
      <c r="V93" s="2">
        <f t="shared" si="90"/>
        <v>-1.6034669432144184</v>
      </c>
      <c r="W93" s="2">
        <f t="shared" si="90"/>
        <v>3.7807834448255457</v>
      </c>
      <c r="X93" s="2">
        <f t="shared" si="90"/>
        <v>1.5622393933876531</v>
      </c>
      <c r="Y93" s="2">
        <f t="shared" si="90"/>
        <v>5.5100301355555956</v>
      </c>
      <c r="Z93" s="2">
        <f t="shared" si="90"/>
        <v>3.6037058031360374</v>
      </c>
      <c r="AA93" s="2">
        <f t="shared" si="90"/>
        <v>5.668300926575748</v>
      </c>
      <c r="AB93" s="2">
        <f t="shared" si="90"/>
        <v>1.5426987891760362</v>
      </c>
      <c r="AC93" s="2">
        <f t="shared" si="90"/>
        <v>-1.7316115370308891</v>
      </c>
      <c r="AD93" s="2">
        <f t="shared" si="90"/>
        <v>-1.4365013893597049</v>
      </c>
      <c r="AE93" s="2">
        <f t="shared" si="90"/>
        <v>-1.9999999975664424</v>
      </c>
      <c r="AF93" s="2">
        <f t="shared" si="90"/>
        <v>-0.59878184998645434</v>
      </c>
      <c r="AG93" s="2">
        <f t="shared" si="90"/>
        <v>-1.9959527028052877</v>
      </c>
      <c r="AH93" s="2">
        <f t="shared" si="90"/>
        <v>-0.79369746295091437</v>
      </c>
      <c r="AI93" s="18">
        <f t="shared" si="5"/>
        <v>178</v>
      </c>
      <c r="AJ93" s="2">
        <f t="shared" si="6"/>
        <v>4.1252151778902597</v>
      </c>
    </row>
    <row r="94" spans="1:36" ht="10.5" customHeight="1" x14ac:dyDescent="0.25">
      <c r="A94" s="17">
        <v>86</v>
      </c>
      <c r="B94" s="2">
        <f t="shared" si="2"/>
        <v>3.6818757845629775</v>
      </c>
      <c r="C94" s="4">
        <v>1</v>
      </c>
      <c r="D94" s="4">
        <v>25.502866080840199</v>
      </c>
      <c r="E94" s="18">
        <v>181</v>
      </c>
      <c r="F94" s="5">
        <v>4.2900000000000004E-3</v>
      </c>
      <c r="G94" s="5">
        <v>0.56240000000000001</v>
      </c>
      <c r="H94" s="5"/>
      <c r="I94" s="5">
        <v>1.6379999999999999</v>
      </c>
      <c r="J94" s="5">
        <v>1.486</v>
      </c>
      <c r="K94" s="5"/>
      <c r="L94" s="5">
        <v>0.84130000000000005</v>
      </c>
      <c r="M94" s="5">
        <v>0.16550000000000001</v>
      </c>
      <c r="N94" s="5">
        <v>1.78E-2</v>
      </c>
      <c r="O94" s="5">
        <v>0.97599999999999998</v>
      </c>
      <c r="P94" s="5">
        <v>2.4899999999999999E-2</v>
      </c>
      <c r="Q94" s="5">
        <v>9.15</v>
      </c>
      <c r="R94" s="5">
        <v>6.3899999999999995E-5</v>
      </c>
      <c r="S94" s="5">
        <v>2.8210000000000002</v>
      </c>
      <c r="T94" s="18">
        <f t="shared" si="3"/>
        <v>181</v>
      </c>
      <c r="U94" s="2">
        <f t="shared" ref="U94:AH94" si="91">IF(OR(F94=0,F94&lt;0.00001,F94&gt;100000),"",IF((IF(F94&gt;F$5,ABS(LOG(((F$5/SUM($F94:$S94))/(F$4/SUM($F$4:$S$4)))*4+2,2)),ABS(LOG(((F94/SUM($F94:$S94))/(F$4/SUM($F$4:$S$4)))*4+2,2)))-3)&gt;8,(IF(F94&gt;F$5,ABS(LOG(((F$5/SUM($F94:$S94))/(F$4/SUM($F$4:$S$4)))*4+2,2)),ABS(LOG(((F94/SUM($F94:$S94))/(F$4/SUM($F$4:$S$4)))*4+2,2)))-3)/7,IF(F94&gt;F$5,ABS(LOG(((F$5/SUM($F94:$S94))/(F$4/SUM($F$4:$S$4)))*4+2,2)),ABS(LOG(((F94/SUM($F94:$S94))/(F$4/SUM($F$4:$S$4)))*4+2,2)))-3))</f>
        <v>-0.43081607968204416</v>
      </c>
      <c r="V94" s="2">
        <f t="shared" si="91"/>
        <v>4.3504599483829116</v>
      </c>
      <c r="W94" s="2" t="str">
        <f t="shared" si="91"/>
        <v/>
      </c>
      <c r="X94" s="2">
        <f t="shared" si="91"/>
        <v>4.568292331110321</v>
      </c>
      <c r="Y94" s="2">
        <f t="shared" si="91"/>
        <v>4.5796734568735111</v>
      </c>
      <c r="Z94" s="2" t="str">
        <f t="shared" si="91"/>
        <v/>
      </c>
      <c r="AA94" s="2">
        <f t="shared" si="91"/>
        <v>5.599225195859324</v>
      </c>
      <c r="AB94" s="2">
        <f t="shared" si="91"/>
        <v>2.3904595649634741</v>
      </c>
      <c r="AC94" s="2">
        <f t="shared" si="91"/>
        <v>-0.2340943088428511</v>
      </c>
      <c r="AD94" s="2">
        <f t="shared" si="91"/>
        <v>0.96007276570651712</v>
      </c>
      <c r="AE94" s="2">
        <f t="shared" si="91"/>
        <v>-1.9999991729861777</v>
      </c>
      <c r="AF94" s="2">
        <f t="shared" si="91"/>
        <v>-0.32848609888805846</v>
      </c>
      <c r="AG94" s="2">
        <f t="shared" si="91"/>
        <v>-1.999807844803138</v>
      </c>
      <c r="AH94" s="2">
        <f t="shared" si="91"/>
        <v>-1.1980119277500656</v>
      </c>
      <c r="AI94" s="18">
        <f t="shared" si="5"/>
        <v>181</v>
      </c>
      <c r="AJ94" s="2">
        <f t="shared" si="6"/>
        <v>1</v>
      </c>
    </row>
    <row r="95" spans="1:36" ht="10.5" customHeight="1" x14ac:dyDescent="0.25">
      <c r="A95" s="17">
        <v>87</v>
      </c>
      <c r="B95" s="2">
        <f t="shared" si="2"/>
        <v>1.5584199517172534</v>
      </c>
      <c r="C95" s="4">
        <v>1</v>
      </c>
      <c r="D95" s="4">
        <v>28.862100171114498</v>
      </c>
      <c r="E95" s="18">
        <v>183</v>
      </c>
      <c r="F95" s="5">
        <v>9.8700000000000003E-3</v>
      </c>
      <c r="G95" s="5">
        <v>1.9E-2</v>
      </c>
      <c r="H95" s="5">
        <v>8.7210000000000001</v>
      </c>
      <c r="I95" s="5">
        <v>3.0779999999999998</v>
      </c>
      <c r="J95" s="5">
        <v>8.9870000000000001</v>
      </c>
      <c r="K95" s="5">
        <v>1.778</v>
      </c>
      <c r="L95" s="5">
        <v>4.5910000000000002</v>
      </c>
      <c r="M95" s="5">
        <v>0.45829999999999999</v>
      </c>
      <c r="N95" s="5">
        <v>1.6400000000000001E-2</v>
      </c>
      <c r="O95" s="5">
        <v>4.2069999999999999</v>
      </c>
      <c r="P95" s="5">
        <v>2.7919999999999998</v>
      </c>
      <c r="Q95" s="5">
        <v>1.2430000000000001</v>
      </c>
      <c r="R95" s="5">
        <v>3.3E-4</v>
      </c>
      <c r="S95" s="5">
        <v>8896</v>
      </c>
      <c r="T95" s="18">
        <f t="shared" si="3"/>
        <v>183</v>
      </c>
      <c r="U95" s="2">
        <f t="shared" ref="U95:AH95" si="92">IF(OR(F95=0,F95&lt;0.00001,F95&gt;100000),"",IF((IF(F95&gt;F$5,ABS(LOG(((F$5/SUM($F95:$S95))/(F$4/SUM($F$4:$S$4)))*4+2,2)),ABS(LOG(((F95/SUM($F95:$S95))/(F$4/SUM($F$4:$S$4)))*4+2,2)))-3)&gt;8,(IF(F95&gt;F$5,ABS(LOG(((F$5/SUM($F95:$S95))/(F$4/SUM($F$4:$S$4)))*4+2,2)),ABS(LOG(((F95/SUM($F95:$S95))/(F$4/SUM($F$4:$S$4)))*4+2,2)))-3)/7,IF(F95&gt;F$5,ABS(LOG(((F$5/SUM($F95:$S95))/(F$4/SUM($F$4:$S$4)))*4+2,2)),ABS(LOG(((F95/SUM($F95:$S95))/(F$4/SUM($F$4:$S$4)))*4+2,2)))-3))</f>
        <v>-1.9871264759893739</v>
      </c>
      <c r="V95" s="2">
        <f t="shared" si="92"/>
        <v>-1.9922419105170206</v>
      </c>
      <c r="W95" s="2">
        <f t="shared" si="92"/>
        <v>1.1570022988139304</v>
      </c>
      <c r="X95" s="2">
        <f t="shared" si="92"/>
        <v>-1.5676814316871894</v>
      </c>
      <c r="Y95" s="2">
        <f t="shared" si="92"/>
        <v>-0.90676804868711214</v>
      </c>
      <c r="Z95" s="2">
        <f t="shared" si="92"/>
        <v>3.0466400573394194</v>
      </c>
      <c r="AA95" s="2">
        <f t="shared" si="92"/>
        <v>-0.37491788709841423</v>
      </c>
      <c r="AB95" s="2">
        <f t="shared" si="92"/>
        <v>-1.8500585288338089</v>
      </c>
      <c r="AC95" s="2">
        <f t="shared" si="92"/>
        <v>-1.9936942772258042</v>
      </c>
      <c r="AD95" s="2">
        <f t="shared" si="92"/>
        <v>-1.9188158517681864</v>
      </c>
      <c r="AE95" s="2">
        <f t="shared" si="92"/>
        <v>-1.9999999983623187</v>
      </c>
      <c r="AF95" s="2">
        <f t="shared" si="92"/>
        <v>-1.9991520667589588</v>
      </c>
      <c r="AG95" s="2">
        <f t="shared" si="92"/>
        <v>-1.9999980347837016</v>
      </c>
      <c r="AH95" s="2">
        <f t="shared" si="92"/>
        <v>0.49643965632898635</v>
      </c>
      <c r="AI95" s="18">
        <f t="shared" si="5"/>
        <v>183</v>
      </c>
      <c r="AJ95" s="2">
        <f t="shared" si="6"/>
        <v>2.18621001711145</v>
      </c>
    </row>
    <row r="96" spans="1:36" ht="10.5" customHeight="1" x14ac:dyDescent="0.25">
      <c r="A96" s="17">
        <v>88</v>
      </c>
      <c r="B96" s="2">
        <f t="shared" si="2"/>
        <v>2.4358779162602948</v>
      </c>
      <c r="C96" s="4">
        <v>1</v>
      </c>
      <c r="D96" s="4">
        <v>24.863115156986801</v>
      </c>
      <c r="E96" s="18">
        <v>185</v>
      </c>
      <c r="F96" s="5">
        <v>0.1293</v>
      </c>
      <c r="G96" s="5">
        <v>6.43E-3</v>
      </c>
      <c r="H96" s="5">
        <v>1.01</v>
      </c>
      <c r="I96" s="5">
        <v>1.254</v>
      </c>
      <c r="J96" s="5">
        <v>1.8580000000000001</v>
      </c>
      <c r="K96" s="5">
        <v>1.5289999999999999</v>
      </c>
      <c r="L96" s="5">
        <v>6.9599999999999995E-2</v>
      </c>
      <c r="M96" s="5">
        <v>0.49580000000000002</v>
      </c>
      <c r="N96" s="5">
        <v>8.0199999999999994E-3</v>
      </c>
      <c r="O96" s="5">
        <v>0.61339999999999995</v>
      </c>
      <c r="P96" s="5">
        <v>3.0599999999999999E-2</v>
      </c>
      <c r="Q96" s="5">
        <v>16.100000000000001</v>
      </c>
      <c r="R96" s="5">
        <v>1.8100000000000002E-2</v>
      </c>
      <c r="S96" s="5">
        <v>12.46</v>
      </c>
      <c r="T96" s="18">
        <f t="shared" si="3"/>
        <v>185</v>
      </c>
      <c r="U96" s="2">
        <f t="shared" ref="U96:AH96" si="93">IF(OR(F96=0,F96&lt;0.00001,F96&gt;100000),"",IF((IF(F96&gt;F$5,ABS(LOG(((F$5/SUM($F96:$S96))/(F$4/SUM($F$4:$S$4)))*4+2,2)),ABS(LOG(((F96/SUM($F96:$S96))/(F$4/SUM($F$4:$S$4)))*4+2,2)))-3)&gt;8,(IF(F96&gt;F$5,ABS(LOG(((F$5/SUM($F96:$S96))/(F$4/SUM($F$4:$S$4)))*4+2,2)),ABS(LOG(((F96/SUM($F96:$S96))/(F$4/SUM($F$4:$S$4)))*4+2,2)))-3)/7,IF(F96&gt;F$5,ABS(LOG(((F$5/SUM($F96:$S96))/(F$4/SUM($F$4:$S$4)))*4+2,2)),ABS(LOG(((F96/SUM($F96:$S96))/(F$4/SUM($F$4:$S$4)))*4+2,2)))-3))</f>
        <v>2.9295544935470152</v>
      </c>
      <c r="V96" s="2">
        <f t="shared" si="93"/>
        <v>-1.4559562042268124</v>
      </c>
      <c r="W96" s="2">
        <f t="shared" si="93"/>
        <v>5.8532337432367942</v>
      </c>
      <c r="X96" s="2">
        <f t="shared" si="93"/>
        <v>3.1989835398769566</v>
      </c>
      <c r="Y96" s="2">
        <f t="shared" si="93"/>
        <v>3.9026982154801892</v>
      </c>
      <c r="Z96" s="2">
        <f t="shared" si="93"/>
        <v>1.5677372949832102</v>
      </c>
      <c r="AA96" s="2">
        <f t="shared" si="93"/>
        <v>1.1591363067584561</v>
      </c>
      <c r="AB96" s="2">
        <f t="shared" si="93"/>
        <v>2.9421651559955819</v>
      </c>
      <c r="AC96" s="2">
        <f t="shared" si="93"/>
        <v>-1.3792134362974018</v>
      </c>
      <c r="AD96" s="2">
        <f t="shared" si="93"/>
        <v>-0.35908745964511279</v>
      </c>
      <c r="AE96" s="2">
        <f t="shared" si="93"/>
        <v>-1.9999995889072339</v>
      </c>
      <c r="AF96" s="2">
        <f t="shared" si="93"/>
        <v>-0.4582249732732806</v>
      </c>
      <c r="AG96" s="2">
        <f t="shared" si="93"/>
        <v>-1.9731932165104977</v>
      </c>
      <c r="AH96" s="2">
        <f t="shared" si="93"/>
        <v>-0.60362631551926382</v>
      </c>
      <c r="AI96" s="18">
        <f t="shared" si="5"/>
        <v>185</v>
      </c>
      <c r="AJ96" s="2">
        <f t="shared" si="6"/>
        <v>1</v>
      </c>
    </row>
    <row r="97" spans="1:36" ht="10.5" customHeight="1" x14ac:dyDescent="0.25">
      <c r="A97" s="17">
        <v>89</v>
      </c>
      <c r="B97" s="2">
        <f t="shared" si="2"/>
        <v>5.2624763786052826</v>
      </c>
      <c r="C97" s="4">
        <v>1</v>
      </c>
      <c r="D97" s="4">
        <v>25.9205186676441</v>
      </c>
      <c r="E97" s="18">
        <v>188</v>
      </c>
      <c r="F97" s="5">
        <v>6.9400000000000003E-2</v>
      </c>
      <c r="G97" s="5">
        <v>0.6401</v>
      </c>
      <c r="H97" s="5">
        <v>3.74</v>
      </c>
      <c r="I97" s="5">
        <v>3.9649999999999999</v>
      </c>
      <c r="J97" s="5">
        <v>3.867</v>
      </c>
      <c r="K97" s="5">
        <v>2.5350000000000001</v>
      </c>
      <c r="L97" s="5">
        <v>6.9950000000000001</v>
      </c>
      <c r="M97" s="5">
        <v>0.24490000000000001</v>
      </c>
      <c r="N97" s="5">
        <v>1.2749999999999999</v>
      </c>
      <c r="O97" s="5">
        <v>0.92369999999999997</v>
      </c>
      <c r="P97" s="5">
        <v>13.1</v>
      </c>
      <c r="Q97" s="5">
        <v>46.65</v>
      </c>
      <c r="R97" s="5">
        <v>0.83620000000000005</v>
      </c>
      <c r="S97" s="5">
        <v>31.74</v>
      </c>
      <c r="T97" s="18">
        <f t="shared" si="3"/>
        <v>188</v>
      </c>
      <c r="U97" s="2">
        <f t="shared" ref="U97:AH97" si="94">IF(OR(F97=0,F97&lt;0.00001,F97&gt;100000),"",IF((IF(F97&gt;F$5,ABS(LOG(((F$5/SUM($F97:$S97))/(F$4/SUM($F$4:$S$4)))*4+2,2)),ABS(LOG(((F97/SUM($F97:$S97))/(F$4/SUM($F$4:$S$4)))*4+2,2)))-3)&gt;8,(IF(F97&gt;F$5,ABS(LOG(((F$5/SUM($F97:$S97))/(F$4/SUM($F$4:$S$4)))*4+2,2)),ABS(LOG(((F97/SUM($F97:$S97))/(F$4/SUM($F$4:$S$4)))*4+2,2)))-3)/7,IF(F97&gt;F$5,ABS(LOG(((F$5/SUM($F97:$S97))/(F$4/SUM($F$4:$S$4)))*4+2,2)),ABS(LOG(((F97/SUM($F97:$S97))/(F$4/SUM($F$4:$S$4)))*4+2,2)))-3))</f>
        <v>0.54314416138015176</v>
      </c>
      <c r="V97" s="2">
        <f t="shared" si="94"/>
        <v>1.898922950017802</v>
      </c>
      <c r="W97" s="2">
        <f t="shared" si="94"/>
        <v>6.029091060566234</v>
      </c>
      <c r="X97" s="2">
        <f t="shared" si="94"/>
        <v>3.1490819757310042</v>
      </c>
      <c r="Y97" s="2">
        <f t="shared" si="94"/>
        <v>3.261837089130128</v>
      </c>
      <c r="Z97" s="2">
        <f t="shared" si="94"/>
        <v>1.3232089140983121</v>
      </c>
      <c r="AA97" s="2">
        <f t="shared" si="94"/>
        <v>5.9327597375398113</v>
      </c>
      <c r="AB97" s="2">
        <f t="shared" si="94"/>
        <v>0.4552270546084225</v>
      </c>
      <c r="AC97" s="2">
        <f t="shared" si="94"/>
        <v>2.7597430228750923</v>
      </c>
      <c r="AD97" s="2">
        <f t="shared" si="94"/>
        <v>-1.0190617262670003</v>
      </c>
      <c r="AE97" s="2">
        <f t="shared" si="94"/>
        <v>-1.9999998745287022</v>
      </c>
      <c r="AF97" s="2">
        <f t="shared" si="94"/>
        <v>-0.57213591780725048</v>
      </c>
      <c r="AG97" s="2">
        <f t="shared" si="94"/>
        <v>-1.6614873922565636</v>
      </c>
      <c r="AH97" s="2">
        <f t="shared" si="94"/>
        <v>-0.81783951565767365</v>
      </c>
      <c r="AI97" s="18">
        <f t="shared" si="5"/>
        <v>188</v>
      </c>
      <c r="AJ97" s="2">
        <f t="shared" si="6"/>
        <v>1</v>
      </c>
    </row>
    <row r="98" spans="1:36" ht="10.5" customHeight="1" x14ac:dyDescent="0.25">
      <c r="A98" s="17">
        <v>90</v>
      </c>
      <c r="B98" s="2">
        <f t="shared" si="2"/>
        <v>6.9933922621255125</v>
      </c>
      <c r="C98" s="4">
        <v>1</v>
      </c>
      <c r="D98" s="4">
        <v>23.988478598383402</v>
      </c>
      <c r="E98" s="18">
        <v>189</v>
      </c>
      <c r="F98" s="5">
        <v>0.25585000000000002</v>
      </c>
      <c r="G98" s="5">
        <v>1.0721500000000002</v>
      </c>
      <c r="H98" s="5">
        <v>0.84415000000000007</v>
      </c>
      <c r="I98" s="5">
        <v>1.2319500000000001</v>
      </c>
      <c r="J98" s="5">
        <v>6.8975</v>
      </c>
      <c r="K98" s="5">
        <v>8.6750000000000008E-2</v>
      </c>
      <c r="L98" s="5">
        <v>0.45550000000000002</v>
      </c>
      <c r="M98" s="5">
        <v>0.59940000000000004</v>
      </c>
      <c r="N98" s="5">
        <v>0.14848565</v>
      </c>
      <c r="O98" s="5">
        <v>1.3992499999999999</v>
      </c>
      <c r="P98" s="5">
        <v>1.2464999999999999E-4</v>
      </c>
      <c r="Q98" s="5">
        <v>2.7700000000000005</v>
      </c>
      <c r="R98" s="5">
        <v>1.47E-2</v>
      </c>
      <c r="S98" s="5">
        <v>39.424500000000002</v>
      </c>
      <c r="T98" s="18">
        <f t="shared" si="3"/>
        <v>189</v>
      </c>
      <c r="U98" s="2">
        <f t="shared" ref="U98:AH98" si="95">IF(OR(F98=0,F98&lt;0.00001,F98&gt;100000),"",IF((IF(F98&gt;F$5,ABS(LOG(((F$5/SUM($F98:$S98))/(F$4/SUM($F$4:$S$4)))*4+2,2)),ABS(LOG(((F98/SUM($F98:$S98))/(F$4/SUM($F$4:$S$4)))*4+2,2)))-3)&gt;8,(IF(F98&gt;F$5,ABS(LOG(((F$5/SUM($F98:$S98))/(F$4/SUM($F$4:$S$4)))*4+2,2)),ABS(LOG(((F98/SUM($F98:$S98))/(F$4/SUM($F$4:$S$4)))*4+2,2)))-3)/7,IF(F98&gt;F$5,ABS(LOG(((F$5/SUM($F98:$S98))/(F$4/SUM($F$4:$S$4)))*4+2,2)),ABS(LOG(((F98/SUM($F98:$S98))/(F$4/SUM($F$4:$S$4)))*4+2,2)))-3))</f>
        <v>3.2703503494731088</v>
      </c>
      <c r="V98" s="2">
        <f t="shared" si="95"/>
        <v>3.6505521480342944</v>
      </c>
      <c r="W98" s="2">
        <f t="shared" si="95"/>
        <v>4.9662626766392428</v>
      </c>
      <c r="X98" s="2">
        <f t="shared" si="95"/>
        <v>2.5624388357986243</v>
      </c>
      <c r="Y98" s="2">
        <f t="shared" si="95"/>
        <v>5.1473963730854102</v>
      </c>
      <c r="Z98" s="2">
        <f t="shared" si="95"/>
        <v>6.5542791788143653</v>
      </c>
      <c r="AA98" s="2">
        <f t="shared" si="95"/>
        <v>3.1071078101186274</v>
      </c>
      <c r="AB98" s="2">
        <f t="shared" si="95"/>
        <v>2.5956370657097079</v>
      </c>
      <c r="AC98" s="2">
        <f t="shared" si="95"/>
        <v>0.89089543439784435</v>
      </c>
      <c r="AD98" s="2">
        <f t="shared" si="95"/>
        <v>4.0994428512523662E-2</v>
      </c>
      <c r="AE98" s="2">
        <f t="shared" si="95"/>
        <v>-1.9999997350086216</v>
      </c>
      <c r="AF98" s="2">
        <f t="shared" si="95"/>
        <v>-1.7226161633048827</v>
      </c>
      <c r="AG98" s="2">
        <f t="shared" si="95"/>
        <v>-1.9859040921562485</v>
      </c>
      <c r="AH98" s="2">
        <f t="shared" si="95"/>
        <v>0.11416250759647051</v>
      </c>
      <c r="AI98" s="18">
        <f t="shared" si="5"/>
        <v>189</v>
      </c>
      <c r="AJ98" s="2">
        <f t="shared" si="6"/>
        <v>1</v>
      </c>
    </row>
    <row r="99" spans="1:36" ht="10.5" customHeight="1" x14ac:dyDescent="0.25">
      <c r="A99" s="17">
        <v>91</v>
      </c>
      <c r="B99" s="2">
        <f t="shared" si="2"/>
        <v>3.3988106692513762</v>
      </c>
      <c r="C99" s="4">
        <v>1</v>
      </c>
      <c r="D99" s="4">
        <v>25.833798924322501</v>
      </c>
      <c r="E99" s="18">
        <v>197</v>
      </c>
      <c r="F99" s="5">
        <v>0.23119999999999999</v>
      </c>
      <c r="G99" s="5">
        <v>1.117</v>
      </c>
      <c r="H99" s="5">
        <v>1.2889999999999999</v>
      </c>
      <c r="I99" s="5">
        <v>2.077</v>
      </c>
      <c r="J99" s="5">
        <v>0.98409999999999997</v>
      </c>
      <c r="K99" s="5">
        <v>3.157</v>
      </c>
      <c r="L99" s="5">
        <v>4.9630000000000001</v>
      </c>
      <c r="M99" s="5">
        <v>0.3019</v>
      </c>
      <c r="N99" s="5">
        <v>2.2200000000000002E-3</v>
      </c>
      <c r="O99" s="5">
        <v>1.18</v>
      </c>
      <c r="P99" s="5"/>
      <c r="Q99" s="5">
        <v>19.309999999999999</v>
      </c>
      <c r="R99" s="5">
        <v>6.7099999999999998E-3</v>
      </c>
      <c r="S99" s="5">
        <v>104.2</v>
      </c>
      <c r="T99" s="18">
        <f t="shared" si="3"/>
        <v>197</v>
      </c>
      <c r="U99" s="2">
        <f t="shared" ref="U99:AH99" si="96">IF(OR(F99=0,F99&lt;0.00001,F99&gt;100000),"",IF((IF(F99&gt;F$5,ABS(LOG(((F$5/SUM($F99:$S99))/(F$4/SUM($F$4:$S$4)))*4+2,2)),ABS(LOG(((F99/SUM($F99:$S99))/(F$4/SUM($F$4:$S$4)))*4+2,2)))-3)&gt;8,(IF(F99&gt;F$5,ABS(LOG(((F$5/SUM($F99:$S99))/(F$4/SUM($F$4:$S$4)))*4+2,2)),ABS(LOG(((F99/SUM($F99:$S99))/(F$4/SUM($F$4:$S$4)))*4+2,2)))-3)/7,IF(F99&gt;F$5,ABS(LOG(((F$5/SUM($F99:$S99))/(F$4/SUM($F$4:$S$4)))*4+2,2)),ABS(LOG(((F99/SUM($F99:$S99))/(F$4/SUM($F$4:$S$4)))*4+2,2)))-3))</f>
        <v>1.8588887428757461</v>
      </c>
      <c r="V99" s="2">
        <f t="shared" si="96"/>
        <v>2.4192616801205347</v>
      </c>
      <c r="W99" s="2">
        <f t="shared" si="96"/>
        <v>4.2539303817171028</v>
      </c>
      <c r="X99" s="2">
        <f t="shared" si="96"/>
        <v>2.0152488999838729</v>
      </c>
      <c r="Y99" s="2">
        <f t="shared" si="96"/>
        <v>1.167728843268093</v>
      </c>
      <c r="Z99" s="2">
        <f t="shared" si="96"/>
        <v>1.2872434881547259</v>
      </c>
      <c r="AA99" s="2">
        <f t="shared" si="96"/>
        <v>5.1897774134651389</v>
      </c>
      <c r="AB99" s="2">
        <f t="shared" si="96"/>
        <v>0.49624441872349401</v>
      </c>
      <c r="AC99" s="2">
        <f t="shared" si="96"/>
        <v>-1.945982776339227</v>
      </c>
      <c r="AD99" s="2">
        <f t="shared" si="96"/>
        <v>-0.9681347295917142</v>
      </c>
      <c r="AE99" s="2" t="str">
        <f t="shared" si="96"/>
        <v/>
      </c>
      <c r="AF99" s="2">
        <f t="shared" si="96"/>
        <v>-1.3331049608645764</v>
      </c>
      <c r="AG99" s="2">
        <f t="shared" si="96"/>
        <v>-1.9974312188038288</v>
      </c>
      <c r="AH99" s="2">
        <f t="shared" si="96"/>
        <v>0.1696404356743364</v>
      </c>
      <c r="AI99" s="18">
        <f t="shared" si="5"/>
        <v>197</v>
      </c>
      <c r="AJ99" s="2">
        <f t="shared" si="6"/>
        <v>1</v>
      </c>
    </row>
    <row r="100" spans="1:36" ht="10.5" customHeight="1" x14ac:dyDescent="0.25">
      <c r="A100" s="17">
        <v>92</v>
      </c>
      <c r="B100" s="2">
        <f t="shared" si="2"/>
        <v>0.92171936791228315</v>
      </c>
      <c r="C100" s="4">
        <v>1</v>
      </c>
      <c r="D100" s="4">
        <v>30.366027146431598</v>
      </c>
      <c r="E100" s="18">
        <v>199</v>
      </c>
      <c r="F100" s="5">
        <v>1.8799999999999999E-3</v>
      </c>
      <c r="G100" s="5">
        <v>4.3710000000000004</v>
      </c>
      <c r="H100" s="5">
        <v>8.0250000000000004</v>
      </c>
      <c r="I100" s="5"/>
      <c r="J100" s="5">
        <v>17.940000000000001</v>
      </c>
      <c r="K100" s="5"/>
      <c r="L100" s="5">
        <v>5.7919999999999998</v>
      </c>
      <c r="M100" s="5">
        <v>8.5280000000000005</v>
      </c>
      <c r="N100" s="5">
        <v>6.9599999999999995E-2</v>
      </c>
      <c r="O100" s="5">
        <v>22.82</v>
      </c>
      <c r="P100" s="5"/>
      <c r="Q100" s="5">
        <v>52.37</v>
      </c>
      <c r="R100" s="5"/>
      <c r="S100" s="5">
        <v>467.7</v>
      </c>
      <c r="T100" s="18">
        <f t="shared" si="3"/>
        <v>199</v>
      </c>
      <c r="U100" s="2">
        <f t="shared" ref="U100:AH100" si="97">IF(OR(F100=0,F100&lt;0.00001,F100&gt;100000),"",IF((IF(F100&gt;F$5,ABS(LOG(((F$5/SUM($F100:$S100))/(F$4/SUM($F$4:$S$4)))*4+2,2)),ABS(LOG(((F100/SUM($F100:$S100))/(F$4/SUM($F$4:$S$4)))*4+2,2)))-3)&gt;8,(IF(F100&gt;F$5,ABS(LOG(((F$5/SUM($F100:$S100))/(F$4/SUM($F$4:$S$4)))*4+2,2)),ABS(LOG(((F100/SUM($F100:$S100))/(F$4/SUM($F$4:$S$4)))*4+2,2)))-3)/7,IF(F100&gt;F$5,ABS(LOG(((F$5/SUM($F100:$S100))/(F$4/SUM($F$4:$S$4)))*4+2,2)),ABS(LOG(((F100/SUM($F100:$S100))/(F$4/SUM($F$4:$S$4)))*4+2,2)))-3))</f>
        <v>-1.9630383565238909</v>
      </c>
      <c r="V100" s="2">
        <f t="shared" si="97"/>
        <v>2.3114252064024523</v>
      </c>
      <c r="W100" s="2">
        <f t="shared" si="97"/>
        <v>4.8044449353371164</v>
      </c>
      <c r="X100" s="2" t="str">
        <f t="shared" si="97"/>
        <v/>
      </c>
      <c r="Y100" s="2">
        <f t="shared" si="97"/>
        <v>3.1454371060648318</v>
      </c>
      <c r="Z100" s="2" t="str">
        <f t="shared" si="97"/>
        <v/>
      </c>
      <c r="AA100" s="2">
        <f t="shared" si="97"/>
        <v>3.356685427843848</v>
      </c>
      <c r="AB100" s="2">
        <f t="shared" si="97"/>
        <v>2.9990215284073543</v>
      </c>
      <c r="AC100" s="2">
        <f t="shared" si="97"/>
        <v>-1.6409636655618098</v>
      </c>
      <c r="AD100" s="2">
        <f t="shared" si="97"/>
        <v>0.52925068102124362</v>
      </c>
      <c r="AE100" s="2" t="str">
        <f t="shared" si="97"/>
        <v/>
      </c>
      <c r="AF100" s="2">
        <f t="shared" si="97"/>
        <v>-1.5389859320365924</v>
      </c>
      <c r="AG100" s="2" t="str">
        <f t="shared" si="97"/>
        <v/>
      </c>
      <c r="AH100" s="2">
        <f t="shared" si="97"/>
        <v>0.23582716425522721</v>
      </c>
      <c r="AI100" s="18">
        <f t="shared" si="5"/>
        <v>199</v>
      </c>
      <c r="AJ100" s="2">
        <f t="shared" si="6"/>
        <v>4.2180083588000539</v>
      </c>
    </row>
    <row r="101" spans="1:36" ht="10.5" customHeight="1" x14ac:dyDescent="0.25">
      <c r="A101" s="17">
        <v>93</v>
      </c>
      <c r="B101" s="2">
        <f t="shared" si="2"/>
        <v>4.8462933418597975E-2</v>
      </c>
      <c r="C101" s="4">
        <v>1</v>
      </c>
      <c r="D101" s="4">
        <v>18.177333727121098</v>
      </c>
      <c r="E101" s="18">
        <v>201</v>
      </c>
      <c r="F101" s="5">
        <v>4.5300000000000002E-3</v>
      </c>
      <c r="G101" s="5">
        <v>0.1258</v>
      </c>
      <c r="H101" s="5">
        <v>0.12039999999999999</v>
      </c>
      <c r="I101" s="5">
        <v>0.81879999999999997</v>
      </c>
      <c r="J101" s="5">
        <v>9.7799999999999998E-2</v>
      </c>
      <c r="K101" s="5">
        <v>6.3200000000000006E-2</v>
      </c>
      <c r="L101" s="5">
        <v>0.5665</v>
      </c>
      <c r="M101" s="5">
        <v>9.8199999999999996E-2</v>
      </c>
      <c r="N101" s="5">
        <v>2.5500000000000002E-3</v>
      </c>
      <c r="O101" s="5">
        <v>5.67E-2</v>
      </c>
      <c r="P101" s="5">
        <v>3.9300000000000003E-3</v>
      </c>
      <c r="Q101" s="5">
        <v>24.68</v>
      </c>
      <c r="R101" s="5">
        <v>0.12640000000000001</v>
      </c>
      <c r="S101" s="5">
        <v>55.9</v>
      </c>
      <c r="T101" s="18">
        <f t="shared" si="3"/>
        <v>201</v>
      </c>
      <c r="U101" s="2">
        <f t="shared" ref="U101:AH101" si="98">IF(OR(F101=0,F101&lt;0.00001,F101&gt;100000),"",IF((IF(F101&gt;F$5,ABS(LOG(((F$5/SUM($F101:$S101))/(F$4/SUM($F$4:$S$4)))*4+2,2)),ABS(LOG(((F101/SUM($F101:$S101))/(F$4/SUM($F$4:$S$4)))*4+2,2)))-3)&gt;8,(IF(F101&gt;F$5,ABS(LOG(((F$5/SUM($F101:$S101))/(F$4/SUM($F$4:$S$4)))*4+2,2)),ABS(LOG(((F101/SUM($F101:$S101))/(F$4/SUM($F$4:$S$4)))*4+2,2)))-3)/7,IF(F101&gt;F$5,ABS(LOG(((F$5/SUM($F101:$S101))/(F$4/SUM($F$4:$S$4)))*4+2,2)),ABS(LOG(((F101/SUM($F101:$S101))/(F$4/SUM($F$4:$S$4)))*4+2,2)))-3))</f>
        <v>-1.4694354021843672</v>
      </c>
      <c r="V101" s="2">
        <f t="shared" si="98"/>
        <v>0.28019502059115453</v>
      </c>
      <c r="W101" s="2">
        <f t="shared" si="98"/>
        <v>1.6796416383515167</v>
      </c>
      <c r="X101" s="2">
        <f t="shared" si="98"/>
        <v>1.4650374814050995</v>
      </c>
      <c r="Y101" s="2">
        <f t="shared" si="98"/>
        <v>-0.77791943347034165</v>
      </c>
      <c r="Z101" s="2">
        <f t="shared" si="98"/>
        <v>5.5187883985378665</v>
      </c>
      <c r="AA101" s="2">
        <f t="shared" si="98"/>
        <v>2.8476544502373082</v>
      </c>
      <c r="AB101" s="2">
        <f t="shared" si="98"/>
        <v>-0.17800865861523496</v>
      </c>
      <c r="AC101" s="2">
        <f t="shared" si="98"/>
        <v>-1.8975544614164608</v>
      </c>
      <c r="AD101" s="2">
        <f t="shared" si="98"/>
        <v>-1.8832412900564324</v>
      </c>
      <c r="AE101" s="2">
        <f t="shared" si="98"/>
        <v>-1.99999982304917</v>
      </c>
      <c r="AF101" s="2">
        <f t="shared" si="98"/>
        <v>-0.82285943712602805</v>
      </c>
      <c r="AG101" s="2">
        <f t="shared" si="98"/>
        <v>-1.9208768865462333</v>
      </c>
      <c r="AH101" s="2">
        <f t="shared" si="98"/>
        <v>5.3918490400001851E-2</v>
      </c>
      <c r="AI101" s="18">
        <f t="shared" si="5"/>
        <v>201</v>
      </c>
      <c r="AJ101" s="2">
        <f t="shared" si="6"/>
        <v>1</v>
      </c>
    </row>
    <row r="102" spans="1:36" ht="10.5" customHeight="1" x14ac:dyDescent="0.25">
      <c r="A102" s="17">
        <v>94</v>
      </c>
      <c r="B102" s="2" t="str">
        <f t="shared" si="2"/>
        <v/>
      </c>
      <c r="C102" s="4">
        <v>1</v>
      </c>
      <c r="D102" s="4">
        <v>38.319270715211097</v>
      </c>
      <c r="E102" s="18">
        <v>203</v>
      </c>
      <c r="F102" s="5">
        <v>191.5</v>
      </c>
      <c r="G102" s="5">
        <v>0.31190000000000001</v>
      </c>
      <c r="H102" s="5">
        <v>807</v>
      </c>
      <c r="I102" s="5">
        <v>2796</v>
      </c>
      <c r="J102" s="5">
        <v>3868</v>
      </c>
      <c r="K102" s="5">
        <v>1187</v>
      </c>
      <c r="L102" s="5">
        <v>3251</v>
      </c>
      <c r="M102" s="5">
        <v>753</v>
      </c>
      <c r="N102" s="5">
        <v>0.31190000000000001</v>
      </c>
      <c r="O102" s="5">
        <v>10.11</v>
      </c>
      <c r="P102" s="5"/>
      <c r="Q102" s="5">
        <v>2373</v>
      </c>
      <c r="R102" s="5"/>
      <c r="S102" s="5">
        <v>7771</v>
      </c>
      <c r="T102" s="18">
        <f t="shared" si="3"/>
        <v>203</v>
      </c>
      <c r="U102" s="2">
        <f t="shared" ref="U102:AH102" si="99">IF(OR(F102=0,F102&lt;0.00001,F102&gt;100000),"",IF((IF(F102&gt;F$5,ABS(LOG(((F$5/SUM($F102:$S102))/(F$4/SUM($F$4:$S$4)))*4+2,2)),ABS(LOG(((F102/SUM($F102:$S102))/(F$4/SUM($F$4:$S$4)))*4+2,2)))-3)&gt;8,(IF(F102&gt;F$5,ABS(LOG(((F$5/SUM($F102:$S102))/(F$4/SUM($F$4:$S$4)))*4+2,2)),ABS(LOG(((F102/SUM($F102:$S102))/(F$4/SUM($F$4:$S$4)))*4+2,2)))-3)/7,IF(F102&gt;F$5,ABS(LOG(((F$5/SUM($F102:$S102))/(F$4/SUM($F$4:$S$4)))*4+2,2)),ABS(LOG(((F102/SUM($F102:$S102))/(F$4/SUM($F$4:$S$4)))*4+2,2)))-3))</f>
        <v>-1.230164596261254</v>
      </c>
      <c r="V102" s="2">
        <f t="shared" si="99"/>
        <v>-1.9512596551154064</v>
      </c>
      <c r="W102" s="2">
        <f t="shared" si="99"/>
        <v>1.9166204125711888</v>
      </c>
      <c r="X102" s="2">
        <f t="shared" si="99"/>
        <v>0.70230299202483426</v>
      </c>
      <c r="Y102" s="2">
        <f t="shared" si="99"/>
        <v>3.6428043249187336</v>
      </c>
      <c r="Z102" s="2">
        <f t="shared" si="99"/>
        <v>1.7487300236389451</v>
      </c>
      <c r="AA102" s="2">
        <f t="shared" si="99"/>
        <v>3.751695165350883</v>
      </c>
      <c r="AB102" s="2">
        <f t="shared" si="99"/>
        <v>-8.0396102128437619E-2</v>
      </c>
      <c r="AC102" s="2">
        <f t="shared" si="99"/>
        <v>-1.9540816021189533</v>
      </c>
      <c r="AD102" s="2">
        <f t="shared" si="99"/>
        <v>-1.9241219113098837</v>
      </c>
      <c r="AE102" s="2" t="str">
        <f t="shared" si="99"/>
        <v/>
      </c>
      <c r="AF102" s="2">
        <f t="shared" si="99"/>
        <v>-1.478231145041367</v>
      </c>
      <c r="AG102" s="2" t="str">
        <f t="shared" si="99"/>
        <v/>
      </c>
      <c r="AH102" s="2">
        <f t="shared" si="99"/>
        <v>-0.63572710159893964</v>
      </c>
      <c r="AI102" s="18">
        <f t="shared" si="5"/>
        <v>203</v>
      </c>
      <c r="AJ102" s="2">
        <f t="shared" si="6"/>
        <v>1.1534901519078922</v>
      </c>
    </row>
    <row r="103" spans="1:36" ht="10.5" customHeight="1" x14ac:dyDescent="0.25">
      <c r="A103" s="17">
        <v>95</v>
      </c>
      <c r="B103" s="2">
        <f t="shared" si="2"/>
        <v>0.10176070816784413</v>
      </c>
      <c r="C103" s="4">
        <v>1</v>
      </c>
      <c r="D103" s="4">
        <v>26.089526532504799</v>
      </c>
      <c r="E103" s="18">
        <v>204</v>
      </c>
      <c r="F103" s="5">
        <v>2.9000000000000001E-2</v>
      </c>
      <c r="G103" s="5">
        <v>2.7E-2</v>
      </c>
      <c r="H103" s="5">
        <v>71.64</v>
      </c>
      <c r="I103" s="5">
        <v>1.34</v>
      </c>
      <c r="J103" s="5">
        <v>4.6920000000000002</v>
      </c>
      <c r="K103" s="5">
        <v>3.66</v>
      </c>
      <c r="L103" s="5">
        <v>1.952</v>
      </c>
      <c r="M103" s="5">
        <v>0.97409999999999997</v>
      </c>
      <c r="N103" s="5">
        <v>1.1E-4</v>
      </c>
      <c r="O103" s="5">
        <v>1.5289999999999999</v>
      </c>
      <c r="P103" s="5">
        <v>5.31E-4</v>
      </c>
      <c r="Q103" s="5">
        <v>13.92</v>
      </c>
      <c r="R103" s="5">
        <v>6.4900000000000001E-3</v>
      </c>
      <c r="S103" s="5">
        <v>18.79</v>
      </c>
      <c r="T103" s="18">
        <f t="shared" si="3"/>
        <v>204</v>
      </c>
      <c r="U103" s="2">
        <f t="shared" ref="U103:AH103" si="100">IF(OR(F103=0,F103&lt;0.00001,F103&gt;100000),"",IF((IF(F103&gt;F$5,ABS(LOG(((F$5/SUM($F103:$S103))/(F$4/SUM($F$4:$S$4)))*4+2,2)),ABS(LOG(((F103/SUM($F103:$S103))/(F$4/SUM($F$4:$S$4)))*4+2,2)))-3)&gt;8,(IF(F103&gt;F$5,ABS(LOG(((F$5/SUM($F103:$S103))/(F$4/SUM($F$4:$S$4)))*4+2,2)),ABS(LOG(((F103/SUM($F103:$S103))/(F$4/SUM($F$4:$S$4)))*4+2,2)))-3)/7,IF(F103&gt;F$5,ABS(LOG(((F$5/SUM($F103:$S103))/(F$4/SUM($F$4:$S$4)))*4+2,2)),ABS(LOG(((F103/SUM($F103:$S103))/(F$4/SUM($F$4:$S$4)))*4+2,2)))-3))</f>
        <v>-0.42273911466026126</v>
      </c>
      <c r="V103" s="2">
        <f t="shared" si="100"/>
        <v>-1.3425891861315553</v>
      </c>
      <c r="W103" s="2">
        <f t="shared" si="100"/>
        <v>1.3455272256317443</v>
      </c>
      <c r="X103" s="2">
        <f t="shared" si="100"/>
        <v>1.6391707754385498</v>
      </c>
      <c r="Y103" s="2">
        <f t="shared" si="100"/>
        <v>3.5104432462945985</v>
      </c>
      <c r="Z103" s="2">
        <f t="shared" si="100"/>
        <v>1.319741228287955</v>
      </c>
      <c r="AA103" s="2">
        <f t="shared" si="100"/>
        <v>4.0826342878592632</v>
      </c>
      <c r="AB103" s="2">
        <f t="shared" si="100"/>
        <v>2.2123810001532789</v>
      </c>
      <c r="AC103" s="2">
        <f t="shared" si="100"/>
        <v>-1.9968102413324809</v>
      </c>
      <c r="AD103" s="2">
        <f t="shared" si="100"/>
        <v>-0.62986831403965038</v>
      </c>
      <c r="AE103" s="2">
        <f t="shared" si="100"/>
        <v>-1.9999998766229883</v>
      </c>
      <c r="AF103" s="2">
        <f t="shared" si="100"/>
        <v>-1.4188831677329699</v>
      </c>
      <c r="AG103" s="2">
        <f t="shared" si="100"/>
        <v>-1.9970912366937839</v>
      </c>
      <c r="AH103" s="2">
        <f t="shared" si="100"/>
        <v>-1.2019074923178674</v>
      </c>
      <c r="AI103" s="18">
        <f t="shared" si="5"/>
        <v>204</v>
      </c>
      <c r="AJ103" s="2">
        <f t="shared" si="6"/>
        <v>1</v>
      </c>
    </row>
    <row r="104" spans="1:36" ht="10.5" customHeight="1" x14ac:dyDescent="0.25">
      <c r="A104" s="17">
        <v>96</v>
      </c>
      <c r="B104" s="2">
        <f t="shared" si="2"/>
        <v>4.7929394967663158E-2</v>
      </c>
      <c r="C104" s="4">
        <v>1</v>
      </c>
      <c r="D104" s="4">
        <v>21.359434342086001</v>
      </c>
      <c r="E104" s="18">
        <v>206</v>
      </c>
      <c r="F104" s="5">
        <v>2.0799999999999998E-3</v>
      </c>
      <c r="G104" s="5">
        <v>4.8300000000000003E-2</v>
      </c>
      <c r="H104" s="5">
        <v>0.1106</v>
      </c>
      <c r="I104" s="5">
        <v>0.84970000000000001</v>
      </c>
      <c r="J104" s="5">
        <v>1.9279999999999999</v>
      </c>
      <c r="K104" s="5">
        <v>0.1187</v>
      </c>
      <c r="L104" s="5">
        <v>0.33679999999999999</v>
      </c>
      <c r="M104" s="5">
        <v>0.22209999999999999</v>
      </c>
      <c r="N104" s="5">
        <v>4.6600000000000003E-2</v>
      </c>
      <c r="O104" s="5">
        <v>15.1</v>
      </c>
      <c r="P104" s="5">
        <v>4.28E-4</v>
      </c>
      <c r="Q104" s="5">
        <v>37.020000000000003</v>
      </c>
      <c r="R104" s="5">
        <v>2.6700000000000002E-2</v>
      </c>
      <c r="S104" s="5">
        <v>105.4</v>
      </c>
      <c r="T104" s="18">
        <f t="shared" si="3"/>
        <v>206</v>
      </c>
      <c r="U104" s="2">
        <f t="shared" ref="U104:AH104" si="101">IF(OR(F104=0,F104&lt;0.00001,F104&gt;100000),"",IF((IF(F104&gt;F$5,ABS(LOG(((F$5/SUM($F104:$S104))/(F$4/SUM($F$4:$S$4)))*4+2,2)),ABS(LOG(((F104/SUM($F104:$S104))/(F$4/SUM($F$4:$S$4)))*4+2,2)))-3)&gt;8,(IF(F104&gt;F$5,ABS(LOG(((F$5/SUM($F104:$S104))/(F$4/SUM($F$4:$S$4)))*4+2,2)),ABS(LOG(((F104/SUM($F104:$S104))/(F$4/SUM($F$4:$S$4)))*4+2,2)))-3)/7,IF(F104&gt;F$5,ABS(LOG(((F$5/SUM($F104:$S104))/(F$4/SUM($F$4:$S$4)))*4+2,2)),ABS(LOG(((F104/SUM($F104:$S104))/(F$4/SUM($F$4:$S$4)))*4+2,2)))-3))</f>
        <v>-1.856404102080158</v>
      </c>
      <c r="V104" s="2">
        <f t="shared" si="101"/>
        <v>-1.1848830584008201</v>
      </c>
      <c r="W104" s="2">
        <f t="shared" si="101"/>
        <v>0.71475758673577561</v>
      </c>
      <c r="X104" s="2">
        <f t="shared" si="101"/>
        <v>0.66540937387435406</v>
      </c>
      <c r="Y104" s="2">
        <f t="shared" si="101"/>
        <v>1.8553136619683013</v>
      </c>
      <c r="Z104" s="2">
        <f t="shared" si="101"/>
        <v>5.4648173200122816</v>
      </c>
      <c r="AA104" s="2">
        <f t="shared" si="101"/>
        <v>1.2438262340235617</v>
      </c>
      <c r="AB104" s="2">
        <f t="shared" si="101"/>
        <v>-2.1520828570401829E-2</v>
      </c>
      <c r="AC104" s="2">
        <f t="shared" si="101"/>
        <v>-1.2433094496946793</v>
      </c>
      <c r="AD104" s="2">
        <f t="shared" si="101"/>
        <v>1.645176273418536</v>
      </c>
      <c r="AE104" s="2">
        <f t="shared" si="101"/>
        <v>-1.9999999092636531</v>
      </c>
      <c r="AF104" s="2">
        <f t="shared" si="101"/>
        <v>-1.0217058948589757</v>
      </c>
      <c r="AG104" s="2">
        <f t="shared" si="101"/>
        <v>-1.9912171140315791</v>
      </c>
      <c r="AH104" s="2">
        <f t="shared" si="101"/>
        <v>1.7142134116760577E-2</v>
      </c>
      <c r="AI104" s="18">
        <f t="shared" si="5"/>
        <v>206</v>
      </c>
      <c r="AJ104" s="2">
        <f t="shared" si="6"/>
        <v>1</v>
      </c>
    </row>
    <row r="105" spans="1:36" ht="10.5" customHeight="1" x14ac:dyDescent="0.25">
      <c r="A105" s="17">
        <v>97</v>
      </c>
      <c r="B105" s="2">
        <f t="shared" si="2"/>
        <v>2.6697452141409474E-2</v>
      </c>
      <c r="C105" s="4">
        <v>1</v>
      </c>
      <c r="D105" s="4">
        <v>23.050108738253499</v>
      </c>
      <c r="E105" s="18">
        <v>207</v>
      </c>
      <c r="F105" s="5">
        <v>3.5599999999999998E-5</v>
      </c>
      <c r="G105" s="5">
        <v>7.2599999999999998E-2</v>
      </c>
      <c r="H105" s="5">
        <v>0.55349999999999999</v>
      </c>
      <c r="I105" s="5">
        <v>1.6639999999999999</v>
      </c>
      <c r="J105" s="5">
        <v>1.147</v>
      </c>
      <c r="K105" s="5">
        <v>0.26179999999999998</v>
      </c>
      <c r="L105" s="5">
        <v>0.32179999999999997</v>
      </c>
      <c r="M105" s="5">
        <v>4.7899999999999998E-2</v>
      </c>
      <c r="N105" s="5">
        <v>0.1855</v>
      </c>
      <c r="O105" s="5">
        <v>5.8920000000000003</v>
      </c>
      <c r="P105" s="5">
        <v>4.3800000000000002E-4</v>
      </c>
      <c r="Q105" s="5">
        <v>83.17</v>
      </c>
      <c r="R105" s="5">
        <v>9.2599999999999991E-3</v>
      </c>
      <c r="S105" s="5">
        <v>107.1</v>
      </c>
      <c r="T105" s="18">
        <f t="shared" si="3"/>
        <v>207</v>
      </c>
      <c r="U105" s="2">
        <f t="shared" ref="U105:AH105" si="102">IF(OR(F105=0,F105&lt;0.00001,F105&gt;100000),"",IF((IF(F105&gt;F$5,ABS(LOG(((F$5/SUM($F105:$S105))/(F$4/SUM($F$4:$S$4)))*4+2,2)),ABS(LOG(((F105/SUM($F105:$S105))/(F$4/SUM($F$4:$S$4)))*4+2,2)))-3)&gt;8,(IF(F105&gt;F$5,ABS(LOG(((F$5/SUM($F105:$S105))/(F$4/SUM($F$4:$S$4)))*4+2,2)),ABS(LOG(((F105/SUM($F105:$S105))/(F$4/SUM($F$4:$S$4)))*4+2,2)))-3)/7,IF(F105&gt;F$5,ABS(LOG(((F$5/SUM($F105:$S105))/(F$4/SUM($F$4:$S$4)))*4+2,2)),ABS(LOG(((F105/SUM($F105:$S105))/(F$4/SUM($F$4:$S$4)))*4+2,2)))-3))</f>
        <v>-1.9979229501273938</v>
      </c>
      <c r="V105" s="2">
        <f t="shared" si="102"/>
        <v>-1.0602716458677057</v>
      </c>
      <c r="W105" s="2">
        <f t="shared" si="102"/>
        <v>2.5484514409210073</v>
      </c>
      <c r="X105" s="2">
        <f t="shared" si="102"/>
        <v>1.235389444785203</v>
      </c>
      <c r="Y105" s="2">
        <f t="shared" si="102"/>
        <v>0.89668323755865575</v>
      </c>
      <c r="Z105" s="2">
        <f t="shared" si="102"/>
        <v>6.2882677724253604</v>
      </c>
      <c r="AA105" s="2">
        <f t="shared" si="102"/>
        <v>0.90912997912517568</v>
      </c>
      <c r="AB105" s="2">
        <f t="shared" si="102"/>
        <v>-1.4053203998045323</v>
      </c>
      <c r="AC105" s="2">
        <f t="shared" si="102"/>
        <v>-0.31832361703787893</v>
      </c>
      <c r="AD105" s="2">
        <f t="shared" si="102"/>
        <v>0.20566858996334458</v>
      </c>
      <c r="AE105" s="2">
        <f t="shared" si="102"/>
        <v>-1.9999999270173556</v>
      </c>
      <c r="AF105" s="2">
        <f t="shared" si="102"/>
        <v>-0.53895602659365149</v>
      </c>
      <c r="AG105" s="2">
        <f t="shared" si="102"/>
        <v>-1.9975445660002344</v>
      </c>
      <c r="AH105" s="2">
        <f t="shared" si="102"/>
        <v>-0.1963559752802424</v>
      </c>
      <c r="AI105" s="18">
        <f t="shared" si="5"/>
        <v>207</v>
      </c>
      <c r="AJ105" s="2">
        <f t="shared" si="6"/>
        <v>1</v>
      </c>
    </row>
    <row r="106" spans="1:36" ht="10.5" customHeight="1" x14ac:dyDescent="0.25">
      <c r="A106" s="17">
        <v>98</v>
      </c>
      <c r="B106" s="2">
        <f t="shared" si="2"/>
        <v>1.0602998591014288</v>
      </c>
      <c r="C106" s="4">
        <v>1</v>
      </c>
      <c r="D106" s="4">
        <v>28.193730861714201</v>
      </c>
      <c r="E106" s="18">
        <v>210</v>
      </c>
      <c r="F106" s="5">
        <v>0.10050000000000001</v>
      </c>
      <c r="G106" s="5">
        <v>2.7900000000000001E-4</v>
      </c>
      <c r="H106" s="5">
        <v>1.659</v>
      </c>
      <c r="I106" s="5">
        <v>9.9699999999999997E-2</v>
      </c>
      <c r="J106" s="5">
        <v>0.46889999999999998</v>
      </c>
      <c r="K106" s="5"/>
      <c r="L106" s="5">
        <v>2.0459999999999998</v>
      </c>
      <c r="M106" s="5">
        <v>0.15129999999999999</v>
      </c>
      <c r="N106" s="5"/>
      <c r="O106" s="5">
        <v>2.173</v>
      </c>
      <c r="P106" s="5">
        <v>3.2629999999999999</v>
      </c>
      <c r="Q106" s="5">
        <v>4.49</v>
      </c>
      <c r="R106" s="5">
        <v>2.0099999999999998</v>
      </c>
      <c r="S106" s="5">
        <v>26.35</v>
      </c>
      <c r="T106" s="18">
        <f t="shared" si="3"/>
        <v>210</v>
      </c>
      <c r="U106" s="2">
        <f t="shared" ref="U106:AH106" si="103">IF(OR(F106=0,F106&lt;0.00001,F106&gt;100000),"",IF((IF(F106&gt;F$5,ABS(LOG(((F$5/SUM($F106:$S106))/(F$4/SUM($F$4:$S$4)))*4+2,2)),ABS(LOG(((F106/SUM($F106:$S106))/(F$4/SUM($F$4:$S$4)))*4+2,2)))-3)&gt;8,(IF(F106&gt;F$5,ABS(LOG(((F$5/SUM($F106:$S106))/(F$4/SUM($F$4:$S$4)))*4+2,2)),ABS(LOG(((F106/SUM($F106:$S106))/(F$4/SUM($F$4:$S$4)))*4+2,2)))-3)/7,IF(F106&gt;F$5,ABS(LOG(((F$5/SUM($F106:$S106))/(F$4/SUM($F$4:$S$4)))*4+2,2)),ABS(LOG(((F106/SUM($F106:$S106))/(F$4/SUM($F$4:$S$4)))*4+2,2)))-3))</f>
        <v>2.3248914271585512</v>
      </c>
      <c r="V106" s="2">
        <f t="shared" si="103"/>
        <v>-1.9763629827934173</v>
      </c>
      <c r="W106" s="2">
        <f t="shared" si="103"/>
        <v>6.3006757195398286</v>
      </c>
      <c r="X106" s="2">
        <f t="shared" si="103"/>
        <v>-0.25102620747979154</v>
      </c>
      <c r="Y106" s="2">
        <f t="shared" si="103"/>
        <v>1.7375609787867701</v>
      </c>
      <c r="Z106" s="2" t="str">
        <f t="shared" si="103"/>
        <v/>
      </c>
      <c r="AA106" s="2">
        <f t="shared" si="103"/>
        <v>5.6060096628310365</v>
      </c>
      <c r="AB106" s="2">
        <f t="shared" si="103"/>
        <v>1.0948534016310401</v>
      </c>
      <c r="AC106" s="2" t="str">
        <f t="shared" si="103"/>
        <v/>
      </c>
      <c r="AD106" s="2">
        <f t="shared" si="103"/>
        <v>0.85558226352890143</v>
      </c>
      <c r="AE106" s="2">
        <f t="shared" si="103"/>
        <v>-1.9999996583267403</v>
      </c>
      <c r="AF106" s="2">
        <f t="shared" si="103"/>
        <v>-1.4708594738995033</v>
      </c>
      <c r="AG106" s="2">
        <f t="shared" si="103"/>
        <v>-0.55056479202910635</v>
      </c>
      <c r="AH106" s="2">
        <f t="shared" si="103"/>
        <v>-4.7971988594971204E-2</v>
      </c>
      <c r="AI106" s="18">
        <f t="shared" si="5"/>
        <v>210</v>
      </c>
      <c r="AJ106" s="2">
        <f t="shared" si="6"/>
        <v>2.1193730861714202</v>
      </c>
    </row>
    <row r="107" spans="1:36" ht="10.5" customHeight="1" x14ac:dyDescent="0.25">
      <c r="A107" s="17">
        <v>99</v>
      </c>
      <c r="B107" s="2">
        <f t="shared" si="2"/>
        <v>8.4888805164904366E-2</v>
      </c>
      <c r="C107" s="4">
        <v>1</v>
      </c>
      <c r="D107" s="4">
        <v>19.215304016697001</v>
      </c>
      <c r="E107" s="18">
        <v>221</v>
      </c>
      <c r="F107" s="5">
        <v>4.0500000000000001E-2</v>
      </c>
      <c r="G107" s="5">
        <v>4.82E-2</v>
      </c>
      <c r="H107" s="5">
        <v>5.5100000000000003E-2</v>
      </c>
      <c r="I107" s="5">
        <v>0.62709999999999999</v>
      </c>
      <c r="J107" s="5">
        <v>5.45E-2</v>
      </c>
      <c r="K107" s="5">
        <v>8.8599999999999998E-2</v>
      </c>
      <c r="L107" s="5">
        <v>0.28760000000000002</v>
      </c>
      <c r="M107" s="5">
        <v>0.13150000000000001</v>
      </c>
      <c r="N107" s="5">
        <v>1.25E-3</v>
      </c>
      <c r="O107" s="5">
        <v>1.9099999999999999E-2</v>
      </c>
      <c r="P107" s="5">
        <v>9.2199999999999997E-4</v>
      </c>
      <c r="Q107" s="5">
        <v>17.75</v>
      </c>
      <c r="R107" s="5">
        <v>8.72E-2</v>
      </c>
      <c r="S107" s="5">
        <v>33.380000000000003</v>
      </c>
      <c r="T107" s="18">
        <f t="shared" si="3"/>
        <v>221</v>
      </c>
      <c r="U107" s="2">
        <f t="shared" ref="U107:AH107" si="104">IF(OR(F107=0,F107&lt;0.00001,F107&gt;100000),"",IF((IF(F107&gt;F$5,ABS(LOG(((F$5/SUM($F107:$S107))/(F$4/SUM($F$4:$S$4)))*4+2,2)),ABS(LOG(((F107/SUM($F107:$S107))/(F$4/SUM($F$4:$S$4)))*4+2,2)))-3)&gt;8,(IF(F107&gt;F$5,ABS(LOG(((F$5/SUM($F107:$S107))/(F$4/SUM($F$4:$S$4)))*4+2,2)),ABS(LOG(((F107/SUM($F107:$S107))/(F$4/SUM($F$4:$S$4)))*4+2,2)))-3)/7,IF(F107&gt;F$5,ABS(LOG(((F$5/SUM($F107:$S107))/(F$4/SUM($F$4:$S$4)))*4+2,2)),ABS(LOG(((F107/SUM($F107:$S107))/(F$4/SUM($F$4:$S$4)))*4+2,2)))-3))</f>
        <v>0.85773126196090521</v>
      </c>
      <c r="V107" s="2">
        <f t="shared" si="104"/>
        <v>-0.26708258239412785</v>
      </c>
      <c r="W107" s="2">
        <f t="shared" si="104"/>
        <v>1.2481369416660204</v>
      </c>
      <c r="X107" s="2">
        <f t="shared" si="104"/>
        <v>1.7108788883946549</v>
      </c>
      <c r="Y107" s="2">
        <f t="shared" si="104"/>
        <v>-0.88370870696250892</v>
      </c>
      <c r="Z107" s="2">
        <f t="shared" si="104"/>
        <v>6.6548565183929913</v>
      </c>
      <c r="AA107" s="2">
        <f t="shared" si="104"/>
        <v>2.5352381959563051</v>
      </c>
      <c r="AB107" s="2">
        <f t="shared" si="104"/>
        <v>0.66431128949212015</v>
      </c>
      <c r="AC107" s="2">
        <f t="shared" si="104"/>
        <v>-1.9204010208777063</v>
      </c>
      <c r="AD107" s="2">
        <f t="shared" si="104"/>
        <v>-1.9369795206754741</v>
      </c>
      <c r="AE107" s="2">
        <f t="shared" si="104"/>
        <v>-1.999999721758249</v>
      </c>
      <c r="AF107" s="2">
        <f t="shared" si="104"/>
        <v>-0.72119512263117569</v>
      </c>
      <c r="AG107" s="2">
        <f t="shared" si="104"/>
        <v>-1.914364670405319</v>
      </c>
      <c r="AH107" s="2">
        <f t="shared" si="104"/>
        <v>-1.454138317961684E-2</v>
      </c>
      <c r="AI107" s="18">
        <f t="shared" si="5"/>
        <v>221</v>
      </c>
      <c r="AJ107" s="2">
        <f t="shared" si="6"/>
        <v>1</v>
      </c>
    </row>
    <row r="108" spans="1:36" ht="10.5" customHeight="1" x14ac:dyDescent="0.25">
      <c r="A108" s="17">
        <v>100</v>
      </c>
      <c r="B108" s="2">
        <f t="shared" si="2"/>
        <v>1.2279490486127567</v>
      </c>
      <c r="C108" s="4">
        <v>1</v>
      </c>
      <c r="D108" s="4">
        <v>25.616452349628201</v>
      </c>
      <c r="E108" s="18">
        <v>222</v>
      </c>
      <c r="F108" s="5">
        <v>6.3899999999999998E-2</v>
      </c>
      <c r="G108" s="5">
        <v>5.1799999999999997E-3</v>
      </c>
      <c r="H108" s="5">
        <v>1.653</v>
      </c>
      <c r="I108" s="5">
        <v>2.2349999999999999</v>
      </c>
      <c r="J108" s="5">
        <v>1.085</v>
      </c>
      <c r="K108" s="5">
        <v>0.95509999999999995</v>
      </c>
      <c r="L108" s="5">
        <v>4.4400000000000004E-3</v>
      </c>
      <c r="M108" s="5">
        <v>0.54720000000000002</v>
      </c>
      <c r="N108" s="5">
        <v>4.7500000000000001E-2</v>
      </c>
      <c r="O108" s="5">
        <v>1.224</v>
      </c>
      <c r="P108" s="5">
        <v>0.22739999999999999</v>
      </c>
      <c r="Q108" s="5">
        <v>24.59</v>
      </c>
      <c r="R108" s="5">
        <v>3.3100000000000002E-4</v>
      </c>
      <c r="S108" s="5">
        <v>9.7439999999999998</v>
      </c>
      <c r="T108" s="18">
        <f t="shared" si="3"/>
        <v>222</v>
      </c>
      <c r="U108" s="2">
        <f t="shared" ref="U108:AH108" si="105">IF(OR(F108=0,F108&lt;0.00001,F108&gt;100000),"",IF((IF(F108&gt;F$5,ABS(LOG(((F$5/SUM($F108:$S108))/(F$4/SUM($F$4:$S$4)))*4+2,2)),ABS(LOG(((F108/SUM($F108:$S108))/(F$4/SUM($F$4:$S$4)))*4+2,2)))-3)&gt;8,(IF(F108&gt;F$5,ABS(LOG(((F$5/SUM($F108:$S108))/(F$4/SUM($F$4:$S$4)))*4+2,2)),ABS(LOG(((F108/SUM($F108:$S108))/(F$4/SUM($F$4:$S$4)))*4+2,2)))-3)/7,IF(F108&gt;F$5,ABS(LOG(((F$5/SUM($F108:$S108))/(F$4/SUM($F$4:$S$4)))*4+2,2)),ABS(LOG(((F108/SUM($F108:$S108))/(F$4/SUM($F$4:$S$4)))*4+2,2)))-3))</f>
        <v>1.7256833704885226</v>
      </c>
      <c r="V108" s="2">
        <f t="shared" si="105"/>
        <v>-1.6106494180189037</v>
      </c>
      <c r="W108" s="2">
        <f t="shared" si="105"/>
        <v>6.3099700942206116</v>
      </c>
      <c r="X108" s="2">
        <f t="shared" si="105"/>
        <v>3.767338235558535</v>
      </c>
      <c r="Y108" s="2">
        <f t="shared" si="105"/>
        <v>2.8992037774660826</v>
      </c>
      <c r="Z108" s="2">
        <f t="shared" si="105"/>
        <v>1.4846633871888206</v>
      </c>
      <c r="AA108" s="2">
        <f t="shared" si="105"/>
        <v>-1.4891660469911623</v>
      </c>
      <c r="AB108" s="2">
        <f t="shared" si="105"/>
        <v>2.8358922105724682</v>
      </c>
      <c r="AC108" s="2">
        <f t="shared" si="105"/>
        <v>-0.12274491133247167</v>
      </c>
      <c r="AD108" s="2">
        <f t="shared" si="105"/>
        <v>0.18564860363018054</v>
      </c>
      <c r="AE108" s="2">
        <f t="shared" si="105"/>
        <v>-1.9999996548631898</v>
      </c>
      <c r="AF108" s="2">
        <f t="shared" si="105"/>
        <v>-0.21293652271556596</v>
      </c>
      <c r="AG108" s="2">
        <f t="shared" si="105"/>
        <v>-1.9995846405327447</v>
      </c>
      <c r="AH108" s="2">
        <f t="shared" si="105"/>
        <v>-0.94914781629762279</v>
      </c>
      <c r="AI108" s="18">
        <f t="shared" si="5"/>
        <v>222</v>
      </c>
      <c r="AJ108" s="2">
        <f t="shared" si="6"/>
        <v>1</v>
      </c>
    </row>
    <row r="109" spans="1:36" ht="10.5" customHeight="1" x14ac:dyDescent="0.25">
      <c r="A109" s="17">
        <v>101</v>
      </c>
      <c r="B109" s="2">
        <f t="shared" si="2"/>
        <v>0.23905928004204674</v>
      </c>
      <c r="C109" s="4">
        <v>1</v>
      </c>
      <c r="D109" s="4">
        <v>22.7876664952353</v>
      </c>
      <c r="E109" s="18">
        <v>223</v>
      </c>
      <c r="F109" s="5">
        <v>2.1299999999999999E-2</v>
      </c>
      <c r="G109" s="5">
        <v>6.9599999999999995E-2</v>
      </c>
      <c r="H109" s="5">
        <v>8.3759999999999994</v>
      </c>
      <c r="I109" s="5">
        <v>0.82230000000000003</v>
      </c>
      <c r="J109" s="5">
        <v>0.14599999999999999</v>
      </c>
      <c r="K109" s="5">
        <v>0.2611</v>
      </c>
      <c r="L109" s="5">
        <v>0.2797</v>
      </c>
      <c r="M109" s="5">
        <v>0.20619999999999999</v>
      </c>
      <c r="N109" s="5">
        <v>0.4773</v>
      </c>
      <c r="O109" s="5">
        <v>0.1472</v>
      </c>
      <c r="P109" s="5">
        <v>2.02E-4</v>
      </c>
      <c r="Q109" s="5">
        <v>108.3</v>
      </c>
      <c r="R109" s="5">
        <v>6.0499999999999998E-2</v>
      </c>
      <c r="S109" s="5">
        <v>15.4</v>
      </c>
      <c r="T109" s="18">
        <f t="shared" si="3"/>
        <v>223</v>
      </c>
      <c r="U109" s="2">
        <f t="shared" ref="U109:AH109" si="106">IF(OR(F109=0,F109&lt;0.00001,F109&gt;100000),"",IF((IF(F109&gt;F$5,ABS(LOG(((F$5/SUM($F109:$S109))/(F$4/SUM($F$4:$S$4)))*4+2,2)),ABS(LOG(((F109/SUM($F109:$S109))/(F$4/SUM($F$4:$S$4)))*4+2,2)))-3)&gt;8,(IF(F109&gt;F$5,ABS(LOG(((F$5/SUM($F109:$S109))/(F$4/SUM($F$4:$S$4)))*4+2,2)),ABS(LOG(((F109/SUM($F109:$S109))/(F$4/SUM($F$4:$S$4)))*4+2,2)))-3)/7,IF(F109&gt;F$5,ABS(LOG(((F$5/SUM($F109:$S109))/(F$4/SUM($F$4:$S$4)))*4+2,2)),ABS(LOG(((F109/SUM($F109:$S109))/(F$4/SUM($F$4:$S$4)))*4+2,2)))-3))</f>
        <v>-0.80850558109857174</v>
      </c>
      <c r="V109" s="2">
        <f t="shared" si="106"/>
        <v>-0.79147246470315347</v>
      </c>
      <c r="W109" s="2">
        <f t="shared" si="106"/>
        <v>6.9826427218850515</v>
      </c>
      <c r="X109" s="2">
        <f t="shared" si="106"/>
        <v>0.84713162321592916</v>
      </c>
      <c r="Y109" s="2">
        <f t="shared" si="106"/>
        <v>-0.8479620702082733</v>
      </c>
      <c r="Z109" s="2">
        <f t="shared" si="106"/>
        <v>6.8576357515169271</v>
      </c>
      <c r="AA109" s="2">
        <f t="shared" si="106"/>
        <v>1.2372096006329301</v>
      </c>
      <c r="AB109" s="2">
        <f t="shared" si="106"/>
        <v>9.450623261866431E-2</v>
      </c>
      <c r="AC109" s="2">
        <f t="shared" si="106"/>
        <v>1.2421106378379152</v>
      </c>
      <c r="AD109" s="2">
        <f t="shared" si="106"/>
        <v>-1.8180258912445515</v>
      </c>
      <c r="AE109" s="2">
        <f t="shared" si="106"/>
        <v>-1.99999989129903</v>
      </c>
      <c r="AF109" s="2">
        <f t="shared" si="106"/>
        <v>0.13749632075318807</v>
      </c>
      <c r="AG109" s="2">
        <f t="shared" si="106"/>
        <v>-1.9762818241969435</v>
      </c>
      <c r="AH109" s="2">
        <f t="shared" si="106"/>
        <v>-1.3831880916219008</v>
      </c>
      <c r="AI109" s="18">
        <f t="shared" si="5"/>
        <v>223</v>
      </c>
      <c r="AJ109" s="2">
        <f t="shared" si="6"/>
        <v>1</v>
      </c>
    </row>
    <row r="110" spans="1:36" ht="10.5" customHeight="1" x14ac:dyDescent="0.25">
      <c r="A110" s="17">
        <v>102</v>
      </c>
      <c r="B110" s="2">
        <f t="shared" si="2"/>
        <v>1.5563005622174561E-2</v>
      </c>
      <c r="C110" s="4">
        <v>1</v>
      </c>
      <c r="D110" s="4">
        <v>19.8190572210375</v>
      </c>
      <c r="E110" s="18">
        <v>224</v>
      </c>
      <c r="F110" s="5">
        <v>5.9799999999999999E-2</v>
      </c>
      <c r="G110" s="5">
        <v>0.123</v>
      </c>
      <c r="H110" s="5">
        <v>8.8599999999999998E-2</v>
      </c>
      <c r="I110" s="5">
        <v>1.119</v>
      </c>
      <c r="J110" s="5">
        <v>6.5299999999999997E-2</v>
      </c>
      <c r="K110" s="5">
        <v>3.8300000000000001E-2</v>
      </c>
      <c r="L110" s="5">
        <v>0.45040000000000002</v>
      </c>
      <c r="M110" s="5">
        <v>0.2424</v>
      </c>
      <c r="N110" s="5">
        <v>1.3100000000000001E-2</v>
      </c>
      <c r="O110" s="5">
        <v>8.4100000000000008E-3</v>
      </c>
      <c r="P110" s="5">
        <v>1.6800000000000001E-3</v>
      </c>
      <c r="Q110" s="5">
        <v>33.29</v>
      </c>
      <c r="R110" s="5">
        <v>9.7500000000000003E-2</v>
      </c>
      <c r="S110" s="5">
        <v>64.09</v>
      </c>
      <c r="T110" s="18">
        <f t="shared" si="3"/>
        <v>224</v>
      </c>
      <c r="U110" s="2">
        <f t="shared" ref="U110:AH110" si="107">IF(OR(F110=0,F110&lt;0.00001,F110&gt;100000),"",IF((IF(F110&gt;F$5,ABS(LOG(((F$5/SUM($F110:$S110))/(F$4/SUM($F$4:$S$4)))*4+2,2)),ABS(LOG(((F110/SUM($F110:$S110))/(F$4/SUM($F$4:$S$4)))*4+2,2)))-3)&gt;8,(IF(F110&gt;F$5,ABS(LOG(((F$5/SUM($F110:$S110))/(F$4/SUM($F$4:$S$4)))*4+2,2)),ABS(LOG(((F110/SUM($F110:$S110))/(F$4/SUM($F$4:$S$4)))*4+2,2)))-3)/7,IF(F110&gt;F$5,ABS(LOG(((F$5/SUM($F110:$S110))/(F$4/SUM($F$4:$S$4)))*4+2,2)),ABS(LOG(((F110/SUM($F110:$S110))/(F$4/SUM($F$4:$S$4)))*4+2,2)))-3))</f>
        <v>0.55231415808732809</v>
      </c>
      <c r="V110" s="2">
        <f t="shared" si="107"/>
        <v>4.5283077400877669E-2</v>
      </c>
      <c r="W110" s="2">
        <f t="shared" si="107"/>
        <v>1.0372262840610675</v>
      </c>
      <c r="X110" s="2">
        <f t="shared" si="107"/>
        <v>1.6300796533357511</v>
      </c>
      <c r="Y110" s="2">
        <f t="shared" si="107"/>
        <v>-1.2026108310431907</v>
      </c>
      <c r="Z110" s="2">
        <f t="shared" si="107"/>
        <v>4.5338356524777721</v>
      </c>
      <c r="AA110" s="2">
        <f t="shared" si="107"/>
        <v>2.2723098601051364</v>
      </c>
      <c r="AB110" s="2">
        <f t="shared" si="107"/>
        <v>0.63002227379271325</v>
      </c>
      <c r="AC110" s="2">
        <f t="shared" si="107"/>
        <v>-1.6065814818269348</v>
      </c>
      <c r="AD110" s="2">
        <f t="shared" si="107"/>
        <v>-1.9851189715924247</v>
      </c>
      <c r="AE110" s="2">
        <f t="shared" si="107"/>
        <v>-1.9999998532653704</v>
      </c>
      <c r="AF110" s="2">
        <f t="shared" si="107"/>
        <v>-0.73049735110362102</v>
      </c>
      <c r="AG110" s="2">
        <f t="shared" si="107"/>
        <v>-1.9488919482024407</v>
      </c>
      <c r="AH110" s="2">
        <f t="shared" si="107"/>
        <v>-1.0765237132877026E-3</v>
      </c>
      <c r="AI110" s="18">
        <f t="shared" si="5"/>
        <v>224</v>
      </c>
      <c r="AJ110" s="2">
        <f t="shared" si="6"/>
        <v>1</v>
      </c>
    </row>
    <row r="111" spans="1:36" ht="10.5" customHeight="1" x14ac:dyDescent="0.25">
      <c r="A111" s="17">
        <v>103</v>
      </c>
      <c r="B111" s="2">
        <f t="shared" si="2"/>
        <v>1.2247084864443612E-2</v>
      </c>
      <c r="C111" s="4">
        <v>1</v>
      </c>
      <c r="D111" s="4">
        <v>29.4438035684698</v>
      </c>
      <c r="E111" s="18">
        <v>225</v>
      </c>
      <c r="F111" s="5">
        <v>2.8600000000000001E-3</v>
      </c>
      <c r="G111" s="5">
        <v>0.20480000000000001</v>
      </c>
      <c r="H111" s="5">
        <v>117.8</v>
      </c>
      <c r="I111" s="5">
        <v>0.15029999999999999</v>
      </c>
      <c r="J111" s="5">
        <v>11.63</v>
      </c>
      <c r="K111" s="5">
        <v>5.4219999999999997</v>
      </c>
      <c r="L111" s="5">
        <v>5.6470000000000002</v>
      </c>
      <c r="M111" s="5">
        <v>0.1368</v>
      </c>
      <c r="N111" s="5">
        <v>1.5200000000000001E-3</v>
      </c>
      <c r="O111" s="5">
        <v>3.8420000000000001</v>
      </c>
      <c r="P111" s="5"/>
      <c r="Q111" s="5">
        <v>357.4</v>
      </c>
      <c r="R111" s="5">
        <v>6.2160000000000002</v>
      </c>
      <c r="S111" s="5">
        <v>1227</v>
      </c>
      <c r="T111" s="18">
        <f t="shared" si="3"/>
        <v>225</v>
      </c>
      <c r="U111" s="2">
        <f t="shared" ref="U111:AH111" si="108">IF(OR(F111=0,F111&lt;0.00001,F111&gt;100000),"",IF((IF(F111&gt;F$5,ABS(LOG(((F$5/SUM($F111:$S111))/(F$4/SUM($F$4:$S$4)))*4+2,2)),ABS(LOG(((F111/SUM($F111:$S111))/(F$4/SUM($F$4:$S$4)))*4+2,2)))-3)&gt;8,(IF(F111&gt;F$5,ABS(LOG(((F$5/SUM($F111:$S111))/(F$4/SUM($F$4:$S$4)))*4+2,2)),ABS(LOG(((F111/SUM($F111:$S111))/(F$4/SUM($F$4:$S$4)))*4+2,2)))-3)/7,IF(F111&gt;F$5,ABS(LOG(((F$5/SUM($F111:$S111))/(F$4/SUM($F$4:$S$4)))*4+2,2)),ABS(LOG(((F111/SUM($F111:$S111))/(F$4/SUM($F$4:$S$4)))*4+2,2)))-3))</f>
        <v>-1.9808428996209682</v>
      </c>
      <c r="V111" s="2">
        <f t="shared" si="108"/>
        <v>-1.6224573874478567</v>
      </c>
      <c r="W111" s="2">
        <f t="shared" si="108"/>
        <v>5.5542392916466312</v>
      </c>
      <c r="X111" s="2">
        <f t="shared" si="108"/>
        <v>-1.8785731811772715</v>
      </c>
      <c r="Y111" s="2">
        <f t="shared" si="108"/>
        <v>1.0958542857068245</v>
      </c>
      <c r="Z111" s="2">
        <f t="shared" si="108"/>
        <v>5.3746901190851286</v>
      </c>
      <c r="AA111" s="2">
        <f t="shared" si="108"/>
        <v>1.8274783768303839</v>
      </c>
      <c r="AB111" s="2">
        <f t="shared" si="108"/>
        <v>-1.7756398382011012</v>
      </c>
      <c r="AC111" s="2">
        <f t="shared" si="108"/>
        <v>-1.9969886467660696</v>
      </c>
      <c r="AD111" s="2">
        <f t="shared" si="108"/>
        <v>-1.6528158328405498</v>
      </c>
      <c r="AE111" s="2" t="str">
        <f t="shared" si="108"/>
        <v/>
      </c>
      <c r="AF111" s="2">
        <f t="shared" si="108"/>
        <v>-1.0969464429596985</v>
      </c>
      <c r="AG111" s="2">
        <f t="shared" si="108"/>
        <v>-1.8210523441755169</v>
      </c>
      <c r="AH111" s="2">
        <f t="shared" si="108"/>
        <v>0.10295305116628928</v>
      </c>
      <c r="AI111" s="18">
        <f t="shared" si="5"/>
        <v>225</v>
      </c>
      <c r="AJ111" s="2">
        <f t="shared" si="6"/>
        <v>2.24438035684698</v>
      </c>
    </row>
    <row r="112" spans="1:36" ht="10.5" customHeight="1" x14ac:dyDescent="0.25">
      <c r="A112" s="17">
        <v>104</v>
      </c>
      <c r="B112" s="2">
        <f t="shared" si="2"/>
        <v>2.5705085866242226E-2</v>
      </c>
      <c r="C112" s="4">
        <v>1</v>
      </c>
      <c r="D112" s="4">
        <v>27.256008144146499</v>
      </c>
      <c r="E112" s="18">
        <v>226</v>
      </c>
      <c r="F112" s="5">
        <v>0.1321</v>
      </c>
      <c r="G112" s="5">
        <v>1.7100000000000001E-4</v>
      </c>
      <c r="H112" s="5">
        <v>14.14</v>
      </c>
      <c r="I112" s="5">
        <v>12.56</v>
      </c>
      <c r="J112" s="5">
        <v>4.6210000000000004</v>
      </c>
      <c r="K112" s="5">
        <v>9.9239999999999995</v>
      </c>
      <c r="L112" s="5">
        <v>2.3900000000000002E-3</v>
      </c>
      <c r="M112" s="5">
        <v>1.925</v>
      </c>
      <c r="N112" s="5">
        <v>5.9429999999999996</v>
      </c>
      <c r="O112" s="5">
        <v>0.49469999999999997</v>
      </c>
      <c r="P112" s="5">
        <v>1.0500000000000001E-2</v>
      </c>
      <c r="Q112" s="5">
        <v>1268</v>
      </c>
      <c r="R112" s="5">
        <v>2.1800000000000001E-3</v>
      </c>
      <c r="S112" s="5">
        <v>27.55</v>
      </c>
      <c r="T112" s="18">
        <f t="shared" si="3"/>
        <v>226</v>
      </c>
      <c r="U112" s="2">
        <f t="shared" ref="U112:AH112" si="109">IF(OR(F112=0,F112&lt;0.00001,F112&gt;100000),"",IF((IF(F112&gt;F$5,ABS(LOG(((F$5/SUM($F112:$S112))/(F$4/SUM($F$4:$S$4)))*4+2,2)),ABS(LOG(((F112/SUM($F112:$S112))/(F$4/SUM($F$4:$S$4)))*4+2,2)))-3)&gt;8,(IF(F112&gt;F$5,ABS(LOG(((F$5/SUM($F112:$S112))/(F$4/SUM($F$4:$S$4)))*4+2,2)),ABS(LOG(((F112/SUM($F112:$S112))/(F$4/SUM($F$4:$S$4)))*4+2,2)))-3)/7,IF(F112&gt;F$5,ABS(LOG(((F$5/SUM($F112:$S112))/(F$4/SUM($F$4:$S$4)))*4+2,2)),ABS(LOG(((F112/SUM($F112:$S112))/(F$4/SUM($F$4:$S$4)))*4+2,2)))-3))</f>
        <v>-1.1548331289277389</v>
      </c>
      <c r="V112" s="2">
        <f t="shared" si="109"/>
        <v>-1.999535250748709</v>
      </c>
      <c r="W112" s="2">
        <f t="shared" si="109"/>
        <v>4.4305280806206273</v>
      </c>
      <c r="X112" s="2">
        <f t="shared" si="109"/>
        <v>1.3876416650596264</v>
      </c>
      <c r="Y112" s="2">
        <f t="shared" si="109"/>
        <v>0.28381747040163718</v>
      </c>
      <c r="Z112" s="2">
        <f t="shared" si="109"/>
        <v>5.7401137007606273</v>
      </c>
      <c r="AA112" s="2">
        <f t="shared" si="109"/>
        <v>-1.9896426047524178</v>
      </c>
      <c r="AB112" s="2">
        <f t="shared" si="109"/>
        <v>1.9461420629931947E-2</v>
      </c>
      <c r="AC112" s="2">
        <f t="shared" si="109"/>
        <v>1.5284323098887915</v>
      </c>
      <c r="AD112" s="2">
        <f t="shared" si="109"/>
        <v>-1.9362313815167682</v>
      </c>
      <c r="AE112" s="2">
        <f t="shared" si="109"/>
        <v>-1.9999999891269211</v>
      </c>
      <c r="AF112" s="2">
        <f t="shared" si="109"/>
        <v>0.31668453221771387</v>
      </c>
      <c r="AG112" s="2">
        <f t="shared" si="109"/>
        <v>-1.9999138087141175</v>
      </c>
      <c r="AH112" s="2">
        <f t="shared" si="109"/>
        <v>-1.8684577207202528</v>
      </c>
      <c r="AI112" s="18">
        <f t="shared" si="5"/>
        <v>226</v>
      </c>
      <c r="AJ112" s="2">
        <f t="shared" si="6"/>
        <v>2.0256008144146498</v>
      </c>
    </row>
    <row r="113" spans="1:36" ht="10.5" customHeight="1" x14ac:dyDescent="0.25">
      <c r="A113" s="17">
        <v>105</v>
      </c>
      <c r="B113" s="2">
        <f t="shared" si="2"/>
        <v>0.69740306560800758</v>
      </c>
      <c r="C113" s="4">
        <v>1</v>
      </c>
      <c r="D113" s="4">
        <v>23.9238290825541</v>
      </c>
      <c r="E113" s="18">
        <v>233</v>
      </c>
      <c r="F113" s="5">
        <v>2.3800000000000002E-2</v>
      </c>
      <c r="G113" s="5">
        <v>5.9899999999999999E-5</v>
      </c>
      <c r="H113" s="5">
        <v>0.30420000000000003</v>
      </c>
      <c r="I113" s="5">
        <v>1.1599999999999999</v>
      </c>
      <c r="J113" s="5">
        <v>0.16689999999999999</v>
      </c>
      <c r="K113" s="5">
        <v>7.1499999999999994E-2</v>
      </c>
      <c r="L113" s="5">
        <v>0.1328</v>
      </c>
      <c r="M113" s="5">
        <v>6.9400000000000003E-2</v>
      </c>
      <c r="N113" s="5">
        <v>1.3899999999999999E-2</v>
      </c>
      <c r="O113" s="5">
        <v>0.16500000000000001</v>
      </c>
      <c r="P113" s="5">
        <v>8.6700000000000004E-4</v>
      </c>
      <c r="Q113" s="5">
        <v>13.38</v>
      </c>
      <c r="R113" s="5">
        <v>6.6900000000000001E-2</v>
      </c>
      <c r="S113" s="5">
        <v>24.35</v>
      </c>
      <c r="T113" s="18">
        <f t="shared" si="3"/>
        <v>233</v>
      </c>
      <c r="U113" s="2">
        <f t="shared" ref="U113:AH113" si="110">IF(OR(F113=0,F113&lt;0.00001,F113&gt;100000),"",IF((IF(F113&gt;F$5,ABS(LOG(((F$5/SUM($F113:$S113))/(F$4/SUM($F$4:$S$4)))*4+2,2)),ABS(LOG(((F113/SUM($F113:$S113))/(F$4/SUM($F$4:$S$4)))*4+2,2)))-3)&gt;8,(IF(F113&gt;F$5,ABS(LOG(((F$5/SUM($F113:$S113))/(F$4/SUM($F$4:$S$4)))*4+2,2)),ABS(LOG(((F113/SUM($F113:$S113))/(F$4/SUM($F$4:$S$4)))*4+2,2)))-3)/7,IF(F113&gt;F$5,ABS(LOG(((F$5/SUM($F113:$S113))/(F$4/SUM($F$4:$S$4)))*4+2,2)),ABS(LOG(((F113/SUM($F113:$S113))/(F$4/SUM($F$4:$S$4)))*4+2,2)))-3))</f>
        <v>0.5453887916114355</v>
      </c>
      <c r="V113" s="2">
        <f t="shared" si="110"/>
        <v>-1.9945212137062165</v>
      </c>
      <c r="W113" s="2">
        <f t="shared" si="110"/>
        <v>3.9734399991835998</v>
      </c>
      <c r="X113" s="2">
        <f t="shared" si="110"/>
        <v>2.9294645677782292</v>
      </c>
      <c r="Y113" s="2">
        <f t="shared" si="110"/>
        <v>0.51393140736683796</v>
      </c>
      <c r="Z113" s="2">
        <f t="shared" si="110"/>
        <v>6.7429819859700189</v>
      </c>
      <c r="AA113" s="2">
        <f t="shared" si="110"/>
        <v>1.8576475567683071</v>
      </c>
      <c r="AB113" s="2">
        <f t="shared" si="110"/>
        <v>0.23640701560010502</v>
      </c>
      <c r="AC113" s="2">
        <f t="shared" si="110"/>
        <v>-1.1273791581788228</v>
      </c>
      <c r="AD113" s="2">
        <f t="shared" si="110"/>
        <v>-1.4072134070052427</v>
      </c>
      <c r="AE113" s="2">
        <f t="shared" si="110"/>
        <v>-1.9999996334422765</v>
      </c>
      <c r="AF113" s="2">
        <f t="shared" si="110"/>
        <v>-0.72708843600150308</v>
      </c>
      <c r="AG113" s="2">
        <f t="shared" si="110"/>
        <v>-1.9134738689783231</v>
      </c>
      <c r="AH113" s="2">
        <f t="shared" si="110"/>
        <v>-5.7199947393423933E-2</v>
      </c>
      <c r="AI113" s="18">
        <f t="shared" si="5"/>
        <v>233</v>
      </c>
      <c r="AJ113" s="2">
        <f t="shared" si="6"/>
        <v>1</v>
      </c>
    </row>
    <row r="114" spans="1:36" ht="10.5" customHeight="1" x14ac:dyDescent="0.25">
      <c r="A114" s="17">
        <v>106</v>
      </c>
      <c r="B114" s="2">
        <f t="shared" si="2"/>
        <v>6.005932016094756E-2</v>
      </c>
      <c r="C114" s="4">
        <v>1</v>
      </c>
      <c r="D114" s="4">
        <v>27.670450566308901</v>
      </c>
      <c r="E114" s="18">
        <v>234</v>
      </c>
      <c r="F114" s="5">
        <v>1.38E-2</v>
      </c>
      <c r="G114" s="5">
        <v>3.9500000000000001E-4</v>
      </c>
      <c r="H114" s="5">
        <v>14.53</v>
      </c>
      <c r="I114" s="5">
        <v>3.27E-2</v>
      </c>
      <c r="J114" s="5">
        <v>1.333</v>
      </c>
      <c r="K114" s="5">
        <v>1.6859999999999999</v>
      </c>
      <c r="L114" s="5">
        <v>3.5409999999999999</v>
      </c>
      <c r="M114" s="5">
        <v>0.60740000000000005</v>
      </c>
      <c r="N114" s="5">
        <v>6.0910000000000002</v>
      </c>
      <c r="O114" s="5">
        <v>1.825</v>
      </c>
      <c r="P114" s="5"/>
      <c r="Q114" s="5">
        <v>548.20000000000005</v>
      </c>
      <c r="R114" s="5">
        <v>1.08E-3</v>
      </c>
      <c r="S114" s="5">
        <v>39.17</v>
      </c>
      <c r="T114" s="18">
        <f t="shared" si="3"/>
        <v>234</v>
      </c>
      <c r="U114" s="2">
        <f t="shared" ref="U114:AH114" si="111">IF(OR(F114=0,F114&lt;0.00001,F114&gt;100000),"",IF((IF(F114&gt;F$5,ABS(LOG(((F$5/SUM($F114:$S114))/(F$4/SUM($F$4:$S$4)))*4+2,2)),ABS(LOG(((F114/SUM($F114:$S114))/(F$4/SUM($F$4:$S$4)))*4+2,2)))-3)&gt;8,(IF(F114&gt;F$5,ABS(LOG(((F$5/SUM($F114:$S114))/(F$4/SUM($F$4:$S$4)))*4+2,2)),ABS(LOG(((F114/SUM($F114:$S114))/(F$4/SUM($F$4:$S$4)))*4+2,2)))-3)/7,IF(F114&gt;F$5,ABS(LOG(((F$5/SUM($F114:$S114))/(F$4/SUM($F$4:$S$4)))*4+2,2)),ABS(LOG(((F114/SUM($F114:$S114))/(F$4/SUM($F$4:$S$4)))*4+2,2)))-3))</f>
        <v>-1.7594905945007133</v>
      </c>
      <c r="V114" s="2">
        <f t="shared" si="111"/>
        <v>-1.9976608878735067</v>
      </c>
      <c r="W114" s="2">
        <f t="shared" si="111"/>
        <v>5.5850079401408337</v>
      </c>
      <c r="X114" s="2">
        <f t="shared" si="111"/>
        <v>-1.9244909520711053</v>
      </c>
      <c r="Y114" s="2">
        <f t="shared" si="111"/>
        <v>-0.2202074799777356</v>
      </c>
      <c r="Z114" s="2">
        <f t="shared" si="111"/>
        <v>6.8609737115727167</v>
      </c>
      <c r="AA114" s="2">
        <f t="shared" si="111"/>
        <v>2.6013603562017478</v>
      </c>
      <c r="AB114" s="2">
        <f t="shared" si="111"/>
        <v>-0.36716149638858253</v>
      </c>
      <c r="AC114" s="2">
        <f t="shared" si="111"/>
        <v>2.6176519931558015</v>
      </c>
      <c r="AD114" s="2">
        <f t="shared" si="111"/>
        <v>-1.5526888233328444</v>
      </c>
      <c r="AE114" s="2" t="str">
        <f t="shared" si="111"/>
        <v/>
      </c>
      <c r="AF114" s="2">
        <f t="shared" si="111"/>
        <v>0.24894526773239978</v>
      </c>
      <c r="AG114" s="2">
        <f t="shared" si="111"/>
        <v>-1.9999069014099005</v>
      </c>
      <c r="AH114" s="2">
        <f t="shared" si="111"/>
        <v>-1.6260146101356632</v>
      </c>
      <c r="AI114" s="18">
        <f t="shared" si="5"/>
        <v>234</v>
      </c>
      <c r="AJ114" s="2">
        <f t="shared" si="6"/>
        <v>2.06704505663089</v>
      </c>
    </row>
    <row r="115" spans="1:36" ht="10.5" customHeight="1" x14ac:dyDescent="0.25">
      <c r="A115" s="17">
        <v>107</v>
      </c>
      <c r="B115" s="2">
        <f t="shared" si="2"/>
        <v>0.21873363409202512</v>
      </c>
      <c r="C115" s="4">
        <v>1</v>
      </c>
      <c r="D115" s="4">
        <v>19.306948953632698</v>
      </c>
      <c r="E115" s="18">
        <v>235</v>
      </c>
      <c r="F115" s="5">
        <v>7.8799999999999999E-3</v>
      </c>
      <c r="G115" s="5">
        <v>6.8900000000000003E-2</v>
      </c>
      <c r="H115" s="5">
        <v>0.97119999999999995</v>
      </c>
      <c r="I115" s="5">
        <v>0.30559999999999998</v>
      </c>
      <c r="J115" s="5">
        <v>8.4699999999999998E-2</v>
      </c>
      <c r="K115" s="5">
        <v>0.24610000000000001</v>
      </c>
      <c r="L115" s="5">
        <v>2.0430000000000001</v>
      </c>
      <c r="M115" s="5">
        <v>0.15609999999999999</v>
      </c>
      <c r="N115" s="5">
        <v>1.55E-2</v>
      </c>
      <c r="O115" s="5">
        <v>0.13650000000000001</v>
      </c>
      <c r="P115" s="5">
        <v>1.17E-3</v>
      </c>
      <c r="Q115" s="5">
        <v>34.14</v>
      </c>
      <c r="R115" s="5">
        <v>2.58E-2</v>
      </c>
      <c r="S115" s="5">
        <v>37.9</v>
      </c>
      <c r="T115" s="18">
        <f t="shared" si="3"/>
        <v>235</v>
      </c>
      <c r="U115" s="2">
        <f t="shared" ref="U115:AH115" si="112">IF(OR(F115=0,F115&lt;0.00001,F115&gt;100000),"",IF((IF(F115&gt;F$5,ABS(LOG(((F$5/SUM($F115:$S115))/(F$4/SUM($F$4:$S$4)))*4+2,2)),ABS(LOG(((F115/SUM($F115:$S115))/(F$4/SUM($F$4:$S$4)))*4+2,2)))-3)&gt;8,(IF(F115&gt;F$5,ABS(LOG(((F$5/SUM($F115:$S115))/(F$4/SUM($F$4:$S$4)))*4+2,2)),ABS(LOG(((F115/SUM($F115:$S115))/(F$4/SUM($F$4:$S$4)))*4+2,2)))-3)/7,IF(F115&gt;F$5,ABS(LOG(((F$5/SUM($F115:$S115))/(F$4/SUM($F$4:$S$4)))*4+2,2)),ABS(LOG(((F115/SUM($F115:$S115))/(F$4/SUM($F$4:$S$4)))*4+2,2)))-3))</f>
        <v>-1.120389704887129</v>
      </c>
      <c r="V115" s="2">
        <f t="shared" si="112"/>
        <v>-0.27977552301679376</v>
      </c>
      <c r="W115" s="2">
        <f t="shared" si="112"/>
        <v>4.7075513962111133</v>
      </c>
      <c r="X115" s="2">
        <f t="shared" si="112"/>
        <v>0.3424099467937789</v>
      </c>
      <c r="Y115" s="2">
        <f t="shared" si="112"/>
        <v>-0.82761691980791996</v>
      </c>
      <c r="Z115" s="2">
        <f t="shared" si="112"/>
        <v>7.5933475913894828</v>
      </c>
      <c r="AA115" s="2">
        <f t="shared" si="112"/>
        <v>4.7797203935013259</v>
      </c>
      <c r="AB115" s="2">
        <f t="shared" si="112"/>
        <v>0.42716078519662437</v>
      </c>
      <c r="AC115" s="2">
        <f t="shared" si="112"/>
        <v>-1.4286673242673056</v>
      </c>
      <c r="AD115" s="2">
        <f t="shared" si="112"/>
        <v>-1.7126055743177981</v>
      </c>
      <c r="AE115" s="2">
        <f t="shared" si="112"/>
        <v>-1.9999998077905945</v>
      </c>
      <c r="AF115" s="2">
        <f t="shared" si="112"/>
        <v>-0.46634274348310401</v>
      </c>
      <c r="AG115" s="2">
        <f t="shared" si="112"/>
        <v>-1.9820790301306899</v>
      </c>
      <c r="AH115" s="2">
        <f t="shared" si="112"/>
        <v>-0.26813864905907669</v>
      </c>
      <c r="AI115" s="18">
        <f t="shared" si="5"/>
        <v>235</v>
      </c>
      <c r="AJ115" s="2">
        <f t="shared" si="6"/>
        <v>1</v>
      </c>
    </row>
    <row r="116" spans="1:36" ht="10.5" customHeight="1" x14ac:dyDescent="0.25">
      <c r="A116" s="17">
        <v>108</v>
      </c>
      <c r="B116" s="2">
        <f t="shared" si="2"/>
        <v>1.3772643263425817</v>
      </c>
      <c r="C116" s="4">
        <v>1</v>
      </c>
      <c r="D116" s="4">
        <v>27.2102429541196</v>
      </c>
      <c r="E116" s="18">
        <v>236</v>
      </c>
      <c r="F116" s="5">
        <v>0.35520000000000002</v>
      </c>
      <c r="G116" s="5">
        <v>1.7799999999999999E-3</v>
      </c>
      <c r="H116" s="5">
        <v>3.6669999999999998</v>
      </c>
      <c r="I116" s="5">
        <v>0.30409999999999998</v>
      </c>
      <c r="J116" s="5">
        <v>2.1629999999999998</v>
      </c>
      <c r="K116" s="5">
        <v>3.581</v>
      </c>
      <c r="L116" s="5">
        <v>1.5189999999999999</v>
      </c>
      <c r="M116" s="5">
        <v>4.1099999999999998E-2</v>
      </c>
      <c r="N116" s="5">
        <v>6.4700000000000001E-3</v>
      </c>
      <c r="O116" s="5">
        <v>7.8319999999999999</v>
      </c>
      <c r="P116" s="5">
        <v>0.23719999999999999</v>
      </c>
      <c r="Q116" s="5">
        <v>5.2850000000000001</v>
      </c>
      <c r="R116" s="5">
        <v>5.6499999999999996E-3</v>
      </c>
      <c r="S116" s="5">
        <v>1.478</v>
      </c>
      <c r="T116" s="18">
        <f t="shared" si="3"/>
        <v>236</v>
      </c>
      <c r="U116" s="2">
        <f t="shared" ref="U116:AH116" si="113">IF(OR(F116=0,F116&lt;0.00001,F116&gt;100000),"",IF((IF(F116&gt;F$5,ABS(LOG(((F$5/SUM($F116:$S116))/(F$4/SUM($F$4:$S$4)))*4+2,2)),ABS(LOG(((F116/SUM($F116:$S116))/(F$4/SUM($F$4:$S$4)))*4+2,2)))-3)&gt;8,(IF(F116&gt;F$5,ABS(LOG(((F$5/SUM($F116:$S116))/(F$4/SUM($F$4:$S$4)))*4+2,2)),ABS(LOG(((F116/SUM($F116:$S116))/(F$4/SUM($F$4:$S$4)))*4+2,2)))-3)/7,IF(F116&gt;F$5,ABS(LOG(((F$5/SUM($F116:$S116))/(F$4/SUM($F$4:$S$4)))*4+2,2)),ABS(LOG(((F116/SUM($F116:$S116))/(F$4/SUM($F$4:$S$4)))*4+2,2)))-3))</f>
        <v>4.7789720304253871</v>
      </c>
      <c r="V116" s="2">
        <f t="shared" si="113"/>
        <v>-1.7729844877430201</v>
      </c>
      <c r="W116" s="2">
        <f t="shared" si="113"/>
        <v>1.1621364477551732</v>
      </c>
      <c r="X116" s="2">
        <f t="shared" si="113"/>
        <v>1.6605413788280279</v>
      </c>
      <c r="Y116" s="2">
        <f t="shared" si="113"/>
        <v>4.5396989747866172</v>
      </c>
      <c r="Z116" s="2">
        <f t="shared" si="113"/>
        <v>1.6286515001993891</v>
      </c>
      <c r="AA116" s="2">
        <f t="shared" si="113"/>
        <v>5.8683801991341795</v>
      </c>
      <c r="AB116" s="2">
        <f t="shared" si="113"/>
        <v>0.10885749444721338</v>
      </c>
      <c r="AC116" s="2">
        <f t="shared" si="113"/>
        <v>-1.3373571131044453</v>
      </c>
      <c r="AD116" s="2">
        <f t="shared" si="113"/>
        <v>3.2232060861315981</v>
      </c>
      <c r="AE116" s="2">
        <f t="shared" si="113"/>
        <v>-1.9999994475249805</v>
      </c>
      <c r="AF116" s="2">
        <f t="shared" si="113"/>
        <v>-1.1177245504287792</v>
      </c>
      <c r="AG116" s="2">
        <f t="shared" si="113"/>
        <v>-1.9886935677727295</v>
      </c>
      <c r="AH116" s="2">
        <f t="shared" si="113"/>
        <v>-1.6663156843667839</v>
      </c>
      <c r="AI116" s="18">
        <f t="shared" si="5"/>
        <v>236</v>
      </c>
      <c r="AJ116" s="2">
        <f t="shared" si="6"/>
        <v>2.0210242954119599</v>
      </c>
    </row>
    <row r="117" spans="1:36" ht="10.5" customHeight="1" x14ac:dyDescent="0.25">
      <c r="A117" s="17">
        <v>109</v>
      </c>
      <c r="B117" s="2">
        <f t="shared" si="2"/>
        <v>0.48100591801028697</v>
      </c>
      <c r="C117" s="4">
        <v>1</v>
      </c>
      <c r="D117" s="4">
        <v>21.003949881416201</v>
      </c>
      <c r="E117" s="18">
        <v>237</v>
      </c>
      <c r="F117" s="5">
        <v>2.24E-4</v>
      </c>
      <c r="G117" s="5">
        <v>0.1135</v>
      </c>
      <c r="H117" s="5">
        <v>0.14369999999999999</v>
      </c>
      <c r="I117" s="5">
        <v>0.52659999999999996</v>
      </c>
      <c r="J117" s="5">
        <v>4.6899999999999997E-2</v>
      </c>
      <c r="K117" s="5">
        <v>2.5100000000000001E-2</v>
      </c>
      <c r="L117" s="5">
        <v>0.34989999999999999</v>
      </c>
      <c r="M117" s="5">
        <v>6.9800000000000001E-2</v>
      </c>
      <c r="N117" s="5">
        <v>3.0200000000000001E-2</v>
      </c>
      <c r="O117" s="5">
        <v>2.5899999999999999E-2</v>
      </c>
      <c r="P117" s="5">
        <v>2.14E-4</v>
      </c>
      <c r="Q117" s="5">
        <v>21.92</v>
      </c>
      <c r="R117" s="5">
        <v>0.1144</v>
      </c>
      <c r="S117" s="5">
        <v>77.59</v>
      </c>
      <c r="T117" s="18">
        <f t="shared" si="3"/>
        <v>237</v>
      </c>
      <c r="U117" s="2">
        <f t="shared" ref="U117:AH117" si="114">IF(OR(F117=0,F117&lt;0.00001,F117&gt;100000),"",IF((IF(F117&gt;F$5,ABS(LOG(((F$5/SUM($F117:$S117))/(F$4/SUM($F$4:$S$4)))*4+2,2)),ABS(LOG(((F117/SUM($F117:$S117))/(F$4/SUM($F$4:$S$4)))*4+2,2)))-3)&gt;8,(IF(F117&gt;F$5,ABS(LOG(((F$5/SUM($F117:$S117))/(F$4/SUM($F$4:$S$4)))*4+2,2)),ABS(LOG(((F117/SUM($F117:$S117))/(F$4/SUM($F$4:$S$4)))*4+2,2)))-3)/7,IF(F117&gt;F$5,ABS(LOG(((F$5/SUM($F117:$S117))/(F$4/SUM($F$4:$S$4)))*4+2,2)),ABS(LOG(((F117/SUM($F117:$S117))/(F$4/SUM($F$4:$S$4)))*4+2,2)))-3))</f>
        <v>-1.9742665354926998</v>
      </c>
      <c r="V117" s="2">
        <f t="shared" si="114"/>
        <v>-5.5250355245548555E-2</v>
      </c>
      <c r="W117" s="2">
        <f t="shared" si="114"/>
        <v>1.649094256977869</v>
      </c>
      <c r="X117" s="2">
        <f t="shared" si="114"/>
        <v>0.65275250282773278</v>
      </c>
      <c r="Y117" s="2">
        <f t="shared" si="114"/>
        <v>-1.3927492990438379</v>
      </c>
      <c r="Z117" s="2">
        <f t="shared" si="114"/>
        <v>3.9143959337894483</v>
      </c>
      <c r="AA117" s="2">
        <f t="shared" si="114"/>
        <v>1.9122881203323967</v>
      </c>
      <c r="AB117" s="2">
        <f t="shared" si="114"/>
        <v>-0.69210710214712323</v>
      </c>
      <c r="AC117" s="2">
        <f t="shared" si="114"/>
        <v>-1.22293099572314</v>
      </c>
      <c r="AD117" s="2">
        <f t="shared" si="114"/>
        <v>-1.9552155819078139</v>
      </c>
      <c r="AE117" s="2">
        <f t="shared" si="114"/>
        <v>-1.9999998551097165</v>
      </c>
      <c r="AF117" s="2">
        <f t="shared" si="114"/>
        <v>-1.0609514663204325</v>
      </c>
      <c r="AG117" s="2">
        <f t="shared" si="114"/>
        <v>-1.9409507344815855</v>
      </c>
      <c r="AH117" s="2">
        <f t="shared" si="114"/>
        <v>0.19619990070902738</v>
      </c>
      <c r="AI117" s="18">
        <f t="shared" si="5"/>
        <v>237</v>
      </c>
      <c r="AJ117" s="2">
        <f t="shared" si="6"/>
        <v>1</v>
      </c>
    </row>
    <row r="118" spans="1:36" ht="10.5" customHeight="1" x14ac:dyDescent="0.25">
      <c r="A118" s="17">
        <v>110</v>
      </c>
      <c r="B118" s="2">
        <f t="shared" si="2"/>
        <v>0.15121033869217348</v>
      </c>
      <c r="C118" s="4">
        <v>1</v>
      </c>
      <c r="D118" s="4">
        <v>21.029932497382799</v>
      </c>
      <c r="E118" s="18">
        <v>238</v>
      </c>
      <c r="F118" s="5">
        <v>3.3800000000000002E-3</v>
      </c>
      <c r="G118" s="5">
        <v>0.13100000000000001</v>
      </c>
      <c r="H118" s="5">
        <v>0.2964</v>
      </c>
      <c r="I118" s="5">
        <v>1.3660000000000001</v>
      </c>
      <c r="J118" s="5">
        <v>4.4600000000000001E-2</v>
      </c>
      <c r="K118" s="5">
        <v>1.6299999999999999E-2</v>
      </c>
      <c r="L118" s="5">
        <v>0.85940000000000005</v>
      </c>
      <c r="M118" s="5">
        <v>0.14699999999999999</v>
      </c>
      <c r="N118" s="5">
        <v>3.9300000000000002E-2</v>
      </c>
      <c r="O118" s="5">
        <v>5.7299999999999997E-2</v>
      </c>
      <c r="P118" s="5">
        <v>5.1800000000000001E-4</v>
      </c>
      <c r="Q118" s="5">
        <v>12.58</v>
      </c>
      <c r="R118" s="5">
        <v>0.16739999999999999</v>
      </c>
      <c r="S118" s="5">
        <v>39.479999999999997</v>
      </c>
      <c r="T118" s="18">
        <f t="shared" si="3"/>
        <v>238</v>
      </c>
      <c r="U118" s="2">
        <f t="shared" ref="U118:AH118" si="115">IF(OR(F118=0,F118&lt;0.00001,F118&gt;100000),"",IF((IF(F118&gt;F$5,ABS(LOG(((F$5/SUM($F118:$S118))/(F$4/SUM($F$4:$S$4)))*4+2,2)),ABS(LOG(((F118/SUM($F118:$S118))/(F$4/SUM($F$4:$S$4)))*4+2,2)))-3)&gt;8,(IF(F118&gt;F$5,ABS(LOG(((F$5/SUM($F118:$S118))/(F$4/SUM($F$4:$S$4)))*4+2,2)),ABS(LOG(((F118/SUM($F118:$S118))/(F$4/SUM($F$4:$S$4)))*4+2,2)))-3)/7,IF(F118&gt;F$5,ABS(LOG(((F$5/SUM($F118:$S118))/(F$4/SUM($F$4:$S$4)))*4+2,2)),ABS(LOG(((F118/SUM($F118:$S118))/(F$4/SUM($F$4:$S$4)))*4+2,2)))-3))</f>
        <v>-1.4181466485917171</v>
      </c>
      <c r="V118" s="2">
        <f t="shared" si="115"/>
        <v>0.81079937280963721</v>
      </c>
      <c r="W118" s="2">
        <f t="shared" si="115"/>
        <v>3.4777738321746821</v>
      </c>
      <c r="X118" s="2">
        <f t="shared" si="115"/>
        <v>2.7057427132584442</v>
      </c>
      <c r="Y118" s="2">
        <f t="shared" si="115"/>
        <v>-1.0661102148587223</v>
      </c>
      <c r="Z118" s="2">
        <f t="shared" si="115"/>
        <v>4.1590818205533653</v>
      </c>
      <c r="AA118" s="2">
        <f t="shared" si="115"/>
        <v>4.0034800043436389</v>
      </c>
      <c r="AB118" s="2">
        <f t="shared" si="115"/>
        <v>0.74104807186023214</v>
      </c>
      <c r="AC118" s="2">
        <f t="shared" si="115"/>
        <v>-0.56765941150407917</v>
      </c>
      <c r="AD118" s="2">
        <f t="shared" si="115"/>
        <v>-1.8267448419656696</v>
      </c>
      <c r="AE118" s="2">
        <f t="shared" si="115"/>
        <v>-1.9999997349523846</v>
      </c>
      <c r="AF118" s="2">
        <f t="shared" si="115"/>
        <v>-1.0269520255634232</v>
      </c>
      <c r="AG118" s="2">
        <f t="shared" si="115"/>
        <v>-1.8470591612001632</v>
      </c>
      <c r="AH118" s="2">
        <f t="shared" si="115"/>
        <v>0.11595902304347572</v>
      </c>
      <c r="AI118" s="18">
        <f t="shared" si="5"/>
        <v>238</v>
      </c>
      <c r="AJ118" s="2">
        <f t="shared" si="6"/>
        <v>1</v>
      </c>
    </row>
    <row r="119" spans="1:36" ht="10.5" customHeight="1" x14ac:dyDescent="0.25">
      <c r="A119" s="17">
        <v>111</v>
      </c>
      <c r="B119" s="2">
        <f t="shared" si="2"/>
        <v>1.2149877545848677</v>
      </c>
      <c r="C119" s="4">
        <v>1</v>
      </c>
      <c r="D119" s="4">
        <v>24.339256106206701</v>
      </c>
      <c r="E119" s="18">
        <v>245</v>
      </c>
      <c r="F119" s="5">
        <v>4.1700000000000001E-3</v>
      </c>
      <c r="G119" s="5">
        <v>1.3699999999999999E-3</v>
      </c>
      <c r="H119" s="5">
        <v>1.7969999999999999</v>
      </c>
      <c r="I119" s="5">
        <v>2.2010000000000001</v>
      </c>
      <c r="J119" s="5">
        <v>1.171</v>
      </c>
      <c r="K119" s="5">
        <v>1.31</v>
      </c>
      <c r="L119" s="5">
        <v>6.8500000000000002E-3</v>
      </c>
      <c r="M119" s="5">
        <v>0.1193</v>
      </c>
      <c r="N119" s="5">
        <v>1.9099999999999999E-2</v>
      </c>
      <c r="O119" s="5">
        <v>0.30399999999999999</v>
      </c>
      <c r="P119" s="5">
        <v>5.3800000000000002E-3</v>
      </c>
      <c r="Q119" s="5">
        <v>1.863</v>
      </c>
      <c r="R119" s="5">
        <v>1.155</v>
      </c>
      <c r="S119" s="5">
        <v>1.4770000000000001</v>
      </c>
      <c r="T119" s="18">
        <f t="shared" si="3"/>
        <v>245</v>
      </c>
      <c r="U119" s="2">
        <f t="shared" ref="U119:AH119" si="116">IF(OR(F119=0,F119&lt;0.00001,F119&gt;100000),"",IF((IF(F119&gt;F$5,ABS(LOG(((F$5/SUM($F119:$S119))/(F$4/SUM($F$4:$S$4)))*4+2,2)),ABS(LOG(((F119/SUM($F119:$S119))/(F$4/SUM($F$4:$S$4)))*4+2,2)))-3)&gt;8,(IF(F119&gt;F$5,ABS(LOG(((F$5/SUM($F119:$S119))/(F$4/SUM($F$4:$S$4)))*4+2,2)),ABS(LOG(((F119/SUM($F119:$S119))/(F$4/SUM($F$4:$S$4)))*4+2,2)))-3)/7,IF(F119&gt;F$5,ABS(LOG(((F$5/SUM($F119:$S119))/(F$4/SUM($F$4:$S$4)))*4+2,2)),ABS(LOG(((F119/SUM($F119:$S119))/(F$4/SUM($F$4:$S$4)))*4+2,2)))-3))</f>
        <v>-1.5173790815146582E-2</v>
      </c>
      <c r="V119" s="2">
        <f t="shared" si="116"/>
        <v>-1.6173804135093848</v>
      </c>
      <c r="W119" s="2">
        <f t="shared" si="116"/>
        <v>1.1881648144358048</v>
      </c>
      <c r="X119" s="2">
        <f t="shared" si="116"/>
        <v>5.6159642526381184</v>
      </c>
      <c r="Y119" s="2">
        <f t="shared" si="116"/>
        <v>4.8626267879059251</v>
      </c>
      <c r="Z119" s="2">
        <f t="shared" si="116"/>
        <v>1.8016922110231712</v>
      </c>
      <c r="AA119" s="2">
        <f t="shared" si="116"/>
        <v>-0.22193637281352263</v>
      </c>
      <c r="AB119" s="2">
        <f t="shared" si="116"/>
        <v>2.5404652291795964</v>
      </c>
      <c r="AC119" s="2">
        <f t="shared" si="116"/>
        <v>0.31762067223903845</v>
      </c>
      <c r="AD119" s="2">
        <f t="shared" si="116"/>
        <v>9.3386467732647471E-2</v>
      </c>
      <c r="AE119" s="2">
        <f t="shared" si="116"/>
        <v>-1.9999987207115897</v>
      </c>
      <c r="AF119" s="2">
        <f t="shared" si="116"/>
        <v>-1.2444043882499083</v>
      </c>
      <c r="AG119" s="2">
        <f t="shared" si="116"/>
        <v>0.24009731374867238</v>
      </c>
      <c r="AH119" s="2">
        <f t="shared" si="116"/>
        <v>-1.3199774625995364</v>
      </c>
      <c r="AI119" s="18">
        <f t="shared" si="5"/>
        <v>245</v>
      </c>
      <c r="AJ119" s="2">
        <f t="shared" si="6"/>
        <v>1</v>
      </c>
    </row>
    <row r="120" spans="1:36" ht="10.5" customHeight="1" x14ac:dyDescent="0.25">
      <c r="A120" s="17">
        <v>112</v>
      </c>
      <c r="B120" s="2">
        <f t="shared" si="2"/>
        <v>1.5381782565732713</v>
      </c>
      <c r="C120" s="4">
        <v>1</v>
      </c>
      <c r="D120" s="4">
        <v>26.6874709345315</v>
      </c>
      <c r="E120" s="18">
        <v>246</v>
      </c>
      <c r="F120" s="5">
        <v>6.3299999999999997E-3</v>
      </c>
      <c r="G120" s="5"/>
      <c r="H120" s="5">
        <v>1.5129999999999999</v>
      </c>
      <c r="I120" s="5">
        <v>2.6709999999999998</v>
      </c>
      <c r="J120" s="5">
        <v>7.5389999999999997</v>
      </c>
      <c r="K120" s="5"/>
      <c r="L120" s="5">
        <v>3.7699999999999997E-2</v>
      </c>
      <c r="M120" s="5">
        <v>0.27139999999999997</v>
      </c>
      <c r="N120" s="5">
        <v>8.8099999999999998E-2</v>
      </c>
      <c r="O120" s="5">
        <v>6.6500000000000001E-4</v>
      </c>
      <c r="P120" s="5">
        <v>1.0500000000000001E-2</v>
      </c>
      <c r="Q120" s="5">
        <v>15.87</v>
      </c>
      <c r="R120" s="5">
        <v>1.6319999999999999</v>
      </c>
      <c r="S120" s="5">
        <v>9.4030000000000005</v>
      </c>
      <c r="T120" s="18">
        <f t="shared" si="3"/>
        <v>246</v>
      </c>
      <c r="U120" s="2">
        <f t="shared" ref="U120:AH120" si="117">IF(OR(F120=0,F120&lt;0.00001,F120&gt;100000),"",IF((IF(F120&gt;F$5,ABS(LOG(((F$5/SUM($F120:$S120))/(F$4/SUM($F$4:$S$4)))*4+2,2)),ABS(LOG(((F120/SUM($F120:$S120))/(F$4/SUM($F$4:$S$4)))*4+2,2)))-3)&gt;8,(IF(F120&gt;F$5,ABS(LOG(((F$5/SUM($F120:$S120))/(F$4/SUM($F$4:$S$4)))*4+2,2)),ABS(LOG(((F120/SUM($F120:$S120))/(F$4/SUM($F$4:$S$4)))*4+2,2)))-3)/7,IF(F120&gt;F$5,ABS(LOG(((F$5/SUM($F120:$S120))/(F$4/SUM($F$4:$S$4)))*4+2,2)),ABS(LOG(((F120/SUM($F120:$S120))/(F$4/SUM($F$4:$S$4)))*4+2,2)))-3))</f>
        <v>-0.78893700851973092</v>
      </c>
      <c r="V120" s="2" t="str">
        <f t="shared" si="117"/>
        <v/>
      </c>
      <c r="W120" s="2">
        <f t="shared" si="117"/>
        <v>6.3007254380296782</v>
      </c>
      <c r="X120" s="2">
        <f t="shared" si="117"/>
        <v>4.1367614485261281</v>
      </c>
      <c r="Y120" s="2">
        <f t="shared" si="117"/>
        <v>5.77172407656162</v>
      </c>
      <c r="Z120" s="2" t="str">
        <f t="shared" si="117"/>
        <v/>
      </c>
      <c r="AA120" s="2">
        <f t="shared" si="117"/>
        <v>0.2975315795160931</v>
      </c>
      <c r="AB120" s="2">
        <f t="shared" si="117"/>
        <v>1.9853177711495347</v>
      </c>
      <c r="AC120" s="2">
        <f t="shared" si="117"/>
        <v>0.67429508860929133</v>
      </c>
      <c r="AD120" s="2">
        <f t="shared" si="117"/>
        <v>-1.9969831962570024</v>
      </c>
      <c r="AE120" s="2">
        <f t="shared" si="117"/>
        <v>-1.9999996253433387</v>
      </c>
      <c r="AF120" s="2">
        <f t="shared" si="117"/>
        <v>-0.55787130275823715</v>
      </c>
      <c r="AG120" s="2">
        <f t="shared" si="117"/>
        <v>-0.65451538807879706</v>
      </c>
      <c r="AH120" s="2">
        <f t="shared" si="117"/>
        <v>-0.91409524363442829</v>
      </c>
      <c r="AI120" s="18">
        <f t="shared" si="5"/>
        <v>246</v>
      </c>
      <c r="AJ120" s="2">
        <f t="shared" si="6"/>
        <v>1</v>
      </c>
    </row>
    <row r="121" spans="1:36" ht="10.5" customHeight="1" x14ac:dyDescent="0.25">
      <c r="A121" s="17">
        <v>113</v>
      </c>
      <c r="B121" s="2">
        <f t="shared" si="2"/>
        <v>3.4425399166244333</v>
      </c>
      <c r="C121" s="4">
        <v>1</v>
      </c>
      <c r="D121" s="4">
        <v>22.9051220289595</v>
      </c>
      <c r="E121" s="18">
        <v>247</v>
      </c>
      <c r="F121" s="5">
        <v>7.4899999999999994E-2</v>
      </c>
      <c r="G121" s="5">
        <v>3.5799999999999998E-3</v>
      </c>
      <c r="H121" s="5">
        <v>2.3279999999999998</v>
      </c>
      <c r="I121" s="5">
        <v>1.016</v>
      </c>
      <c r="J121" s="5">
        <v>0.21729999999999999</v>
      </c>
      <c r="K121" s="5">
        <v>0.30659999999999998</v>
      </c>
      <c r="L121" s="5">
        <v>0.49080000000000001</v>
      </c>
      <c r="M121" s="5">
        <v>0.61539999999999995</v>
      </c>
      <c r="N121" s="5">
        <v>0.38080000000000003</v>
      </c>
      <c r="O121" s="5">
        <v>7.7499999999999999E-2</v>
      </c>
      <c r="P121" s="5">
        <v>9.7000000000000005E-4</v>
      </c>
      <c r="Q121" s="5">
        <v>56.66</v>
      </c>
      <c r="R121" s="5">
        <v>0.26479999999999998</v>
      </c>
      <c r="S121" s="5">
        <v>20.440000000000001</v>
      </c>
      <c r="T121" s="18">
        <f t="shared" si="3"/>
        <v>247</v>
      </c>
      <c r="U121" s="2">
        <f t="shared" ref="U121:AH121" si="118">IF(OR(F121=0,F121&lt;0.00001,F121&gt;100000),"",IF((IF(F121&gt;F$5,ABS(LOG(((F$5/SUM($F121:$S121))/(F$4/SUM($F$4:$S$4)))*4+2,2)),ABS(LOG(((F121/SUM($F121:$S121))/(F$4/SUM($F$4:$S$4)))*4+2,2)))-3)&gt;8,(IF(F121&gt;F$5,ABS(LOG(((F$5/SUM($F121:$S121))/(F$4/SUM($F$4:$S$4)))*4+2,2)),ABS(LOG(((F121/SUM($F121:$S121))/(F$4/SUM($F$4:$S$4)))*4+2,2)))-3)/7,IF(F121&gt;F$5,ABS(LOG(((F$5/SUM($F121:$S121))/(F$4/SUM($F$4:$S$4)))*4+2,2)),ABS(LOG(((F121/SUM($F121:$S121))/(F$4/SUM($F$4:$S$4)))*4+2,2)))-3))</f>
        <v>1.0584170697343263</v>
      </c>
      <c r="V121" s="2">
        <f t="shared" si="118"/>
        <v>-1.85009836719031</v>
      </c>
      <c r="W121" s="2">
        <f t="shared" si="118"/>
        <v>5.8382270813790544</v>
      </c>
      <c r="X121" s="2">
        <f t="shared" si="118"/>
        <v>1.7473540569027026</v>
      </c>
      <c r="Y121" s="2">
        <f t="shared" si="118"/>
        <v>-1.6753387282773868E-2</v>
      </c>
      <c r="Z121" s="2">
        <f t="shared" si="118"/>
        <v>7.7872027339533059</v>
      </c>
      <c r="AA121" s="2">
        <f t="shared" si="118"/>
        <v>2.6448763174400209</v>
      </c>
      <c r="AB121" s="2">
        <f t="shared" si="118"/>
        <v>2.0746804102624834</v>
      </c>
      <c r="AC121" s="2">
        <f t="shared" si="118"/>
        <v>1.5803404088144539</v>
      </c>
      <c r="AD121" s="2">
        <f t="shared" si="118"/>
        <v>-1.8430533978586485</v>
      </c>
      <c r="AE121" s="2">
        <f t="shared" si="118"/>
        <v>-1.9999998235014715</v>
      </c>
      <c r="AF121" s="2">
        <f t="shared" si="118"/>
        <v>-4.0886118654892112E-2</v>
      </c>
      <c r="AG121" s="2">
        <f t="shared" si="118"/>
        <v>-1.8393356189461525</v>
      </c>
      <c r="AH121" s="2">
        <f t="shared" si="118"/>
        <v>-0.89585813168853479</v>
      </c>
      <c r="AI121" s="18">
        <f t="shared" si="5"/>
        <v>247</v>
      </c>
      <c r="AJ121" s="2">
        <f t="shared" si="6"/>
        <v>1</v>
      </c>
    </row>
    <row r="122" spans="1:36" ht="10.5" customHeight="1" x14ac:dyDescent="0.25">
      <c r="A122" s="17">
        <v>114</v>
      </c>
      <c r="B122" s="2">
        <f t="shared" si="2"/>
        <v>1.0571243714003538</v>
      </c>
      <c r="C122" s="4">
        <v>1</v>
      </c>
      <c r="D122" s="4">
        <v>22.734542428486701</v>
      </c>
      <c r="E122" s="18">
        <v>248</v>
      </c>
      <c r="F122" s="5">
        <v>1.4200000000000001E-4</v>
      </c>
      <c r="G122" s="5">
        <v>0.1512</v>
      </c>
      <c r="H122" s="5">
        <v>0.82369999999999999</v>
      </c>
      <c r="I122" s="5">
        <v>0.85740000000000005</v>
      </c>
      <c r="J122" s="5">
        <v>0.17449999999999999</v>
      </c>
      <c r="K122" s="5">
        <v>0.1681</v>
      </c>
      <c r="L122" s="5">
        <v>0.82769999999999999</v>
      </c>
      <c r="M122" s="5">
        <v>0.82020000000000004</v>
      </c>
      <c r="N122" s="5">
        <v>0.47670000000000001</v>
      </c>
      <c r="O122" s="5">
        <v>0.2437</v>
      </c>
      <c r="P122" s="5">
        <v>8.8999999999999995E-4</v>
      </c>
      <c r="Q122" s="5">
        <v>62.53</v>
      </c>
      <c r="R122" s="5">
        <v>0.23219999999999999</v>
      </c>
      <c r="S122" s="5">
        <v>37.700000000000003</v>
      </c>
      <c r="T122" s="18">
        <f t="shared" si="3"/>
        <v>248</v>
      </c>
      <c r="U122" s="2">
        <f t="shared" ref="U122:AH122" si="119">IF(OR(F122=0,F122&lt;0.00001,F122&gt;100000),"",IF((IF(F122&gt;F$5,ABS(LOG(((F$5/SUM($F122:$S122))/(F$4/SUM($F$4:$S$4)))*4+2,2)),ABS(LOG(((F122/SUM($F122:$S122))/(F$4/SUM($F$4:$S$4)))*4+2,2)))-3)&gt;8,(IF(F122&gt;F$5,ABS(LOG(((F$5/SUM($F122:$S122))/(F$4/SUM($F$4:$S$4)))*4+2,2)),ABS(LOG(((F122/SUM($F122:$S122))/(F$4/SUM($F$4:$S$4)))*4+2,2)))-3)/7,IF(F122&gt;F$5,ABS(LOG(((F$5/SUM($F122:$S122))/(F$4/SUM($F$4:$S$4)))*4+2,2)),ABS(LOG(((F122/SUM($F122:$S122))/(F$4/SUM($F$4:$S$4)))*4+2,2)))-3))</f>
        <v>-1.9842614509767955</v>
      </c>
      <c r="V122" s="2">
        <f t="shared" si="119"/>
        <v>0.21718325257245086</v>
      </c>
      <c r="W122" s="2">
        <f t="shared" si="119"/>
        <v>4.0140666490617054</v>
      </c>
      <c r="X122" s="2">
        <f t="shared" si="119"/>
        <v>1.213935126438769</v>
      </c>
      <c r="Y122" s="2">
        <f t="shared" si="119"/>
        <v>-0.47787942303668718</v>
      </c>
      <c r="Z122" s="2">
        <f t="shared" si="119"/>
        <v>6.5808635661050623</v>
      </c>
      <c r="AA122" s="2">
        <f t="shared" si="119"/>
        <v>3.0429955653240093</v>
      </c>
      <c r="AB122" s="2">
        <f t="shared" si="119"/>
        <v>2.1434602212963476</v>
      </c>
      <c r="AC122" s="2">
        <f t="shared" si="119"/>
        <v>1.5644104874948743</v>
      </c>
      <c r="AD122" s="2">
        <f t="shared" si="119"/>
        <v>-1.6379813701126289</v>
      </c>
      <c r="AE122" s="2">
        <f t="shared" si="119"/>
        <v>-1.999999860697991</v>
      </c>
      <c r="AF122" s="2">
        <f t="shared" si="119"/>
        <v>-0.18618518096005099</v>
      </c>
      <c r="AG122" s="2">
        <f t="shared" si="119"/>
        <v>-1.8869275827713081</v>
      </c>
      <c r="AH122" s="2">
        <f t="shared" si="119"/>
        <v>-0.58118873859141473</v>
      </c>
      <c r="AI122" s="18">
        <f t="shared" si="5"/>
        <v>248</v>
      </c>
      <c r="AJ122" s="2">
        <f t="shared" si="6"/>
        <v>1</v>
      </c>
    </row>
    <row r="123" spans="1:36" ht="10.5" customHeight="1" x14ac:dyDescent="0.25">
      <c r="A123" s="17">
        <v>115</v>
      </c>
      <c r="B123" s="2">
        <f t="shared" si="2"/>
        <v>0.57955486705011705</v>
      </c>
      <c r="C123" s="4">
        <v>1</v>
      </c>
      <c r="D123" s="4">
        <v>28.7992146602482</v>
      </c>
      <c r="E123" s="18">
        <v>249</v>
      </c>
      <c r="F123" s="5">
        <v>0.28220000000000001</v>
      </c>
      <c r="G123" s="5">
        <v>3.2000000000000002E-3</v>
      </c>
      <c r="H123" s="5">
        <v>44.51</v>
      </c>
      <c r="I123" s="5">
        <v>31.09</v>
      </c>
      <c r="J123" s="5">
        <v>9.5839999999999996</v>
      </c>
      <c r="K123" s="5">
        <v>19.93</v>
      </c>
      <c r="L123" s="5">
        <v>0.56899999999999995</v>
      </c>
      <c r="M123" s="5">
        <v>12.47</v>
      </c>
      <c r="N123" s="5">
        <v>24.79</v>
      </c>
      <c r="O123" s="5">
        <v>364.2</v>
      </c>
      <c r="P123" s="5">
        <v>2.4399999999999999E-3</v>
      </c>
      <c r="Q123" s="5">
        <v>822.7</v>
      </c>
      <c r="R123" s="5">
        <v>0.46400000000000002</v>
      </c>
      <c r="S123" s="5">
        <v>456</v>
      </c>
      <c r="T123" s="18">
        <f t="shared" si="3"/>
        <v>249</v>
      </c>
      <c r="U123" s="2">
        <f t="shared" ref="U123:AH123" si="120">IF(OR(F123=0,F123&lt;0.00001,F123&gt;100000),"",IF((IF(F123&gt;F$5,ABS(LOG(((F$5/SUM($F123:$S123))/(F$4/SUM($F$4:$S$4)))*4+2,2)),ABS(LOG(((F123/SUM($F123:$S123))/(F$4/SUM($F$4:$S$4)))*4+2,2)))-3)&gt;8,(IF(F123&gt;F$5,ABS(LOG(((F$5/SUM($F123:$S123))/(F$4/SUM($F$4:$S$4)))*4+2,2)),ABS(LOG(((F123/SUM($F123:$S123))/(F$4/SUM($F$4:$S$4)))*4+2,2)))-3)/7,IF(F123&gt;F$5,ABS(LOG(((F$5/SUM($F123:$S123))/(F$4/SUM($F$4:$S$4)))*4+2,2)),ABS(LOG(((F123/SUM($F123:$S123))/(F$4/SUM($F$4:$S$4)))*4+2,2)))-3))</f>
        <v>-0.81020192211428199</v>
      </c>
      <c r="V123" s="2">
        <f t="shared" si="120"/>
        <v>-1.9934648853595536</v>
      </c>
      <c r="W123" s="2">
        <f t="shared" si="120"/>
        <v>5.5125654956050276</v>
      </c>
      <c r="X123" s="2">
        <f t="shared" si="120"/>
        <v>2.2206280744507554</v>
      </c>
      <c r="Y123" s="2">
        <f t="shared" si="120"/>
        <v>0.81625960082464877</v>
      </c>
      <c r="Z123" s="2">
        <f t="shared" si="120"/>
        <v>5.3330462956368088</v>
      </c>
      <c r="AA123" s="2">
        <f t="shared" si="120"/>
        <v>-0.80361309600723896</v>
      </c>
      <c r="AB123" s="2">
        <f t="shared" si="120"/>
        <v>1.9908280496533628</v>
      </c>
      <c r="AC123" s="2">
        <f t="shared" si="120"/>
        <v>3.0918039586717043</v>
      </c>
      <c r="AD123" s="2">
        <f t="shared" si="120"/>
        <v>0.7011313259216374</v>
      </c>
      <c r="AE123" s="2">
        <f t="shared" si="120"/>
        <v>-1.999999991812577</v>
      </c>
      <c r="AF123" s="2">
        <f t="shared" si="120"/>
        <v>-0.44154952033975192</v>
      </c>
      <c r="AG123" s="2">
        <f t="shared" si="120"/>
        <v>-1.9862513047368719</v>
      </c>
      <c r="AH123" s="2">
        <f t="shared" si="120"/>
        <v>-0.86919311824016177</v>
      </c>
      <c r="AI123" s="18">
        <f t="shared" si="5"/>
        <v>249</v>
      </c>
      <c r="AJ123" s="2">
        <f t="shared" si="6"/>
        <v>2.1799214660248198</v>
      </c>
    </row>
    <row r="124" spans="1:36" ht="10.5" customHeight="1" x14ac:dyDescent="0.25">
      <c r="A124" s="17">
        <v>116</v>
      </c>
      <c r="B124" s="2">
        <f t="shared" si="2"/>
        <v>1.5293331382401436</v>
      </c>
      <c r="C124" s="4">
        <v>1</v>
      </c>
      <c r="D124" s="4">
        <v>22.279205983227499</v>
      </c>
      <c r="E124" s="18">
        <v>272</v>
      </c>
      <c r="F124" s="5">
        <v>5.0900000000000001E-2</v>
      </c>
      <c r="G124" s="5">
        <v>0.76524999999999999</v>
      </c>
      <c r="H124" s="5">
        <v>0.45795000000000002</v>
      </c>
      <c r="I124" s="5">
        <v>3.577</v>
      </c>
      <c r="J124" s="5">
        <v>0.37025000000000002</v>
      </c>
      <c r="K124" s="5">
        <v>0.19370000000000001</v>
      </c>
      <c r="L124" s="5">
        <v>6.7669999999999995</v>
      </c>
      <c r="M124" s="5">
        <v>1.4295</v>
      </c>
      <c r="N124" s="5">
        <v>1.825E-3</v>
      </c>
      <c r="O124" s="5">
        <v>9.9250000000000005E-2</v>
      </c>
      <c r="P124" s="5">
        <v>5.3724999999999997E-3</v>
      </c>
      <c r="Q124" s="5">
        <v>30.939999999999998</v>
      </c>
      <c r="R124" s="5">
        <v>0.72445000000000004</v>
      </c>
      <c r="S124" s="5">
        <v>107.25</v>
      </c>
      <c r="T124" s="18">
        <f t="shared" si="3"/>
        <v>272</v>
      </c>
      <c r="U124" s="2">
        <f t="shared" ref="U124:AH124" si="121">IF(OR(F124=0,F124&lt;0.00001,F124&gt;100000),"",IF((IF(F124&gt;F$5,ABS(LOG(((F$5/SUM($F124:$S124))/(F$4/SUM($F$4:$S$4)))*4+2,2)),ABS(LOG(((F124/SUM($F124:$S124))/(F$4/SUM($F$4:$S$4)))*4+2,2)))-3)&gt;8,(IF(F124&gt;F$5,ABS(LOG(((F$5/SUM($F124:$S124))/(F$4/SUM($F$4:$S$4)))*4+2,2)),ABS(LOG(((F124/SUM($F124:$S124))/(F$4/SUM($F$4:$S$4)))*4+2,2)))-3)/7,IF(F124&gt;F$5,ABS(LOG(((F$5/SUM($F124:$S124))/(F$4/SUM($F$4:$S$4)))*4+2,2)),ABS(LOG(((F124/SUM($F124:$S124))/(F$4/SUM($F$4:$S$4)))*4+2,2)))-3))</f>
        <v>-0.11054490073067891</v>
      </c>
      <c r="V124" s="2">
        <f t="shared" si="121"/>
        <v>1.7770017367790842</v>
      </c>
      <c r="W124" s="2">
        <f t="shared" si="121"/>
        <v>2.6631511663017555</v>
      </c>
      <c r="X124" s="2">
        <f t="shared" si="121"/>
        <v>2.6300171892696991</v>
      </c>
      <c r="Y124" s="2">
        <f t="shared" si="121"/>
        <v>-9.9750045700910839E-2</v>
      </c>
      <c r="Z124" s="2">
        <f t="shared" si="121"/>
        <v>6.2467685250153959</v>
      </c>
      <c r="AA124" s="2">
        <f t="shared" si="121"/>
        <v>5.4983115738160411</v>
      </c>
      <c r="AB124" s="2">
        <f t="shared" si="121"/>
        <v>2.3917240693742796</v>
      </c>
      <c r="AC124" s="2">
        <f t="shared" si="121"/>
        <v>-1.9594231219216649</v>
      </c>
      <c r="AD124" s="2">
        <f t="shared" si="121"/>
        <v>-1.8890821985032371</v>
      </c>
      <c r="AE124" s="2">
        <f t="shared" si="121"/>
        <v>-1.9999999041644985</v>
      </c>
      <c r="AF124" s="2">
        <f t="shared" si="121"/>
        <v>-1.1075164499618022</v>
      </c>
      <c r="AG124" s="2">
        <f t="shared" si="121"/>
        <v>-1.7673444035149919</v>
      </c>
      <c r="AH124" s="2">
        <f t="shared" si="121"/>
        <v>9.6124529498574418E-2</v>
      </c>
      <c r="AI124" s="18">
        <f t="shared" si="5"/>
        <v>272</v>
      </c>
      <c r="AJ124" s="2">
        <f t="shared" si="6"/>
        <v>1</v>
      </c>
    </row>
    <row r="125" spans="1:36" ht="10.5" customHeight="1" x14ac:dyDescent="0.25">
      <c r="A125" s="17">
        <v>117</v>
      </c>
      <c r="B125" s="2">
        <f t="shared" si="2"/>
        <v>0.55644033310409313</v>
      </c>
      <c r="C125" s="4">
        <v>1</v>
      </c>
      <c r="D125" s="4">
        <v>24.182121231083102</v>
      </c>
      <c r="E125" s="18">
        <v>277</v>
      </c>
      <c r="F125" s="5">
        <v>4.4799999999999996E-3</v>
      </c>
      <c r="G125" s="5">
        <v>3.2300000000000002E-2</v>
      </c>
      <c r="H125" s="5">
        <v>10.79</v>
      </c>
      <c r="I125" s="5">
        <v>1.1830000000000001</v>
      </c>
      <c r="J125" s="5">
        <v>0.17649999999999999</v>
      </c>
      <c r="K125" s="5">
        <v>0.30509999999999998</v>
      </c>
      <c r="L125" s="5">
        <v>1.214</v>
      </c>
      <c r="M125" s="5">
        <v>5.343</v>
      </c>
      <c r="N125" s="5">
        <v>0.3165</v>
      </c>
      <c r="O125" s="5">
        <v>0.2646</v>
      </c>
      <c r="P125" s="5">
        <v>1.15E-2</v>
      </c>
      <c r="Q125" s="5">
        <v>791.1</v>
      </c>
      <c r="R125" s="5">
        <v>1.89E-3</v>
      </c>
      <c r="S125" s="5">
        <v>41.17</v>
      </c>
      <c r="T125" s="18">
        <f t="shared" si="3"/>
        <v>277</v>
      </c>
      <c r="U125" s="2">
        <f t="shared" ref="U125:AH125" si="122">IF(OR(F125=0,F125&lt;0.00001,F125&gt;100000),"",IF((IF(F125&gt;F$5,ABS(LOG(((F$5/SUM($F125:$S125))/(F$4/SUM($F$4:$S$4)))*4+2,2)),ABS(LOG(((F125/SUM($F125:$S125))/(F$4/SUM($F$4:$S$4)))*4+2,2)))-3)&gt;8,(IF(F125&gt;F$5,ABS(LOG(((F$5/SUM($F125:$S125))/(F$4/SUM($F$4:$S$4)))*4+2,2)),ABS(LOG(((F125/SUM($F125:$S125))/(F$4/SUM($F$4:$S$4)))*4+2,2)))-3)/7,IF(F125&gt;F$5,ABS(LOG(((F$5/SUM($F125:$S125))/(F$4/SUM($F$4:$S$4)))*4+2,2)),ABS(LOG(((F125/SUM($F125:$S125))/(F$4/SUM($F$4:$S$4)))*4+2,2)))-3))</f>
        <v>-1.9397379080623398</v>
      </c>
      <c r="V125" s="2">
        <f t="shared" si="122"/>
        <v>-1.8676139552941187</v>
      </c>
      <c r="W125" s="2">
        <f t="shared" si="122"/>
        <v>4.6967477137337559</v>
      </c>
      <c r="X125" s="2">
        <f t="shared" si="122"/>
        <v>-0.73219243342209461</v>
      </c>
      <c r="Y125" s="2">
        <f t="shared" si="122"/>
        <v>-1.6973561474244638</v>
      </c>
      <c r="Z125" s="2">
        <f t="shared" si="122"/>
        <v>4.4336127938487158</v>
      </c>
      <c r="AA125" s="2">
        <f t="shared" si="122"/>
        <v>0.76115620549124019</v>
      </c>
      <c r="AB125" s="2">
        <f t="shared" si="122"/>
        <v>1.8467306248166189</v>
      </c>
      <c r="AC125" s="2">
        <f t="shared" si="122"/>
        <v>-1.0844289641434219</v>
      </c>
      <c r="AD125" s="2">
        <f t="shared" si="122"/>
        <v>-1.945955181163858</v>
      </c>
      <c r="AE125" s="2">
        <f t="shared" si="122"/>
        <v>-1.9999999828296906</v>
      </c>
      <c r="AF125" s="2">
        <f t="shared" si="122"/>
        <v>0.29955208542240586</v>
      </c>
      <c r="AG125" s="2">
        <f t="shared" si="122"/>
        <v>-1.9998819979715763</v>
      </c>
      <c r="AH125" s="2">
        <f t="shared" si="122"/>
        <v>-1.7068869703361962</v>
      </c>
      <c r="AI125" s="18">
        <f t="shared" si="5"/>
        <v>277</v>
      </c>
      <c r="AJ125" s="2">
        <f t="shared" si="6"/>
        <v>1</v>
      </c>
    </row>
    <row r="126" spans="1:36" ht="10.5" customHeight="1" x14ac:dyDescent="0.25">
      <c r="A126" s="17">
        <v>118</v>
      </c>
      <c r="B126" s="2">
        <f t="shared" si="2"/>
        <v>2.5253854805190126E-2</v>
      </c>
      <c r="C126" s="4">
        <v>1</v>
      </c>
      <c r="D126" s="4">
        <v>18.926963510414499</v>
      </c>
      <c r="E126" s="18" t="s">
        <v>37</v>
      </c>
      <c r="F126" s="5">
        <v>2.5000000000000001E-3</v>
      </c>
      <c r="G126" s="5">
        <v>3.7199999999999997E-2</v>
      </c>
      <c r="H126" s="5">
        <v>2.3599999999999999E-2</v>
      </c>
      <c r="I126" s="5">
        <v>0.50900000000000001</v>
      </c>
      <c r="J126" s="5">
        <v>2.1100000000000001E-2</v>
      </c>
      <c r="K126" s="5">
        <v>1.04E-2</v>
      </c>
      <c r="L126" s="5">
        <v>0.60389999999999999</v>
      </c>
      <c r="M126" s="5">
        <v>0.2387</v>
      </c>
      <c r="N126" s="5">
        <v>4.4000000000000003E-3</v>
      </c>
      <c r="O126" s="5">
        <v>3.4199999999999999E-3</v>
      </c>
      <c r="P126" s="5">
        <v>3.1799999999999998E-4</v>
      </c>
      <c r="Q126" s="5">
        <v>18.45</v>
      </c>
      <c r="R126" s="5">
        <v>7.4800000000000005E-2</v>
      </c>
      <c r="S126" s="5">
        <v>26.11</v>
      </c>
      <c r="T126" s="18" t="str">
        <f t="shared" si="3"/>
        <v>DA-AG3</v>
      </c>
      <c r="U126" s="2">
        <f t="shared" ref="U126:AH126" si="123">IF(OR(F126=0,F126&lt;0.00001,F126&gt;100000),"",IF((IF(F126&gt;F$5,ABS(LOG(((F$5/SUM($F126:$S126))/(F$4/SUM($F$4:$S$4)))*4+2,2)),ABS(LOG(((F126/SUM($F126:$S126))/(F$4/SUM($F$4:$S$4)))*4+2,2)))-3)&gt;8,(IF(F126&gt;F$5,ABS(LOG(((F$5/SUM($F126:$S126))/(F$4/SUM($F$4:$S$4)))*4+2,2)),ABS(LOG(((F126/SUM($F126:$S126))/(F$4/SUM($F$4:$S$4)))*4+2,2)))-3)/7,IF(F126&gt;F$5,ABS(LOG(((F$5/SUM($F126:$S126))/(F$4/SUM($F$4:$S$4)))*4+2,2)),ABS(LOG(((F126/SUM($F126:$S126))/(F$4/SUM($F$4:$S$4)))*4+2,2)))-3))</f>
        <v>-1.4739559415837096</v>
      </c>
      <c r="V126" s="2">
        <f t="shared" si="123"/>
        <v>-0.39313847362935661</v>
      </c>
      <c r="W126" s="2">
        <f t="shared" si="123"/>
        <v>0.36551527350870128</v>
      </c>
      <c r="X126" s="2">
        <f t="shared" si="123"/>
        <v>1.6084983452895107</v>
      </c>
      <c r="Y126" s="2">
        <f t="shared" si="123"/>
        <v>-1.3999693045730106</v>
      </c>
      <c r="Z126" s="2">
        <f t="shared" si="123"/>
        <v>3.7769533265954944</v>
      </c>
      <c r="AA126" s="2">
        <f t="shared" si="123"/>
        <v>3.7586287359638213</v>
      </c>
      <c r="AB126" s="2">
        <f t="shared" si="123"/>
        <v>1.5915547381582105</v>
      </c>
      <c r="AC126" s="2">
        <f t="shared" si="123"/>
        <v>-1.7039809254651948</v>
      </c>
      <c r="AD126" s="2">
        <f t="shared" si="123"/>
        <v>-1.9869029886995</v>
      </c>
      <c r="AE126" s="2">
        <f t="shared" si="123"/>
        <v>-1.9999996826249482</v>
      </c>
      <c r="AF126" s="2">
        <f t="shared" si="123"/>
        <v>-0.57177449521749857</v>
      </c>
      <c r="AG126" s="2">
        <f t="shared" si="123"/>
        <v>-1.9161580908758464</v>
      </c>
      <c r="AH126" s="2">
        <f t="shared" si="123"/>
        <v>-0.13571946663417656</v>
      </c>
      <c r="AI126" s="18" t="str">
        <f t="shared" si="5"/>
        <v>DA-AG3</v>
      </c>
      <c r="AJ126" s="2">
        <f t="shared" si="6"/>
        <v>1</v>
      </c>
    </row>
    <row r="127" spans="1:36" ht="10.5" customHeight="1" x14ac:dyDescent="0.25">
      <c r="A127" s="17">
        <v>119</v>
      </c>
      <c r="B127" s="2">
        <f t="shared" si="2"/>
        <v>0.61258996761728912</v>
      </c>
      <c r="C127" s="4">
        <v>1</v>
      </c>
      <c r="D127" s="4">
        <v>18.423830412700902</v>
      </c>
      <c r="E127" s="18" t="s">
        <v>38</v>
      </c>
      <c r="F127" s="5">
        <v>5.5599999999999998E-3</v>
      </c>
      <c r="G127" s="5">
        <v>0.14630000000000001</v>
      </c>
      <c r="H127" s="5">
        <v>0.14549999999999999</v>
      </c>
      <c r="I127" s="5">
        <v>0.8579</v>
      </c>
      <c r="J127" s="5">
        <v>2.2599999999999999E-2</v>
      </c>
      <c r="K127" s="5">
        <v>4.7899999999999998E-2</v>
      </c>
      <c r="L127" s="5">
        <v>1.1160000000000001</v>
      </c>
      <c r="M127" s="5">
        <v>0.48320000000000002</v>
      </c>
      <c r="N127" s="5">
        <v>2.97E-3</v>
      </c>
      <c r="O127" s="5">
        <v>4.3299999999999996E-3</v>
      </c>
      <c r="P127" s="5">
        <v>2.06E-2</v>
      </c>
      <c r="Q127" s="5">
        <v>11.27</v>
      </c>
      <c r="R127" s="5">
        <v>4.7E-2</v>
      </c>
      <c r="S127" s="5">
        <v>20.420000000000002</v>
      </c>
      <c r="T127" s="18" t="str">
        <f t="shared" si="3"/>
        <v>DA-JE4</v>
      </c>
      <c r="U127" s="2">
        <f t="shared" ref="U127:AH127" si="124">IF(OR(F127=0,F127&lt;0.00001,F127&gt;100000),"",IF((IF(F127&gt;F$5,ABS(LOG(((F$5/SUM($F127:$S127))/(F$4/SUM($F$4:$S$4)))*4+2,2)),ABS(LOG(((F127/SUM($F127:$S127))/(F$4/SUM($F$4:$S$4)))*4+2,2)))-3)&gt;8,(IF(F127&gt;F$5,ABS(LOG(((F$5/SUM($F127:$S127))/(F$4/SUM($F$4:$S$4)))*4+2,2)),ABS(LOG(((F127/SUM($F127:$S127))/(F$4/SUM($F$4:$S$4)))*4+2,2)))-3)/7,IF(F127&gt;F$5,ABS(LOG(((F$5/SUM($F127:$S127))/(F$4/SUM($F$4:$S$4)))*4+2,2)),ABS(LOG(((F127/SUM($F127:$S127))/(F$4/SUM($F$4:$S$4)))*4+2,2)))-3))</f>
        <v>-0.79597745087326111</v>
      </c>
      <c r="V127" s="2">
        <f t="shared" si="124"/>
        <v>1.5510207131050615</v>
      </c>
      <c r="W127" s="2">
        <f t="shared" si="124"/>
        <v>3.1342013095022203</v>
      </c>
      <c r="X127" s="2">
        <f t="shared" si="124"/>
        <v>2.708574945962873</v>
      </c>
      <c r="Y127" s="2">
        <f t="shared" si="124"/>
        <v>-1.2041794268952735</v>
      </c>
      <c r="Z127" s="2">
        <f t="shared" si="124"/>
        <v>6.3722857391236793</v>
      </c>
      <c r="AA127" s="2">
        <f t="shared" si="124"/>
        <v>5.0427551411409137</v>
      </c>
      <c r="AB127" s="2">
        <f t="shared" si="124"/>
        <v>2.9457166492355569</v>
      </c>
      <c r="AC127" s="2">
        <f t="shared" si="124"/>
        <v>-1.7311568958713719</v>
      </c>
      <c r="AD127" s="2">
        <f t="shared" si="124"/>
        <v>-1.9779738313716211</v>
      </c>
      <c r="AE127" s="2">
        <f t="shared" si="124"/>
        <v>-1.9999995771129022</v>
      </c>
      <c r="AF127" s="2">
        <f t="shared" si="124"/>
        <v>-0.75118773080111323</v>
      </c>
      <c r="AG127" s="2">
        <f t="shared" si="124"/>
        <v>-1.9294768611988609</v>
      </c>
      <c r="AH127" s="2">
        <f t="shared" si="124"/>
        <v>-9.2345029194941919E-2</v>
      </c>
      <c r="AI127" s="18" t="str">
        <f t="shared" si="5"/>
        <v>DA-JE4</v>
      </c>
      <c r="AJ127" s="2">
        <f t="shared" si="6"/>
        <v>1</v>
      </c>
    </row>
    <row r="128" spans="1:36" ht="10.5" customHeight="1" x14ac:dyDescent="0.25">
      <c r="A128" s="17">
        <v>120</v>
      </c>
      <c r="B128" s="2">
        <f t="shared" si="2"/>
        <v>1.2349127572995824</v>
      </c>
      <c r="C128" s="4">
        <v>1</v>
      </c>
      <c r="D128" s="4">
        <v>25.153742256754899</v>
      </c>
      <c r="E128" s="18" t="s">
        <v>39</v>
      </c>
      <c r="F128" s="5">
        <v>2.9899999999999999E-2</v>
      </c>
      <c r="G128" s="5">
        <v>1.5860000000000001</v>
      </c>
      <c r="H128" s="5">
        <v>1.833</v>
      </c>
      <c r="I128" s="5">
        <v>0.74670000000000003</v>
      </c>
      <c r="J128" s="5">
        <v>0.1827</v>
      </c>
      <c r="K128" s="5">
        <v>0.39429999999999998</v>
      </c>
      <c r="L128" s="5">
        <v>0.33710000000000001</v>
      </c>
      <c r="M128" s="5">
        <v>0.27879999999999999</v>
      </c>
      <c r="N128" s="5">
        <v>3.3300000000000003E-2</v>
      </c>
      <c r="O128" s="5">
        <v>0.1782</v>
      </c>
      <c r="P128" s="5">
        <v>1.4430000000000001</v>
      </c>
      <c r="Q128" s="5">
        <v>7.4560000000000004</v>
      </c>
      <c r="R128" s="5">
        <v>1.0229999999999999</v>
      </c>
      <c r="S128" s="5">
        <v>48.9</v>
      </c>
      <c r="T128" s="18" t="str">
        <f t="shared" si="3"/>
        <v>ENK-M</v>
      </c>
      <c r="U128" s="2">
        <f t="shared" ref="U128:AH128" si="125">IF(OR(F128=0,F128&lt;0.00001,F128&gt;100000),"",IF((IF(F128&gt;F$5,ABS(LOG(((F$5/SUM($F128:$S128))/(F$4/SUM($F$4:$S$4)))*4+2,2)),ABS(LOG(((F128/SUM($F128:$S128))/(F$4/SUM($F$4:$S$4)))*4+2,2)))-3)&gt;8,(IF(F128&gt;F$5,ABS(LOG(((F$5/SUM($F128:$S128))/(F$4/SUM($F$4:$S$4)))*4+2,2)),ABS(LOG(((F128/SUM($F128:$S128))/(F$4/SUM($F$4:$S$4)))*4+2,2)))-3)/7,IF(F128&gt;F$5,ABS(LOG(((F$5/SUM($F128:$S128))/(F$4/SUM($F$4:$S$4)))*4+2,2)),ABS(LOG(((F128/SUM($F128:$S128))/(F$4/SUM($F$4:$S$4)))*4+2,2)))-3))</f>
        <v>0.25237320634295823</v>
      </c>
      <c r="V128" s="2">
        <f t="shared" si="125"/>
        <v>3.9864866655253302</v>
      </c>
      <c r="W128" s="2">
        <f t="shared" si="125"/>
        <v>5.8566745994669276</v>
      </c>
      <c r="X128" s="2">
        <f t="shared" si="125"/>
        <v>1.6726483505016052</v>
      </c>
      <c r="Y128" s="2">
        <f t="shared" si="125"/>
        <v>6.8644841948510393E-2</v>
      </c>
      <c r="Z128" s="2">
        <f t="shared" si="125"/>
        <v>1.2161292796082794</v>
      </c>
      <c r="AA128" s="2">
        <f t="shared" si="125"/>
        <v>2.4739072252469105</v>
      </c>
      <c r="AB128" s="2">
        <f t="shared" si="125"/>
        <v>1.3558193295883871</v>
      </c>
      <c r="AC128" s="2">
        <f t="shared" si="125"/>
        <v>-0.84091258223103837</v>
      </c>
      <c r="AD128" s="2">
        <f t="shared" si="125"/>
        <v>-1.5778180796142682</v>
      </c>
      <c r="AE128" s="2">
        <f t="shared" si="125"/>
        <v>-1.9999997729408199</v>
      </c>
      <c r="AF128" s="2">
        <f t="shared" si="125"/>
        <v>-1.4257103998462064</v>
      </c>
      <c r="AG128" s="2">
        <f t="shared" si="125"/>
        <v>-1.3350859197672449</v>
      </c>
      <c r="AH128" s="2">
        <f t="shared" si="125"/>
        <v>0.18220249957636048</v>
      </c>
      <c r="AI128" s="18" t="str">
        <f t="shared" si="5"/>
        <v>ENK-M</v>
      </c>
      <c r="AJ128" s="2">
        <f t="shared" si="6"/>
        <v>1</v>
      </c>
    </row>
    <row r="129" spans="1:36" ht="10.5" customHeight="1" x14ac:dyDescent="0.25">
      <c r="A129" s="17">
        <v>121</v>
      </c>
      <c r="B129" s="2">
        <f t="shared" si="2"/>
        <v>2.0588759246973951</v>
      </c>
      <c r="C129" s="4">
        <v>1</v>
      </c>
      <c r="D129" s="4">
        <v>23.590565295044001</v>
      </c>
      <c r="E129" s="18" t="s">
        <v>40</v>
      </c>
      <c r="F129" s="5">
        <v>0.123</v>
      </c>
      <c r="G129" s="5">
        <v>1.5840000000000001</v>
      </c>
      <c r="H129" s="5">
        <v>0.73560000000000003</v>
      </c>
      <c r="I129" s="5">
        <v>1.2270000000000001</v>
      </c>
      <c r="J129" s="5">
        <v>0.35249999999999998</v>
      </c>
      <c r="K129" s="5">
        <v>0.40439999999999998</v>
      </c>
      <c r="L129" s="5">
        <v>1.65</v>
      </c>
      <c r="M129" s="5">
        <v>0.64790000000000003</v>
      </c>
      <c r="N129" s="5">
        <v>6.4100000000000004E-2</v>
      </c>
      <c r="O129" s="5">
        <v>0.50409999999999999</v>
      </c>
      <c r="P129" s="5">
        <v>1.0820000000000001</v>
      </c>
      <c r="Q129" s="5">
        <v>5.7830000000000004</v>
      </c>
      <c r="R129" s="5">
        <v>0.27779999999999999</v>
      </c>
      <c r="S129" s="5">
        <v>77.73</v>
      </c>
      <c r="T129" s="18" t="str">
        <f t="shared" si="3"/>
        <v>IR-M</v>
      </c>
      <c r="U129" s="2">
        <f t="shared" ref="U129:AH129" si="126">IF(OR(F129=0,F129&lt;0.00001,F129&gt;100000),"",IF((IF(F129&gt;F$5,ABS(LOG(((F$5/SUM($F129:$S129))/(F$4/SUM($F$4:$S$4)))*4+2,2)),ABS(LOG(((F129/SUM($F129:$S129))/(F$4/SUM($F$4:$S$4)))*4+2,2)))-3)&gt;8,(IF(F129&gt;F$5,ABS(LOG(((F$5/SUM($F129:$S129))/(F$4/SUM($F$4:$S$4)))*4+2,2)),ABS(LOG(((F129/SUM($F129:$S129))/(F$4/SUM($F$4:$S$4)))*4+2,2)))-3)/7,IF(F129&gt;F$5,ABS(LOG(((F$5/SUM($F129:$S129))/(F$4/SUM($F$4:$S$4)))*4+2,2)),ABS(LOG(((F129/SUM($F129:$S129))/(F$4/SUM($F$4:$S$4)))*4+2,2)))-3))</f>
        <v>1.5637623334853217</v>
      </c>
      <c r="V129" s="2">
        <f t="shared" si="126"/>
        <v>3.4778012687603574</v>
      </c>
      <c r="W129" s="2">
        <f t="shared" si="126"/>
        <v>4.0386663929229289</v>
      </c>
      <c r="X129" s="2">
        <f t="shared" si="126"/>
        <v>1.8578005166452316</v>
      </c>
      <c r="Y129" s="2">
        <f t="shared" si="126"/>
        <v>0.40836186946571074</v>
      </c>
      <c r="Z129" s="2">
        <f t="shared" si="126"/>
        <v>1.1475874745917909</v>
      </c>
      <c r="AA129" s="2">
        <f t="shared" si="126"/>
        <v>4.2017589249717942</v>
      </c>
      <c r="AB129" s="2">
        <f t="shared" si="126"/>
        <v>2.0004794932107366</v>
      </c>
      <c r="AC129" s="2">
        <f t="shared" si="126"/>
        <v>-0.5890052004873092</v>
      </c>
      <c r="AD129" s="2">
        <f t="shared" si="126"/>
        <v>-1.2582591451303389</v>
      </c>
      <c r="AE129" s="2">
        <f t="shared" si="126"/>
        <v>-1.9999998412896072</v>
      </c>
      <c r="AF129" s="2">
        <f t="shared" si="126"/>
        <v>-1.6607742757192447</v>
      </c>
      <c r="AG129" s="2">
        <f t="shared" si="126"/>
        <v>-1.8479726849896565</v>
      </c>
      <c r="AH129" s="2">
        <f t="shared" si="126"/>
        <v>0.30203177225980093</v>
      </c>
      <c r="AI129" s="18" t="str">
        <f t="shared" si="5"/>
        <v>IR-M</v>
      </c>
      <c r="AJ129" s="2">
        <f t="shared" si="6"/>
        <v>1</v>
      </c>
    </row>
    <row r="130" spans="1:36" ht="10.5" customHeight="1" x14ac:dyDescent="0.25">
      <c r="A130" s="17">
        <v>122</v>
      </c>
      <c r="B130" s="2">
        <f t="shared" si="2"/>
        <v>1.9995252085667103</v>
      </c>
      <c r="C130" s="4">
        <v>1</v>
      </c>
      <c r="D130" s="4">
        <v>22.362721476659949</v>
      </c>
      <c r="E130" s="18" t="s">
        <v>41</v>
      </c>
      <c r="F130" s="5">
        <v>3.0350000000000002E-2</v>
      </c>
      <c r="G130" s="5">
        <v>0.90110000000000001</v>
      </c>
      <c r="H130" s="5">
        <v>0.26285000000000003</v>
      </c>
      <c r="I130" s="5">
        <v>0.69514999999999993</v>
      </c>
      <c r="J130" s="5">
        <v>0.72084999999999999</v>
      </c>
      <c r="K130" s="5"/>
      <c r="L130" s="5">
        <v>2.2590000000000003</v>
      </c>
      <c r="M130" s="5">
        <v>0.62190000000000001</v>
      </c>
      <c r="N130" s="5">
        <v>0.14435000000000001</v>
      </c>
      <c r="O130" s="5">
        <v>0.75</v>
      </c>
      <c r="P130" s="5">
        <v>1.0815000000000001</v>
      </c>
      <c r="Q130" s="5">
        <v>14.955</v>
      </c>
      <c r="R130" s="5">
        <v>0.47084999999999999</v>
      </c>
      <c r="S130" s="5">
        <v>49.019999999999996</v>
      </c>
      <c r="T130" s="18" t="str">
        <f t="shared" si="3"/>
        <v>JH-M</v>
      </c>
      <c r="U130" s="2">
        <f t="shared" ref="U130:AH130" si="127">IF(OR(F130=0,F130&lt;0.00001,F130&gt;100000),"",IF((IF(F130&gt;F$5,ABS(LOG(((F$5/SUM($F130:$S130))/(F$4/SUM($F$4:$S$4)))*4+2,2)),ABS(LOG(((F130/SUM($F130:$S130))/(F$4/SUM($F$4:$S$4)))*4+2,2)))-3)&gt;8,(IF(F130&gt;F$5,ABS(LOG(((F$5/SUM($F130:$S130))/(F$4/SUM($F$4:$S$4)))*4+2,2)),ABS(LOG(((F130/SUM($F130:$S130))/(F$4/SUM($F$4:$S$4)))*4+2,2)))-3)/7,IF(F130&gt;F$5,ABS(LOG(((F$5/SUM($F130:$S130))/(F$4/SUM($F$4:$S$4)))*4+2,2)),ABS(LOG(((F130/SUM($F130:$S130))/(F$4/SUM($F$4:$S$4)))*4+2,2)))-3))</f>
        <v>0.14511199570909605</v>
      </c>
      <c r="V130" s="2">
        <f t="shared" si="127"/>
        <v>3.0339422447825894</v>
      </c>
      <c r="W130" s="2">
        <f t="shared" si="127"/>
        <v>2.9377034399850492</v>
      </c>
      <c r="X130" s="2">
        <f t="shared" si="127"/>
        <v>1.4330932827742959</v>
      </c>
      <c r="Y130" s="2">
        <f t="shared" si="127"/>
        <v>1.619719436031664</v>
      </c>
      <c r="Z130" s="2" t="str">
        <f t="shared" si="127"/>
        <v/>
      </c>
      <c r="AA130" s="2">
        <f t="shared" si="127"/>
        <v>5.0044972902051423</v>
      </c>
      <c r="AB130" s="2">
        <f t="shared" si="127"/>
        <v>2.2823995063293623</v>
      </c>
      <c r="AC130" s="2">
        <f t="shared" si="127"/>
        <v>0.53324540606101278</v>
      </c>
      <c r="AD130" s="2">
        <f t="shared" si="127"/>
        <v>-0.80986682624748196</v>
      </c>
      <c r="AE130" s="2">
        <f t="shared" si="127"/>
        <v>-1.9999997965927305</v>
      </c>
      <c r="AF130" s="2">
        <f t="shared" si="127"/>
        <v>-1.0903794686176103</v>
      </c>
      <c r="AG130" s="2">
        <f t="shared" si="127"/>
        <v>-1.688028992722868</v>
      </c>
      <c r="AH130" s="2">
        <f t="shared" si="127"/>
        <v>6.269149426047349E-2</v>
      </c>
      <c r="AI130" s="18" t="str">
        <f t="shared" si="5"/>
        <v>JH-M</v>
      </c>
      <c r="AJ130" s="2">
        <f t="shared" si="6"/>
        <v>1</v>
      </c>
    </row>
    <row r="131" spans="1:36" ht="10.5" customHeight="1" x14ac:dyDescent="0.25">
      <c r="A131" s="17">
        <v>123</v>
      </c>
      <c r="B131" s="2">
        <f t="shared" si="2"/>
        <v>0.62204832612319438</v>
      </c>
      <c r="C131" s="4">
        <v>1</v>
      </c>
      <c r="D131" s="4">
        <v>28.457559941487901</v>
      </c>
      <c r="E131" s="18" t="s">
        <v>42</v>
      </c>
      <c r="F131" s="5">
        <v>9.4500000000000001E-3</v>
      </c>
      <c r="G131" s="5">
        <v>8.08</v>
      </c>
      <c r="H131" s="5">
        <v>10.94</v>
      </c>
      <c r="I131" s="5">
        <v>0.15490000000000001</v>
      </c>
      <c r="J131" s="5">
        <v>0.1234</v>
      </c>
      <c r="K131" s="5">
        <v>1.1319999999999999</v>
      </c>
      <c r="L131" s="5">
        <v>1.1919999999999999</v>
      </c>
      <c r="M131" s="5">
        <v>1.907</v>
      </c>
      <c r="N131" s="5">
        <v>0.55830000000000002</v>
      </c>
      <c r="O131" s="5">
        <v>1.5529999999999999</v>
      </c>
      <c r="P131" s="5">
        <v>1.254</v>
      </c>
      <c r="Q131" s="5">
        <v>17.649999999999999</v>
      </c>
      <c r="R131" s="5">
        <v>0.10730000000000001</v>
      </c>
      <c r="S131" s="5">
        <v>17.100000000000001</v>
      </c>
      <c r="T131" s="18" t="str">
        <f t="shared" si="3"/>
        <v>KY-M</v>
      </c>
      <c r="U131" s="2">
        <f t="shared" ref="U131:AH131" si="128">IF(OR(F131=0,F131&lt;0.00001,F131&gt;100000),"",IF((IF(F131&gt;F$5,ABS(LOG(((F$5/SUM($F131:$S131))/(F$4/SUM($F$4:$S$4)))*4+2,2)),ABS(LOG(((F131/SUM($F131:$S131))/(F$4/SUM($F$4:$S$4)))*4+2,2)))-3)&gt;8,(IF(F131&gt;F$5,ABS(LOG(((F$5/SUM($F131:$S131))/(F$4/SUM($F$4:$S$4)))*4+2,2)),ABS(LOG(((F131/SUM($F131:$S131))/(F$4/SUM($F$4:$S$4)))*4+2,2)))-3)/7,IF(F131&gt;F$5,ABS(LOG(((F$5/SUM($F131:$S131))/(F$4/SUM($F$4:$S$4)))*4+2,2)),ABS(LOG(((F131/SUM($F131:$S131))/(F$4/SUM($F$4:$S$4)))*4+2,2)))-3))</f>
        <v>-0.83579848792618616</v>
      </c>
      <c r="V131" s="2">
        <f t="shared" si="128"/>
        <v>5.6879489200504736</v>
      </c>
      <c r="W131" s="2">
        <f t="shared" si="128"/>
        <v>1.2128034238933985</v>
      </c>
      <c r="X131" s="2">
        <f t="shared" si="128"/>
        <v>-0.17505943256101508</v>
      </c>
      <c r="Y131" s="2">
        <f t="shared" si="128"/>
        <v>-0.29916442667046583</v>
      </c>
      <c r="Z131" s="2">
        <f t="shared" si="128"/>
        <v>1.4420863811846747</v>
      </c>
      <c r="AA131" s="2">
        <f t="shared" si="128"/>
        <v>4.3087781721990348</v>
      </c>
      <c r="AB131" s="2">
        <f t="shared" si="128"/>
        <v>4.0641098711405768</v>
      </c>
      <c r="AC131" s="2">
        <f t="shared" si="128"/>
        <v>2.4960504901361036</v>
      </c>
      <c r="AD131" s="2">
        <f t="shared" si="128"/>
        <v>3.2203771275661985E-2</v>
      </c>
      <c r="AE131" s="2">
        <f t="shared" si="128"/>
        <v>-1.9999997631592175</v>
      </c>
      <c r="AF131" s="2">
        <f t="shared" si="128"/>
        <v>-0.85771682061619536</v>
      </c>
      <c r="AG131" s="2">
        <f t="shared" si="128"/>
        <v>-1.9104280803573592</v>
      </c>
      <c r="AH131" s="2">
        <f t="shared" si="128"/>
        <v>-0.80422359460676374</v>
      </c>
      <c r="AI131" s="18" t="str">
        <f t="shared" si="5"/>
        <v>KY-M</v>
      </c>
      <c r="AJ131" s="2">
        <f t="shared" si="6"/>
        <v>2.1457559941487903</v>
      </c>
    </row>
    <row r="132" spans="1:36" ht="10.5" customHeight="1" x14ac:dyDescent="0.25">
      <c r="A132" s="17">
        <v>124</v>
      </c>
      <c r="B132" s="2">
        <f t="shared" si="2"/>
        <v>3.9557475820283421</v>
      </c>
      <c r="C132" s="4">
        <v>1</v>
      </c>
      <c r="D132" s="4">
        <v>24.858090458658452</v>
      </c>
      <c r="E132" s="18" t="s">
        <v>43</v>
      </c>
      <c r="F132" s="5">
        <v>0.16570000000000001</v>
      </c>
      <c r="G132" s="5">
        <v>0.5665</v>
      </c>
      <c r="H132" s="5">
        <v>0.39800000000000002</v>
      </c>
      <c r="I132" s="5">
        <v>0.77929999999999999</v>
      </c>
      <c r="J132" s="5">
        <v>0.44264999999999999</v>
      </c>
      <c r="K132" s="5">
        <v>0.24204999999999999</v>
      </c>
      <c r="L132" s="5">
        <v>1.0526499999999999</v>
      </c>
      <c r="M132" s="5">
        <v>0.78489999999999993</v>
      </c>
      <c r="N132" s="5">
        <v>4.0249999999999994E-2</v>
      </c>
      <c r="O132" s="5">
        <v>0.16109999999999999</v>
      </c>
      <c r="P132" s="5">
        <v>1.1105</v>
      </c>
      <c r="Q132" s="5">
        <v>15.16</v>
      </c>
      <c r="R132" s="5">
        <v>0.42220000000000002</v>
      </c>
      <c r="S132" s="5">
        <v>30.92</v>
      </c>
      <c r="T132" s="18" t="str">
        <f t="shared" si="3"/>
        <v>LH-M</v>
      </c>
      <c r="U132" s="2">
        <f t="shared" ref="U132:AH132" si="129">IF(OR(F132=0,F132&lt;0.00001,F132&gt;100000),"",IF((IF(F132&gt;F$5,ABS(LOG(((F$5/SUM($F132:$S132))/(F$4/SUM($F$4:$S$4)))*4+2,2)),ABS(LOG(((F132/SUM($F132:$S132))/(F$4/SUM($F$4:$S$4)))*4+2,2)))-3)&gt;8,(IF(F132&gt;F$5,ABS(LOG(((F$5/SUM($F132:$S132))/(F$4/SUM($F$4:$S$4)))*4+2,2)),ABS(LOG(((F132/SUM($F132:$S132))/(F$4/SUM($F$4:$S$4)))*4+2,2)))-3)/7,IF(F132&gt;F$5,ABS(LOG(((F$5/SUM($F132:$S132))/(F$4/SUM($F$4:$S$4)))*4+2,2)),ABS(LOG(((F132/SUM($F132:$S132))/(F$4/SUM($F$4:$S$4)))*4+2,2)))-3))</f>
        <v>2.7401324076239737</v>
      </c>
      <c r="V132" s="2">
        <f t="shared" si="129"/>
        <v>2.8321034544596939</v>
      </c>
      <c r="W132" s="2">
        <f t="shared" si="129"/>
        <v>3.9724702435461037</v>
      </c>
      <c r="X132" s="2">
        <f t="shared" si="129"/>
        <v>2.0110922533270053</v>
      </c>
      <c r="Y132" s="2">
        <f t="shared" si="129"/>
        <v>1.3984553371282802</v>
      </c>
      <c r="Z132" s="2">
        <f t="shared" si="129"/>
        <v>1.1587816774425341</v>
      </c>
      <c r="AA132" s="2">
        <f t="shared" si="129"/>
        <v>4.3700428830810667</v>
      </c>
      <c r="AB132" s="2">
        <f t="shared" si="129"/>
        <v>3.0473517253655</v>
      </c>
      <c r="AC132" s="2">
        <f t="shared" si="129"/>
        <v>-0.49517095998014193</v>
      </c>
      <c r="AD132" s="2">
        <f t="shared" si="129"/>
        <v>-1.5364234076971253</v>
      </c>
      <c r="AE132" s="2">
        <f t="shared" si="129"/>
        <v>-1.9999997200233084</v>
      </c>
      <c r="AF132" s="2">
        <f t="shared" si="129"/>
        <v>-0.84564727060352896</v>
      </c>
      <c r="AG132" s="2">
        <f t="shared" si="129"/>
        <v>-1.623773178717135</v>
      </c>
      <c r="AH132" s="2">
        <f t="shared" si="129"/>
        <v>-8.9709835513539726E-2</v>
      </c>
      <c r="AI132" s="18" t="str">
        <f t="shared" si="5"/>
        <v>LH-M</v>
      </c>
      <c r="AJ132" s="2">
        <f t="shared" si="6"/>
        <v>1</v>
      </c>
    </row>
    <row r="133" spans="1:36" ht="10.5" customHeight="1" x14ac:dyDescent="0.25">
      <c r="A133" s="17">
        <v>125</v>
      </c>
      <c r="B133" s="2">
        <f t="shared" si="2"/>
        <v>1.5764124145452312</v>
      </c>
      <c r="C133" s="4">
        <v>1</v>
      </c>
      <c r="D133" s="4">
        <v>26.949194937837799</v>
      </c>
      <c r="E133" s="18" t="s">
        <v>44</v>
      </c>
      <c r="F133" s="5">
        <v>5.1200000000000002E-2</v>
      </c>
      <c r="G133" s="5">
        <v>4.4039999999999999</v>
      </c>
      <c r="H133" s="5">
        <v>4.5220000000000002</v>
      </c>
      <c r="I133" s="5">
        <v>1.415</v>
      </c>
      <c r="J133" s="5">
        <v>1.8120000000000001</v>
      </c>
      <c r="K133" s="5">
        <v>1.6080000000000001</v>
      </c>
      <c r="L133" s="5">
        <v>0.46139999999999998</v>
      </c>
      <c r="M133" s="5">
        <v>1.232</v>
      </c>
      <c r="N133" s="5">
        <v>0.22939999999999999</v>
      </c>
      <c r="O133" s="5">
        <v>216.6</v>
      </c>
      <c r="P133" s="5">
        <v>0.85019999999999996</v>
      </c>
      <c r="Q133" s="5">
        <v>6.4429999999999996</v>
      </c>
      <c r="R133" s="5">
        <v>0.83430000000000004</v>
      </c>
      <c r="S133" s="5">
        <v>32.17</v>
      </c>
      <c r="T133" s="18" t="str">
        <f t="shared" si="3"/>
        <v>MP-M</v>
      </c>
      <c r="U133" s="2">
        <f t="shared" ref="U133:AH133" si="130">IF(OR(F133=0,F133&lt;0.00001,F133&gt;100000),"",IF((IF(F133&gt;F$5,ABS(LOG(((F$5/SUM($F133:$S133))/(F$4/SUM($F$4:$S$4)))*4+2,2)),ABS(LOG(((F133/SUM($F133:$S133))/(F$4/SUM($F$4:$S$4)))*4+2,2)))-3)&gt;8,(IF(F133&gt;F$5,ABS(LOG(((F$5/SUM($F133:$S133))/(F$4/SUM($F$4:$S$4)))*4+2,2)),ABS(LOG(((F133/SUM($F133:$S133))/(F$4/SUM($F$4:$S$4)))*4+2,2)))-3)/7,IF(F133&gt;F$5,ABS(LOG(((F$5/SUM($F133:$S133))/(F$4/SUM($F$4:$S$4)))*4+2,2)),ABS(LOG(((F133/SUM($F133:$S133))/(F$4/SUM($F$4:$S$4)))*4+2,2)))-3))</f>
        <v>-0.66469699468448074</v>
      </c>
      <c r="V133" s="2">
        <f t="shared" si="130"/>
        <v>3.3904515258111738</v>
      </c>
      <c r="W133" s="2">
        <f t="shared" si="130"/>
        <v>5.0825427481186978</v>
      </c>
      <c r="X133" s="2">
        <f t="shared" si="130"/>
        <v>0.64669813527261466</v>
      </c>
      <c r="Y133" s="2">
        <f t="shared" si="130"/>
        <v>1.0853396296110134</v>
      </c>
      <c r="Z133" s="2">
        <f t="shared" si="130"/>
        <v>1.1482324454752644</v>
      </c>
      <c r="AA133" s="2">
        <f t="shared" si="130"/>
        <v>0.97520952034860819</v>
      </c>
      <c r="AB133" s="2">
        <f t="shared" si="130"/>
        <v>1.412212412695049</v>
      </c>
      <c r="AC133" s="2">
        <f t="shared" si="130"/>
        <v>-0.41150163357396696</v>
      </c>
      <c r="AD133" s="2">
        <f t="shared" si="130"/>
        <v>3.2118926448157286</v>
      </c>
      <c r="AE133" s="2">
        <f t="shared" si="130"/>
        <v>-1.9999999463467952</v>
      </c>
      <c r="AF133" s="2">
        <f t="shared" si="130"/>
        <v>-1.8627083116536169</v>
      </c>
      <c r="AG133" s="2">
        <f t="shared" si="130"/>
        <v>-1.8457714636396978</v>
      </c>
      <c r="AH133" s="2">
        <f t="shared" si="130"/>
        <v>-1.3676725524671201</v>
      </c>
      <c r="AI133" s="18" t="str">
        <f t="shared" si="5"/>
        <v>MP-M</v>
      </c>
      <c r="AJ133" s="2">
        <f t="shared" si="6"/>
        <v>1</v>
      </c>
    </row>
    <row r="134" spans="1:36" ht="10.5" customHeight="1" x14ac:dyDescent="0.25">
      <c r="A134" s="17">
        <v>126</v>
      </c>
      <c r="B134" s="2">
        <f t="shared" si="2"/>
        <v>0.19427453350862101</v>
      </c>
      <c r="C134" s="4">
        <v>1</v>
      </c>
      <c r="D134" s="4">
        <v>24.356025818905799</v>
      </c>
      <c r="E134" s="18" t="s">
        <v>45</v>
      </c>
      <c r="F134" s="5">
        <v>9.385000000000001E-3</v>
      </c>
      <c r="G134" s="5">
        <v>0.37972499999999998</v>
      </c>
      <c r="H134" s="5">
        <v>1.6039999999999999E-2</v>
      </c>
      <c r="I134" s="5">
        <v>1.5892999999999999</v>
      </c>
      <c r="J134" s="5">
        <v>3.6850000000000001E-4</v>
      </c>
      <c r="K134" s="5">
        <v>8.259975E-2</v>
      </c>
      <c r="L134" s="5">
        <v>1.5989500000000001</v>
      </c>
      <c r="M134" s="5">
        <v>0.79189999999999994</v>
      </c>
      <c r="N134" s="5">
        <v>6.9250000000000006E-2</v>
      </c>
      <c r="O134" s="5">
        <v>4.2609999999999995E-2</v>
      </c>
      <c r="P134" s="5">
        <v>0.77174999999999994</v>
      </c>
      <c r="Q134" s="5">
        <v>12.17525</v>
      </c>
      <c r="R134" s="5">
        <v>0.58709999999999996</v>
      </c>
      <c r="S134" s="5">
        <v>76.265000000000001</v>
      </c>
      <c r="T134" s="18" t="str">
        <f t="shared" si="3"/>
        <v>NG</v>
      </c>
      <c r="U134" s="2">
        <f t="shared" ref="U134:AH134" si="131">IF(OR(F134=0,F134&lt;0.00001,F134&gt;100000),"",IF((IF(F134&gt;F$5,ABS(LOG(((F$5/SUM($F134:$S134))/(F$4/SUM($F$4:$S$4)))*4+2,2)),ABS(LOG(((F134/SUM($F134:$S134))/(F$4/SUM($F$4:$S$4)))*4+2,2)))-3)&gt;8,(IF(F134&gt;F$5,ABS(LOG(((F$5/SUM($F134:$S134))/(F$4/SUM($F$4:$S$4)))*4+2,2)),ABS(LOG(((F134/SUM($F134:$S134))/(F$4/SUM($F$4:$S$4)))*4+2,2)))-3)/7,IF(F134&gt;F$5,ABS(LOG(((F$5/SUM($F134:$S134))/(F$4/SUM($F$4:$S$4)))*4+2,2)),ABS(LOG(((F134/SUM($F134:$S134))/(F$4/SUM($F$4:$S$4)))*4+2,2)))-3))</f>
        <v>-1.146740107675148</v>
      </c>
      <c r="V134" s="2">
        <f t="shared" si="131"/>
        <v>1.4852192000488298</v>
      </c>
      <c r="W134" s="2">
        <f t="shared" si="131"/>
        <v>-0.74992887065808489</v>
      </c>
      <c r="X134" s="2">
        <f t="shared" si="131"/>
        <v>2.1758217941600746</v>
      </c>
      <c r="Y134" s="2">
        <f t="shared" si="131"/>
        <v>-1.9936680356693042</v>
      </c>
      <c r="Z134" s="2">
        <f t="shared" si="131"/>
        <v>5.7128102031027108</v>
      </c>
      <c r="AA134" s="2">
        <f t="shared" si="131"/>
        <v>4.1232847782410325</v>
      </c>
      <c r="AB134" s="2">
        <f t="shared" si="131"/>
        <v>2.2410884376132323</v>
      </c>
      <c r="AC134" s="2">
        <f t="shared" si="131"/>
        <v>-0.54032496642428329</v>
      </c>
      <c r="AD134" s="2">
        <f t="shared" si="131"/>
        <v>-1.9220931665486574</v>
      </c>
      <c r="AE134" s="2">
        <f t="shared" si="131"/>
        <v>-1.9999998450124339</v>
      </c>
      <c r="AF134" s="2">
        <f t="shared" si="131"/>
        <v>-1.3724019671184764</v>
      </c>
      <c r="AG134" s="2">
        <f t="shared" si="131"/>
        <v>-1.7021024362793853</v>
      </c>
      <c r="AH134" s="2">
        <f t="shared" si="131"/>
        <v>0.25306255508268682</v>
      </c>
      <c r="AI134" s="18" t="str">
        <f t="shared" si="5"/>
        <v>NG</v>
      </c>
      <c r="AJ134" s="2">
        <f t="shared" si="6"/>
        <v>1</v>
      </c>
    </row>
    <row r="135" spans="1:36" ht="10.5" customHeight="1" x14ac:dyDescent="0.25">
      <c r="A135" s="17">
        <v>127</v>
      </c>
      <c r="B135" s="2">
        <f t="shared" si="2"/>
        <v>3.4513587289674028</v>
      </c>
      <c r="C135" s="4">
        <v>1</v>
      </c>
      <c r="D135" s="4">
        <v>26.244150772337399</v>
      </c>
      <c r="E135" s="18" t="s">
        <v>46</v>
      </c>
      <c r="F135" s="5">
        <v>0.1734</v>
      </c>
      <c r="G135" s="5">
        <v>13.75</v>
      </c>
      <c r="H135" s="5">
        <v>0.5484</v>
      </c>
      <c r="I135" s="5">
        <v>6.3520000000000003</v>
      </c>
      <c r="J135" s="5">
        <v>0.13800000000000001</v>
      </c>
      <c r="K135" s="5">
        <v>0.78</v>
      </c>
      <c r="L135" s="5">
        <v>3.3330000000000002</v>
      </c>
      <c r="M135" s="5">
        <v>3.1560000000000001</v>
      </c>
      <c r="N135" s="5">
        <v>0.25390000000000001</v>
      </c>
      <c r="O135" s="5">
        <v>0.25380000000000003</v>
      </c>
      <c r="P135" s="5">
        <v>3.6040000000000001</v>
      </c>
      <c r="Q135" s="5">
        <v>13.72</v>
      </c>
      <c r="R135" s="5">
        <v>1.9279999999999999</v>
      </c>
      <c r="S135" s="5">
        <v>210.5</v>
      </c>
      <c r="T135" s="18" t="str">
        <f t="shared" si="3"/>
        <v>NK-M</v>
      </c>
      <c r="U135" s="2">
        <f t="shared" ref="U135:AH135" si="132">IF(OR(F135=0,F135&lt;0.00001,F135&gt;100000),"",IF((IF(F135&gt;F$5,ABS(LOG(((F$5/SUM($F135:$S135))/(F$4/SUM($F$4:$S$4)))*4+2,2)),ABS(LOG(((F135/SUM($F135:$S135))/(F$4/SUM($F$4:$S$4)))*4+2,2)))-3)&gt;8,(IF(F135&gt;F$5,ABS(LOG(((F$5/SUM($F135:$S135))/(F$4/SUM($F$4:$S$4)))*4+2,2)),ABS(LOG(((F135/SUM($F135:$S135))/(F$4/SUM($F$4:$S$4)))*4+2,2)))-3)/7,IF(F135&gt;F$5,ABS(LOG(((F$5/SUM($F135:$S135))/(F$4/SUM($F$4:$S$4)))*4+2,2)),ABS(LOG(((F135/SUM($F135:$S135))/(F$4/SUM($F$4:$S$4)))*4+2,2)))-3))</f>
        <v>0.68732547019733659</v>
      </c>
      <c r="V135" s="2">
        <f t="shared" si="132"/>
        <v>3.644729025467254</v>
      </c>
      <c r="W135" s="2">
        <f t="shared" si="132"/>
        <v>2.1865357608994103</v>
      </c>
      <c r="X135" s="2">
        <f t="shared" si="132"/>
        <v>2.6957275457617609</v>
      </c>
      <c r="Y135" s="2">
        <f t="shared" si="132"/>
        <v>-1.32063219214187</v>
      </c>
      <c r="Z135" s="2">
        <f t="shared" si="132"/>
        <v>7.4936144576580066</v>
      </c>
      <c r="AA135" s="2">
        <f t="shared" si="132"/>
        <v>3.7358934554400172</v>
      </c>
      <c r="AB135" s="2">
        <f t="shared" si="132"/>
        <v>2.7581639977489445</v>
      </c>
      <c r="AC135" s="2">
        <f t="shared" si="132"/>
        <v>-0.25872705423526376</v>
      </c>
      <c r="AD135" s="2">
        <f t="shared" si="132"/>
        <v>-1.8356411555658527</v>
      </c>
      <c r="AE135" s="2">
        <f t="shared" si="132"/>
        <v>-1.9999999434114315</v>
      </c>
      <c r="AF135" s="2">
        <f t="shared" si="132"/>
        <v>-1.7081233466150201</v>
      </c>
      <c r="AG135" s="2">
        <f t="shared" si="132"/>
        <v>-1.6495057483981717</v>
      </c>
      <c r="AH135" s="2">
        <f t="shared" si="132"/>
        <v>0.26188638085108717</v>
      </c>
      <c r="AI135" s="18" t="str">
        <f t="shared" si="5"/>
        <v>NK-M</v>
      </c>
      <c r="AJ135" s="2">
        <f t="shared" si="6"/>
        <v>1</v>
      </c>
    </row>
    <row r="136" spans="1:36" ht="10.5" customHeight="1" x14ac:dyDescent="0.25">
      <c r="A136" s="17">
        <v>128</v>
      </c>
      <c r="B136" s="2">
        <f t="shared" si="2"/>
        <v>1.6312713476462453</v>
      </c>
      <c r="C136" s="4">
        <v>1</v>
      </c>
      <c r="D136" s="4">
        <v>25.601568407076034</v>
      </c>
      <c r="E136" s="18" t="s">
        <v>47</v>
      </c>
      <c r="F136" s="5">
        <v>4.9699999999999995E-5</v>
      </c>
      <c r="G136" s="5">
        <v>0.74863999999999997</v>
      </c>
      <c r="H136" s="5">
        <v>0.87423333333333331</v>
      </c>
      <c r="I136" s="5">
        <v>1.8996666666666666</v>
      </c>
      <c r="J136" s="5">
        <v>4.7465666666666664</v>
      </c>
      <c r="K136" s="5">
        <v>1.1638333333333333</v>
      </c>
      <c r="L136" s="5">
        <v>3.6056666666666666</v>
      </c>
      <c r="M136" s="5">
        <v>0.96876759333333329</v>
      </c>
      <c r="N136" s="5">
        <v>1.6811166666666668</v>
      </c>
      <c r="O136" s="5">
        <v>5.0730000000000004</v>
      </c>
      <c r="P136" s="5">
        <v>4.9356666666666671</v>
      </c>
      <c r="Q136" s="5">
        <v>19.513333333333332</v>
      </c>
      <c r="R136" s="5">
        <v>4.6460000000000001E-2</v>
      </c>
      <c r="S136" s="5">
        <v>197.4433333333333</v>
      </c>
      <c r="T136" s="18" t="str">
        <f t="shared" si="3"/>
        <v>NOM</v>
      </c>
      <c r="U136" s="2">
        <f t="shared" ref="U136:AH136" si="133">IF(OR(F136=0,F136&lt;0.00001,F136&gt;100000),"",IF((IF(F136&gt;F$5,ABS(LOG(((F$5/SUM($F136:$S136))/(F$4/SUM($F$4:$S$4)))*4+2,2)),ABS(LOG(((F136/SUM($F136:$S136))/(F$4/SUM($F$4:$S$4)))*4+2,2)))-3)&gt;8,(IF(F136&gt;F$5,ABS(LOG(((F$5/SUM($F136:$S136))/(F$4/SUM($F$4:$S$4)))*4+2,2)),ABS(LOG(((F136/SUM($F136:$S136))/(F$4/SUM($F$4:$S$4)))*4+2,2)))-3)/7,IF(F136&gt;F$5,ABS(LOG(((F$5/SUM($F136:$S136))/(F$4/SUM($F$4:$S$4)))*4+2,2)),ABS(LOG(((F136/SUM($F136:$S136))/(F$4/SUM($F$4:$S$4)))*4+2,2)))-3))</f>
        <v>-1.9976056431996922</v>
      </c>
      <c r="V136" s="2">
        <f t="shared" si="133"/>
        <v>1.1405862516860568</v>
      </c>
      <c r="W136" s="2">
        <f t="shared" si="133"/>
        <v>2.9173210279165254</v>
      </c>
      <c r="X136" s="2">
        <f t="shared" si="133"/>
        <v>1.1596413792604467</v>
      </c>
      <c r="Y136" s="2">
        <f t="shared" si="133"/>
        <v>2.5256044680474528</v>
      </c>
      <c r="Z136" s="2">
        <f t="shared" si="133"/>
        <v>1.1658779875749605</v>
      </c>
      <c r="AA136" s="2">
        <f t="shared" si="133"/>
        <v>3.9366931796035951</v>
      </c>
      <c r="AB136" s="2">
        <f t="shared" si="133"/>
        <v>1.2510055387759405</v>
      </c>
      <c r="AC136" s="2">
        <f t="shared" si="133"/>
        <v>2.131329525953106</v>
      </c>
      <c r="AD136" s="2">
        <f t="shared" si="133"/>
        <v>-0.16453939997160738</v>
      </c>
      <c r="AE136" s="2">
        <f t="shared" si="133"/>
        <v>-1.9999999397297603</v>
      </c>
      <c r="AF136" s="2">
        <f t="shared" si="133"/>
        <v>-1.5781295598677481</v>
      </c>
      <c r="AG136" s="2">
        <f t="shared" si="133"/>
        <v>-1.9898533816051558</v>
      </c>
      <c r="AH136" s="2">
        <f t="shared" si="133"/>
        <v>0.26074166499647999</v>
      </c>
      <c r="AI136" s="18" t="str">
        <f t="shared" si="5"/>
        <v>NOM</v>
      </c>
      <c r="AJ136" s="2">
        <f t="shared" si="6"/>
        <v>1</v>
      </c>
    </row>
    <row r="137" spans="1:36" ht="10.5" customHeight="1" x14ac:dyDescent="0.25">
      <c r="A137" s="17">
        <v>129</v>
      </c>
      <c r="B137" s="2">
        <f t="shared" si="2"/>
        <v>0.21458150276923049</v>
      </c>
      <c r="C137" s="4">
        <v>1</v>
      </c>
      <c r="D137" s="4">
        <v>20</v>
      </c>
      <c r="E137" s="18" t="s">
        <v>48</v>
      </c>
      <c r="F137" s="5">
        <v>6.4400000000000004E-3</v>
      </c>
      <c r="G137" s="5">
        <v>0.2014</v>
      </c>
      <c r="H137" s="5">
        <v>3.1600000000000003E-2</v>
      </c>
      <c r="I137" s="5">
        <v>1.0269999999999999</v>
      </c>
      <c r="J137" s="5">
        <v>0.94669999999999999</v>
      </c>
      <c r="K137" s="5">
        <v>0.1043</v>
      </c>
      <c r="L137" s="5">
        <v>0.91349999999999998</v>
      </c>
      <c r="M137" s="5">
        <v>0.39650000000000002</v>
      </c>
      <c r="N137" s="5">
        <v>5.1970000000000001</v>
      </c>
      <c r="O137" s="5">
        <v>2.2000000000000002</v>
      </c>
      <c r="P137" s="5">
        <v>1.052</v>
      </c>
      <c r="Q137" s="5">
        <v>30.52</v>
      </c>
      <c r="R137" s="5">
        <v>0.5867</v>
      </c>
      <c r="S137" s="5">
        <v>154.1</v>
      </c>
      <c r="T137" s="18" t="str">
        <f t="shared" si="3"/>
        <v>NOM403</v>
      </c>
      <c r="U137" s="2">
        <f t="shared" ref="U137:AH137" si="134">IF(OR(F137=0,F137&lt;0.00001,F137&gt;100000),"",IF((IF(F137&gt;F$5,ABS(LOG(((F$5/SUM($F137:$S137))/(F$4/SUM($F$4:$S$4)))*4+2,2)),ABS(LOG(((F137/SUM($F137:$S137))/(F$4/SUM($F$4:$S$4)))*4+2,2)))-3)&gt;8,(IF(F137&gt;F$5,ABS(LOG(((F$5/SUM($F137:$S137))/(F$4/SUM($F$4:$S$4)))*4+2,2)),ABS(LOG(((F137/SUM($F137:$S137))/(F$4/SUM($F$4:$S$4)))*4+2,2)))-3)/7,IF(F137&gt;F$5,ABS(LOG(((F$5/SUM($F137:$S137))/(F$4/SUM($F$4:$S$4)))*4+2,2)),ABS(LOG(((F137/SUM($F137:$S137))/(F$4/SUM($F$4:$S$4)))*4+2,2)))-3))</f>
        <v>-1.6611139097861742</v>
      </c>
      <c r="V137" s="2">
        <f t="shared" si="134"/>
        <v>-0.15695429954943219</v>
      </c>
      <c r="W137" s="2">
        <f t="shared" si="134"/>
        <v>-0.79884954344315817</v>
      </c>
      <c r="X137" s="2">
        <f t="shared" si="134"/>
        <v>0.65033253800352764</v>
      </c>
      <c r="Y137" s="2">
        <f t="shared" si="134"/>
        <v>0.67943113905939034</v>
      </c>
      <c r="Z137" s="2">
        <f t="shared" si="134"/>
        <v>4.9901138230240853</v>
      </c>
      <c r="AA137" s="2">
        <f t="shared" si="134"/>
        <v>2.3059129526045075</v>
      </c>
      <c r="AB137" s="2">
        <f t="shared" si="134"/>
        <v>0.40327063761091564</v>
      </c>
      <c r="AC137" s="2">
        <f t="shared" si="134"/>
        <v>3.9965077794867394</v>
      </c>
      <c r="AD137" s="2">
        <f t="shared" si="134"/>
        <v>-0.75481151716430794</v>
      </c>
      <c r="AE137" s="2">
        <f t="shared" si="134"/>
        <v>-1.9999999258547523</v>
      </c>
      <c r="AF137" s="2">
        <f t="shared" si="134"/>
        <v>-1.2744290482147422</v>
      </c>
      <c r="AG137" s="2">
        <f t="shared" si="134"/>
        <v>-1.8499006984992936</v>
      </c>
      <c r="AH137" s="2">
        <f t="shared" si="134"/>
        <v>0.21451776788127663</v>
      </c>
      <c r="AI137" s="18" t="str">
        <f t="shared" si="5"/>
        <v>NOM403</v>
      </c>
      <c r="AJ137" s="2">
        <f t="shared" si="6"/>
        <v>1</v>
      </c>
    </row>
    <row r="138" spans="1:36" ht="10.5" customHeight="1" x14ac:dyDescent="0.25">
      <c r="A138" s="17">
        <v>130</v>
      </c>
      <c r="B138" s="2">
        <f t="shared" si="2"/>
        <v>0.33173047257347377</v>
      </c>
      <c r="C138" s="4">
        <v>1</v>
      </c>
      <c r="D138" s="4">
        <v>19.607965062370724</v>
      </c>
      <c r="E138" s="18" t="s">
        <v>49</v>
      </c>
      <c r="F138" s="5">
        <v>4.1368624999999996E-3</v>
      </c>
      <c r="G138" s="5">
        <v>0.25442500000000001</v>
      </c>
      <c r="H138" s="5">
        <v>0.1883</v>
      </c>
      <c r="I138" s="5">
        <v>0.12246249999999999</v>
      </c>
      <c r="J138" s="5">
        <v>4.6112500000000001E-2</v>
      </c>
      <c r="K138" s="5">
        <v>0.10498750000000001</v>
      </c>
      <c r="L138" s="5">
        <v>0.1124375</v>
      </c>
      <c r="M138" s="5">
        <v>7.8049999999999981E-2</v>
      </c>
      <c r="N138" s="5">
        <v>0.11261249999999999</v>
      </c>
      <c r="O138" s="5">
        <v>8.299999999999999E-2</v>
      </c>
      <c r="P138" s="5">
        <v>7.0262500000000006E-2</v>
      </c>
      <c r="Q138" s="5">
        <v>25.035</v>
      </c>
      <c r="R138" s="5">
        <v>2.5109999999999997E-2</v>
      </c>
      <c r="S138" s="5">
        <v>17.041249999999998</v>
      </c>
      <c r="T138" s="18" t="str">
        <f t="shared" si="3"/>
        <v>NOMe</v>
      </c>
      <c r="U138" s="2">
        <f t="shared" ref="U138:AH138" si="135">IF(OR(F138=0,F138&lt;0.00001,F138&gt;100000),"",IF((IF(F138&gt;F$5,ABS(LOG(((F$5/SUM($F138:$S138))/(F$4/SUM($F$4:$S$4)))*4+2,2)),ABS(LOG(((F138/SUM($F138:$S138))/(F$4/SUM($F$4:$S$4)))*4+2,2)))-3)&gt;8,(IF(F138&gt;F$5,ABS(LOG(((F$5/SUM($F138:$S138))/(F$4/SUM($F$4:$S$4)))*4+2,2)),ABS(LOG(((F138/SUM($F138:$S138))/(F$4/SUM($F$4:$S$4)))*4+2,2)))-3)/7,IF(F138&gt;F$5,ABS(LOG(((F$5/SUM($F138:$S138))/(F$4/SUM($F$4:$S$4)))*4+2,2)),ABS(LOG(((F138/SUM($F138:$S138))/(F$4/SUM($F$4:$S$4)))*4+2,2)))-3))</f>
        <v>-1.1719061186967252</v>
      </c>
      <c r="V138" s="2">
        <f t="shared" si="135"/>
        <v>1.9910906843562151</v>
      </c>
      <c r="W138" s="2">
        <f t="shared" si="135"/>
        <v>3.1815607417284779</v>
      </c>
      <c r="X138" s="2">
        <f t="shared" si="135"/>
        <v>-4.8032668488877217E-2</v>
      </c>
      <c r="Y138" s="2">
        <f t="shared" si="135"/>
        <v>-0.86226992946500092</v>
      </c>
      <c r="Z138" s="2">
        <f t="shared" si="135"/>
        <v>7.1792465402159493</v>
      </c>
      <c r="AA138" s="2">
        <f t="shared" si="135"/>
        <v>1.5281485845018272</v>
      </c>
      <c r="AB138" s="2">
        <f t="shared" si="135"/>
        <v>0.27784940748500908</v>
      </c>
      <c r="AC138" s="2">
        <f t="shared" si="135"/>
        <v>0.84953054399912009</v>
      </c>
      <c r="AD138" s="2">
        <f t="shared" si="135"/>
        <v>-1.6946748458959513</v>
      </c>
      <c r="AE138" s="2">
        <f t="shared" si="135"/>
        <v>-1.9999996620094205</v>
      </c>
      <c r="AF138" s="2">
        <f t="shared" si="135"/>
        <v>-0.21599675132764906</v>
      </c>
      <c r="AG138" s="2">
        <f t="shared" si="135"/>
        <v>-1.9694638409718133</v>
      </c>
      <c r="AH138" s="2">
        <f t="shared" si="135"/>
        <v>-0.49635834048414207</v>
      </c>
      <c r="AI138" s="18" t="str">
        <f t="shared" si="5"/>
        <v>NOMe</v>
      </c>
      <c r="AJ138" s="2">
        <f t="shared" si="6"/>
        <v>1</v>
      </c>
    </row>
    <row r="139" spans="1:36" ht="10.5" customHeight="1" x14ac:dyDescent="0.25">
      <c r="A139" s="17">
        <v>131</v>
      </c>
      <c r="B139" s="2">
        <f t="shared" si="2"/>
        <v>0.69140715683330733</v>
      </c>
      <c r="C139" s="4">
        <v>1</v>
      </c>
      <c r="D139" s="4">
        <v>23.661976059578631</v>
      </c>
      <c r="E139" s="18" t="s">
        <v>50</v>
      </c>
      <c r="F139" s="5">
        <v>1.41665E-2</v>
      </c>
      <c r="G139" s="5">
        <v>0.73027500000000012</v>
      </c>
      <c r="H139" s="5">
        <v>8.7999999999999995E-2</v>
      </c>
      <c r="I139" s="5">
        <v>2.3311749999999996</v>
      </c>
      <c r="J139" s="5">
        <v>1.2845000000000002</v>
      </c>
      <c r="K139" s="5">
        <v>0.20067500000000002</v>
      </c>
      <c r="L139" s="5">
        <v>1.498275</v>
      </c>
      <c r="M139" s="5">
        <v>0.8639</v>
      </c>
      <c r="N139" s="5">
        <v>0.30684999999999996</v>
      </c>
      <c r="O139" s="5">
        <v>3.8652500000000001</v>
      </c>
      <c r="P139" s="5">
        <v>7.3859999999999992</v>
      </c>
      <c r="Q139" s="5">
        <v>33.6175</v>
      </c>
      <c r="R139" s="5">
        <v>4.1347500000000004</v>
      </c>
      <c r="S139" s="5">
        <v>164.58999999999997</v>
      </c>
      <c r="T139" s="18" t="str">
        <f t="shared" si="3"/>
        <v>NOMn</v>
      </c>
      <c r="U139" s="2">
        <f t="shared" ref="U139:AH139" si="136">IF(OR(F139=0,F139&lt;0.00001,F139&gt;100000),"",IF((IF(F139&gt;F$5,ABS(LOG(((F$5/SUM($F139:$S139))/(F$4/SUM($F$4:$S$4)))*4+2,2)),ABS(LOG(((F139/SUM($F139:$S139))/(F$4/SUM($F$4:$S$4)))*4+2,2)))-3)&gt;8,(IF(F139&gt;F$5,ABS(LOG(((F$5/SUM($F139:$S139))/(F$4/SUM($F$4:$S$4)))*4+2,2)),ABS(LOG(((F139/SUM($F139:$S139))/(F$4/SUM($F$4:$S$4)))*4+2,2)))-3)/7,IF(F139&gt;F$5,ABS(LOG(((F$5/SUM($F139:$S139))/(F$4/SUM($F$4:$S$4)))*4+2,2)),ABS(LOG(((F139/SUM($F139:$S139))/(F$4/SUM($F$4:$S$4)))*4+2,2)))-3))</f>
        <v>-1.3957809126676191</v>
      </c>
      <c r="V139" s="2">
        <f t="shared" si="136"/>
        <v>1.2294787789629975</v>
      </c>
      <c r="W139" s="2">
        <f t="shared" si="136"/>
        <v>8.104054607322686E-2</v>
      </c>
      <c r="X139" s="2">
        <f t="shared" si="136"/>
        <v>1.5483512553437491</v>
      </c>
      <c r="Y139" s="2">
        <f t="shared" si="136"/>
        <v>0.91656627111811728</v>
      </c>
      <c r="Z139" s="2">
        <f t="shared" si="136"/>
        <v>5.7662843325998452</v>
      </c>
      <c r="AA139" s="2">
        <f t="shared" si="136"/>
        <v>2.833209368419503</v>
      </c>
      <c r="AB139" s="2">
        <f t="shared" si="136"/>
        <v>1.2245634692543517</v>
      </c>
      <c r="AC139" s="2">
        <f t="shared" si="136"/>
        <v>0.10893812069199482</v>
      </c>
      <c r="AD139" s="2">
        <f t="shared" si="136"/>
        <v>-0.34449856702704107</v>
      </c>
      <c r="AE139" s="2">
        <f t="shared" si="136"/>
        <v>-1.9999999337851606</v>
      </c>
      <c r="AF139" s="2">
        <f t="shared" si="136"/>
        <v>-1.2837663203060228</v>
      </c>
      <c r="AG139" s="2">
        <f t="shared" si="136"/>
        <v>-1.2429112812646432</v>
      </c>
      <c r="AH139" s="2">
        <f t="shared" si="136"/>
        <v>0.16129486175872376</v>
      </c>
      <c r="AI139" s="18" t="str">
        <f t="shared" si="5"/>
        <v>NOMn</v>
      </c>
      <c r="AJ139" s="2">
        <f t="shared" si="6"/>
        <v>1</v>
      </c>
    </row>
    <row r="140" spans="1:36" ht="10.5" customHeight="1" x14ac:dyDescent="0.25">
      <c r="A140" s="17">
        <v>132</v>
      </c>
      <c r="B140" s="2">
        <f t="shared" si="2"/>
        <v>0.40081795212502624</v>
      </c>
      <c r="C140" s="4">
        <v>1</v>
      </c>
      <c r="D140" s="4">
        <v>26.907236733001138</v>
      </c>
      <c r="E140" s="18" t="s">
        <v>51</v>
      </c>
      <c r="F140" s="5">
        <v>5.5800000000000008E-6</v>
      </c>
      <c r="G140" s="5">
        <v>1.5516666666666667E-5</v>
      </c>
      <c r="H140" s="5">
        <v>0.60706666666666675</v>
      </c>
      <c r="I140" s="5">
        <v>1.0055466666666666</v>
      </c>
      <c r="J140" s="5">
        <v>1.8009666666666668</v>
      </c>
      <c r="K140" s="5">
        <v>0.53256666666666663</v>
      </c>
      <c r="L140" s="5">
        <v>1.0429999999999999E-3</v>
      </c>
      <c r="M140" s="5">
        <v>1.4963333333333334E-2</v>
      </c>
      <c r="N140" s="5">
        <v>7.3633333333333328E-3</v>
      </c>
      <c r="O140" s="5">
        <v>0.14624999999999999</v>
      </c>
      <c r="P140" s="5">
        <v>1.9465666666666668</v>
      </c>
      <c r="Q140" s="5">
        <v>2.5171000000000001</v>
      </c>
      <c r="R140" s="5">
        <v>0.55303333333333338</v>
      </c>
      <c r="S140" s="5">
        <v>13.86</v>
      </c>
      <c r="T140" s="18" t="str">
        <f t="shared" si="3"/>
        <v>NPG</v>
      </c>
      <c r="U140" s="2" t="str">
        <f t="shared" ref="U140:AH140" si="137">IF(OR(F140=0,F140&lt;0.00001,F140&gt;100000),"",IF((IF(F140&gt;F$5,ABS(LOG(((F$5/SUM($F140:$S140))/(F$4/SUM($F$4:$S$4)))*4+2,2)),ABS(LOG(((F140/SUM($F140:$S140))/(F$4/SUM($F$4:$S$4)))*4+2,2)))-3)&gt;8,(IF(F140&gt;F$5,ABS(LOG(((F$5/SUM($F140:$S140))/(F$4/SUM($F$4:$S$4)))*4+2,2)),ABS(LOG(((F140/SUM($F140:$S140))/(F$4/SUM($F$4:$S$4)))*4+2,2)))-3)/7,IF(F140&gt;F$5,ABS(LOG(((F$5/SUM($F140:$S140))/(F$4/SUM($F$4:$S$4)))*4+2,2)),ABS(LOG(((F140/SUM($F140:$S140))/(F$4/SUM($F$4:$S$4)))*4+2,2)))-3))</f>
        <v/>
      </c>
      <c r="V140" s="2">
        <f t="shared" si="137"/>
        <v>-1.9975342184739453</v>
      </c>
      <c r="W140" s="2">
        <f t="shared" si="137"/>
        <v>5.7492688015357345</v>
      </c>
      <c r="X140" s="2">
        <f t="shared" si="137"/>
        <v>3.5027753414457967</v>
      </c>
      <c r="Y140" s="2">
        <f t="shared" si="137"/>
        <v>4.4796530060689097</v>
      </c>
      <c r="Z140" s="2">
        <f t="shared" si="137"/>
        <v>1.490319662916153</v>
      </c>
      <c r="AA140" s="2">
        <f t="shared" si="137"/>
        <v>-1.756362262090903</v>
      </c>
      <c r="AB140" s="2">
        <f t="shared" si="137"/>
        <v>-0.74350564810376962</v>
      </c>
      <c r="AC140" s="2">
        <f t="shared" si="137"/>
        <v>-1.1811422759363139</v>
      </c>
      <c r="AD140" s="2">
        <f t="shared" si="137"/>
        <v>-1.1667242526560535</v>
      </c>
      <c r="AE140" s="2">
        <f t="shared" si="137"/>
        <v>-1.9999993638093978</v>
      </c>
      <c r="AF140" s="2">
        <f t="shared" si="137"/>
        <v>-1.4515735683852935</v>
      </c>
      <c r="AG140" s="2">
        <f t="shared" si="137"/>
        <v>-1.0840495374569219</v>
      </c>
      <c r="AH140" s="2">
        <f t="shared" si="137"/>
        <v>-7.018338642580435E-2</v>
      </c>
      <c r="AI140" s="18" t="str">
        <f t="shared" si="5"/>
        <v>NPG</v>
      </c>
      <c r="AJ140" s="2">
        <f t="shared" si="6"/>
        <v>1</v>
      </c>
    </row>
    <row r="141" spans="1:36" ht="10.5" customHeight="1" x14ac:dyDescent="0.25">
      <c r="A141" s="17">
        <v>133</v>
      </c>
      <c r="B141" s="2">
        <f t="shared" si="2"/>
        <v>0.14381930739809781</v>
      </c>
      <c r="C141" s="4">
        <v>1</v>
      </c>
      <c r="D141" s="4">
        <v>19.241229222762701</v>
      </c>
      <c r="E141" s="18" t="s">
        <v>52</v>
      </c>
      <c r="F141" s="5">
        <v>3.5799999999999997E-4</v>
      </c>
      <c r="G141" s="5">
        <v>0.31469999999999998</v>
      </c>
      <c r="H141" s="5">
        <v>0.1075</v>
      </c>
      <c r="I141" s="5">
        <v>0.57069999999999999</v>
      </c>
      <c r="J141" s="5">
        <v>2.5399999999999999E-2</v>
      </c>
      <c r="K141" s="5">
        <v>5.8700000000000002E-2</v>
      </c>
      <c r="L141" s="5">
        <v>1.3160000000000001</v>
      </c>
      <c r="M141" s="5">
        <v>0.31319999999999998</v>
      </c>
      <c r="N141" s="5">
        <v>1.1199999999999999E-3</v>
      </c>
      <c r="O141" s="5">
        <v>0.46010000000000001</v>
      </c>
      <c r="P141" s="5">
        <v>0.39750000000000002</v>
      </c>
      <c r="Q141" s="5">
        <v>20.49</v>
      </c>
      <c r="R141" s="5">
        <v>9.1999999999999998E-2</v>
      </c>
      <c r="S141" s="5">
        <v>118.2</v>
      </c>
      <c r="T141" s="18" t="str">
        <f t="shared" si="3"/>
        <v>RB-M</v>
      </c>
      <c r="U141" s="2">
        <f t="shared" ref="U141:AH141" si="138">IF(OR(F141=0,F141&lt;0.00001,F141&gt;100000),"",IF((IF(F141&gt;F$5,ABS(LOG(((F$5/SUM($F141:$S141))/(F$4/SUM($F$4:$S$4)))*4+2,2)),ABS(LOG(((F141/SUM($F141:$S141))/(F$4/SUM($F$4:$S$4)))*4+2,2)))-3)&gt;8,(IF(F141&gt;F$5,ABS(LOG(((F$5/SUM($F141:$S141))/(F$4/SUM($F$4:$S$4)))*4+2,2)),ABS(LOG(((F141/SUM($F141:$S141))/(F$4/SUM($F$4:$S$4)))*4+2,2)))-3)/7,IF(F141&gt;F$5,ABS(LOG(((F$5/SUM($F141:$S141))/(F$4/SUM($F$4:$S$4)))*4+2,2)),ABS(LOG(((F141/SUM($F141:$S141))/(F$4/SUM($F$4:$S$4)))*4+2,2)))-3))</f>
        <v>-1.9708656978042587</v>
      </c>
      <c r="V141" s="2">
        <f t="shared" si="138"/>
        <v>0.7233069192763395</v>
      </c>
      <c r="W141" s="2">
        <f t="shared" si="138"/>
        <v>0.83300982631746257</v>
      </c>
      <c r="X141" s="2">
        <f t="shared" si="138"/>
        <v>0.34055405668097327</v>
      </c>
      <c r="Y141" s="2">
        <f t="shared" si="138"/>
        <v>-1.7357389704633353</v>
      </c>
      <c r="Z141" s="2">
        <f t="shared" si="138"/>
        <v>4.6348571644475554</v>
      </c>
      <c r="AA141" s="2">
        <f t="shared" si="138"/>
        <v>3.2665736678742308</v>
      </c>
      <c r="AB141" s="2">
        <f t="shared" si="138"/>
        <v>0.51008513240305442</v>
      </c>
      <c r="AC141" s="2">
        <f t="shared" si="138"/>
        <v>-1.973170735693879</v>
      </c>
      <c r="AD141" s="2">
        <f t="shared" si="138"/>
        <v>-1.5174249588026794</v>
      </c>
      <c r="AE141" s="2">
        <f t="shared" si="138"/>
        <v>-1.9999998972399939</v>
      </c>
      <c r="AF141" s="2">
        <f t="shared" si="138"/>
        <v>-1.3146362056646159</v>
      </c>
      <c r="AG141" s="2">
        <f t="shared" si="138"/>
        <v>-1.9660253075995486</v>
      </c>
      <c r="AH141" s="2">
        <f t="shared" si="138"/>
        <v>0.28417743635873505</v>
      </c>
      <c r="AI141" s="18" t="str">
        <f t="shared" si="5"/>
        <v>RB-M</v>
      </c>
      <c r="AJ141" s="2">
        <f t="shared" si="6"/>
        <v>1</v>
      </c>
    </row>
    <row r="142" spans="1:36" ht="10.5" customHeight="1" x14ac:dyDescent="0.25">
      <c r="A142" s="17">
        <v>134</v>
      </c>
      <c r="B142" s="2">
        <f t="shared" si="2"/>
        <v>1.158949599727194E-3</v>
      </c>
      <c r="C142" s="4">
        <v>1</v>
      </c>
      <c r="D142" s="4">
        <v>25.977394195766699</v>
      </c>
      <c r="E142" s="18" t="s">
        <v>53</v>
      </c>
      <c r="F142" s="5">
        <v>8.9499999999999996E-3</v>
      </c>
      <c r="G142" s="5">
        <v>0.8377</v>
      </c>
      <c r="H142" s="5">
        <v>2.629</v>
      </c>
      <c r="I142" s="5">
        <v>0.84930000000000005</v>
      </c>
      <c r="J142" s="5">
        <v>0.11559999999999999</v>
      </c>
      <c r="K142" s="5">
        <v>1.7809999999999999</v>
      </c>
      <c r="L142" s="5">
        <v>0.16719999999999999</v>
      </c>
      <c r="M142" s="5">
        <v>0.2747</v>
      </c>
      <c r="N142" s="5">
        <v>0.1066</v>
      </c>
      <c r="O142" s="5">
        <v>133.30000000000001</v>
      </c>
      <c r="P142" s="5">
        <v>7.1500000000000001E-3</v>
      </c>
      <c r="Q142" s="5">
        <v>9.7279999999999998</v>
      </c>
      <c r="R142" s="5">
        <v>1.49</v>
      </c>
      <c r="S142" s="5">
        <v>12.53</v>
      </c>
      <c r="T142" s="18" t="str">
        <f t="shared" si="3"/>
        <v>RM-M</v>
      </c>
      <c r="U142" s="2">
        <f t="shared" ref="U142:AH142" si="139">IF(OR(F142=0,F142&lt;0.00001,F142&gt;100000),"",IF((IF(F142&gt;F$5,ABS(LOG(((F$5/SUM($F142:$S142))/(F$4/SUM($F$4:$S$4)))*4+2,2)),ABS(LOG(((F142/SUM($F142:$S142))/(F$4/SUM($F$4:$S$4)))*4+2,2)))-3)&gt;8,(IF(F142&gt;F$5,ABS(LOG(((F$5/SUM($F142:$S142))/(F$4/SUM($F$4:$S$4)))*4+2,2)),ABS(LOG(((F142/SUM($F142:$S142))/(F$4/SUM($F$4:$S$4)))*4+2,2)))-3)/7,IF(F142&gt;F$5,ABS(LOG(((F$5/SUM($F142:$S142))/(F$4/SUM($F$4:$S$4)))*4+2,2)),ABS(LOG(((F142/SUM($F142:$S142))/(F$4/SUM($F$4:$S$4)))*4+2,2)))-3))</f>
        <v>-1.4707988084098933</v>
      </c>
      <c r="V142" s="2">
        <f t="shared" si="139"/>
        <v>1.8033552673016713</v>
      </c>
      <c r="W142" s="2">
        <f t="shared" si="139"/>
        <v>5.0352535228735817</v>
      </c>
      <c r="X142" s="2">
        <f t="shared" si="139"/>
        <v>0.64530700584107148</v>
      </c>
      <c r="Y142" s="2">
        <f t="shared" si="139"/>
        <v>-1.1560658057358209</v>
      </c>
      <c r="Z142" s="2">
        <f t="shared" si="139"/>
        <v>1.2531256381378888</v>
      </c>
      <c r="AA142" s="2">
        <f t="shared" si="139"/>
        <v>0.36153820655511959</v>
      </c>
      <c r="AB142" s="2">
        <f t="shared" si="139"/>
        <v>0.19508815162797699</v>
      </c>
      <c r="AC142" s="2">
        <f t="shared" si="139"/>
        <v>-0.64818051881645777</v>
      </c>
      <c r="AD142" s="2">
        <f t="shared" si="139"/>
        <v>3.9310733817539028</v>
      </c>
      <c r="AE142" s="2">
        <f t="shared" si="139"/>
        <v>-1.9999999107121054</v>
      </c>
      <c r="AF142" s="2">
        <f t="shared" si="139"/>
        <v>-1.677080365476447</v>
      </c>
      <c r="AG142" s="2">
        <f t="shared" si="139"/>
        <v>-1.5828043292905014</v>
      </c>
      <c r="AH142" s="2">
        <f t="shared" si="139"/>
        <v>-1.5600670085276931</v>
      </c>
      <c r="AI142" s="18" t="str">
        <f t="shared" si="5"/>
        <v>RM-M</v>
      </c>
      <c r="AJ142" s="2">
        <f t="shared" si="6"/>
        <v>1</v>
      </c>
    </row>
    <row r="143" spans="1:36" ht="10.5" customHeight="1" x14ac:dyDescent="0.25">
      <c r="A143" s="17">
        <v>135</v>
      </c>
      <c r="B143" s="2">
        <f t="shared" si="2"/>
        <v>3.1838423810218663</v>
      </c>
      <c r="C143" s="4">
        <v>1</v>
      </c>
      <c r="D143" s="4">
        <v>23.0368008257478</v>
      </c>
      <c r="E143" s="18" t="s">
        <v>54</v>
      </c>
      <c r="F143" s="5">
        <v>0.20255000000000001</v>
      </c>
      <c r="G143" s="5">
        <v>0.43920000000000003</v>
      </c>
      <c r="H143" s="5">
        <v>1.4455</v>
      </c>
      <c r="I143" s="5">
        <v>0.55909999999999993</v>
      </c>
      <c r="J143" s="5">
        <v>0.1177</v>
      </c>
      <c r="K143" s="5">
        <v>0.4047</v>
      </c>
      <c r="L143" s="5">
        <v>0.97964999999999991</v>
      </c>
      <c r="M143" s="5">
        <v>0.55190000000000006</v>
      </c>
      <c r="N143" s="5">
        <v>0.10385</v>
      </c>
      <c r="O143" s="5">
        <v>0.31225000000000003</v>
      </c>
      <c r="P143" s="5">
        <v>0.54974999999999996</v>
      </c>
      <c r="Q143" s="5">
        <v>18.64</v>
      </c>
      <c r="R143" s="5">
        <v>0.12490000000000001</v>
      </c>
      <c r="S143" s="5">
        <v>82.144999999999996</v>
      </c>
      <c r="T143" s="18" t="str">
        <f t="shared" si="3"/>
        <v>SHR-M</v>
      </c>
      <c r="U143" s="2">
        <f t="shared" ref="U143:AH143" si="140">IF(OR(F143=0,F143&lt;0.00001,F143&gt;100000),"",IF((IF(F143&gt;F$5,ABS(LOG(((F$5/SUM($F143:$S143))/(F$4/SUM($F$4:$S$4)))*4+2,2)),ABS(LOG(((F143/SUM($F143:$S143))/(F$4/SUM($F$4:$S$4)))*4+2,2)))-3)&gt;8,(IF(F143&gt;F$5,ABS(LOG(((F$5/SUM($F143:$S143))/(F$4/SUM($F$4:$S$4)))*4+2,2)),ABS(LOG(((F143/SUM($F143:$S143))/(F$4/SUM($F$4:$S$4)))*4+2,2)))-3)/7,IF(F143&gt;F$5,ABS(LOG(((F$5/SUM($F143:$S143))/(F$4/SUM($F$4:$S$4)))*4+2,2)),ABS(LOG(((F143/SUM($F143:$S143))/(F$4/SUM($F$4:$S$4)))*4+2,2)))-3))</f>
        <v>2.0369985268371238</v>
      </c>
      <c r="V143" s="2">
        <f t="shared" si="140"/>
        <v>1.5167457237101729</v>
      </c>
      <c r="W143" s="2">
        <f t="shared" si="140"/>
        <v>4.7945954178153904</v>
      </c>
      <c r="X143" s="2">
        <f t="shared" si="140"/>
        <v>0.65969247919420715</v>
      </c>
      <c r="Y143" s="2">
        <f t="shared" si="140"/>
        <v>-0.83383023963205583</v>
      </c>
      <c r="Z143" s="2">
        <f t="shared" si="140"/>
        <v>7.8248101503877798</v>
      </c>
      <c r="AA143" s="2">
        <f t="shared" si="140"/>
        <v>3.2585000778242863</v>
      </c>
      <c r="AB143" s="2">
        <f t="shared" si="140"/>
        <v>1.5913988419655629</v>
      </c>
      <c r="AC143" s="2">
        <f t="shared" si="140"/>
        <v>-0.26679952745440128</v>
      </c>
      <c r="AD143" s="2">
        <f t="shared" si="140"/>
        <v>-1.5563184752308519</v>
      </c>
      <c r="AE143" s="2">
        <f t="shared" si="140"/>
        <v>-1.9999998627495863</v>
      </c>
      <c r="AF143" s="2">
        <f t="shared" si="140"/>
        <v>-1.2018417668628119</v>
      </c>
      <c r="AG143" s="2">
        <f t="shared" si="140"/>
        <v>-1.9389725117553123</v>
      </c>
      <c r="AH143" s="2">
        <f t="shared" si="140"/>
        <v>0.19944665676022311</v>
      </c>
      <c r="AI143" s="18" t="str">
        <f t="shared" si="5"/>
        <v>SHR-M</v>
      </c>
      <c r="AJ143" s="2">
        <f t="shared" si="6"/>
        <v>1</v>
      </c>
    </row>
    <row r="144" spans="1:36" ht="10.5" customHeight="1" x14ac:dyDescent="0.25">
      <c r="A144" s="17">
        <v>136</v>
      </c>
      <c r="B144" s="2">
        <f t="shared" si="2"/>
        <v>5.522627146578027</v>
      </c>
      <c r="C144" s="4">
        <v>2</v>
      </c>
      <c r="D144" s="4">
        <v>20.9997495047154</v>
      </c>
      <c r="E144" s="18">
        <v>2</v>
      </c>
      <c r="F144" s="5">
        <v>8.1100000000000005E-2</v>
      </c>
      <c r="G144" s="5">
        <v>0.58220000000000005</v>
      </c>
      <c r="H144" s="5">
        <v>0.33189999999999997</v>
      </c>
      <c r="I144" s="5">
        <v>1.1359999999999999</v>
      </c>
      <c r="J144" s="5">
        <v>2.4780000000000002</v>
      </c>
      <c r="K144" s="5">
        <v>0.1082</v>
      </c>
      <c r="L144" s="5">
        <v>2.0609999999999999</v>
      </c>
      <c r="M144" s="5">
        <v>1.413</v>
      </c>
      <c r="N144" s="5">
        <v>4.6399999999999997E-2</v>
      </c>
      <c r="O144" s="5">
        <v>3.9660000000000002</v>
      </c>
      <c r="P144" s="5">
        <v>2.9499999999999999E-3</v>
      </c>
      <c r="Q144" s="5">
        <v>8.3859999999999992</v>
      </c>
      <c r="R144" s="5">
        <v>0.1087</v>
      </c>
      <c r="S144" s="5">
        <v>63.35</v>
      </c>
      <c r="T144" s="18">
        <f t="shared" si="3"/>
        <v>2</v>
      </c>
      <c r="U144" s="2">
        <f t="shared" ref="U144:AH144" si="141">IF(OR(F144=0,F144&lt;0.00001,F144&gt;100000),"",IF((IF(F144&gt;F$5,ABS(LOG(((F$5/SUM($F144:$S144))/(F$4/SUM($F$4:$S$4)))*4+2,2)),ABS(LOG(((F144/SUM($F144:$S144))/(F$4/SUM($F$4:$S$4)))*4+2,2)))-3)&gt;8,(IF(F144&gt;F$5,ABS(LOG(((F$5/SUM($F144:$S144))/(F$4/SUM($F$4:$S$4)))*4+2,2)),ABS(LOG(((F144/SUM($F144:$S144))/(F$4/SUM($F$4:$S$4)))*4+2,2)))-3)/7,IF(F144&gt;F$5,ABS(LOG(((F$5/SUM($F144:$S144))/(F$4/SUM($F$4:$S$4)))*4+2,2)),ABS(LOG(((F144/SUM($F144:$S144))/(F$4/SUM($F$4:$S$4)))*4+2,2)))-3))</f>
        <v>1.1418320653847598</v>
      </c>
      <c r="V144" s="2">
        <f t="shared" si="141"/>
        <v>2.2139401647314818</v>
      </c>
      <c r="W144" s="2">
        <f t="shared" si="141"/>
        <v>3.045685268224207</v>
      </c>
      <c r="X144" s="2">
        <f t="shared" si="141"/>
        <v>1.878088888005272</v>
      </c>
      <c r="Y144" s="2">
        <f t="shared" si="141"/>
        <v>3.0964863853174256</v>
      </c>
      <c r="Z144" s="2">
        <f t="shared" si="141"/>
        <v>6.2672948317608039</v>
      </c>
      <c r="AA144" s="2">
        <f t="shared" si="141"/>
        <v>4.6502901751064947</v>
      </c>
      <c r="AB144" s="2">
        <f t="shared" si="141"/>
        <v>3.2049272828652899</v>
      </c>
      <c r="AC144" s="2">
        <f t="shared" si="141"/>
        <v>-0.78774794239900459</v>
      </c>
      <c r="AD144" s="2">
        <f t="shared" si="141"/>
        <v>0.76532032148458118</v>
      </c>
      <c r="AE144" s="2">
        <f t="shared" si="141"/>
        <v>-1.9999998259684184</v>
      </c>
      <c r="AF144" s="2">
        <f t="shared" si="141"/>
        <v>-1.4925863035305953</v>
      </c>
      <c r="AG144" s="2">
        <f t="shared" si="141"/>
        <v>-1.9327997275878914</v>
      </c>
      <c r="AH144" s="2">
        <f t="shared" si="141"/>
        <v>0.17424907434035308</v>
      </c>
      <c r="AI144" s="18">
        <f t="shared" si="5"/>
        <v>2</v>
      </c>
      <c r="AJ144" s="2">
        <f t="shared" si="6"/>
        <v>1</v>
      </c>
    </row>
    <row r="145" spans="1:36" ht="10.5" customHeight="1" x14ac:dyDescent="0.25">
      <c r="A145" s="17">
        <v>137</v>
      </c>
      <c r="B145" s="2">
        <f t="shared" si="2"/>
        <v>9.5170426609034084</v>
      </c>
      <c r="C145" s="4">
        <v>2</v>
      </c>
      <c r="D145" s="4">
        <v>16.720767038749798</v>
      </c>
      <c r="E145" s="18">
        <v>6</v>
      </c>
      <c r="F145" s="5">
        <v>2.3699999999999999E-2</v>
      </c>
      <c r="G145" s="5">
        <v>0.79400000000000004</v>
      </c>
      <c r="H145" s="5">
        <v>0.3483</v>
      </c>
      <c r="I145" s="5">
        <v>1.196</v>
      </c>
      <c r="J145" s="5">
        <v>4.3520000000000003</v>
      </c>
      <c r="K145" s="5">
        <v>2.9700000000000001E-2</v>
      </c>
      <c r="L145" s="5">
        <v>3.923</v>
      </c>
      <c r="M145" s="5">
        <v>1.0309999999999999</v>
      </c>
      <c r="N145" s="5">
        <v>0.56299999999999994</v>
      </c>
      <c r="O145" s="5">
        <v>1.6859999999999999</v>
      </c>
      <c r="P145" s="5">
        <v>2.1900000000000001E-3</v>
      </c>
      <c r="Q145" s="5">
        <v>1.2569999999999999</v>
      </c>
      <c r="R145" s="5">
        <v>1.9800000000000002E-2</v>
      </c>
      <c r="S145" s="5">
        <v>7.6440000000000001</v>
      </c>
      <c r="T145" s="18">
        <f t="shared" si="3"/>
        <v>6</v>
      </c>
      <c r="U145" s="2">
        <f t="shared" ref="U145:AH145" si="142">IF(OR(F145=0,F145&lt;0.00001,F145&gt;100000),"",IF((IF(F145&gt;F$5,ABS(LOG(((F$5/SUM($F145:$S145))/(F$4/SUM($F$4:$S$4)))*4+2,2)),ABS(LOG(((F145/SUM($F145:$S145))/(F$4/SUM($F$4:$S$4)))*4+2,2)))-3)&gt;8,(IF(F145&gt;F$5,ABS(LOG(((F$5/SUM($F145:$S145))/(F$4/SUM($F$4:$S$4)))*4+2,2)),ABS(LOG(((F145/SUM($F145:$S145))/(F$4/SUM($F$4:$S$4)))*4+2,2)))-3)/7,IF(F145&gt;F$5,ABS(LOG(((F$5/SUM($F145:$S145))/(F$4/SUM($F$4:$S$4)))*4+2,2)),ABS(LOG(((F145/SUM($F145:$S145))/(F$4/SUM($F$4:$S$4)))*4+2,2)))-3))</f>
        <v>1.233544025391593</v>
      </c>
      <c r="V145" s="2">
        <f t="shared" si="142"/>
        <v>4.4757870525292667</v>
      </c>
      <c r="W145" s="2">
        <f t="shared" si="142"/>
        <v>4.9603808528983908</v>
      </c>
      <c r="X145" s="2">
        <f t="shared" si="142"/>
        <v>3.7555193601043335</v>
      </c>
      <c r="Y145" s="2">
        <f t="shared" si="142"/>
        <v>5.7507424519189012</v>
      </c>
      <c r="Z145" s="2">
        <f t="shared" si="142"/>
        <v>6.2799241235978212</v>
      </c>
      <c r="AA145" s="2">
        <f t="shared" si="142"/>
        <v>7.4443764450369638</v>
      </c>
      <c r="AB145" s="2">
        <f t="shared" si="142"/>
        <v>4.6033067861732624</v>
      </c>
      <c r="AC145" s="2">
        <f t="shared" si="142"/>
        <v>3.9003771211609575</v>
      </c>
      <c r="AD145" s="2">
        <f t="shared" si="142"/>
        <v>1.3306000155827835</v>
      </c>
      <c r="AE145" s="2">
        <f t="shared" si="142"/>
        <v>-1.9999993603934114</v>
      </c>
      <c r="AF145" s="2">
        <f t="shared" si="142"/>
        <v>-1.6987633672126992</v>
      </c>
      <c r="AG145" s="2">
        <f t="shared" si="142"/>
        <v>-1.9546680380752413</v>
      </c>
      <c r="AH145" s="2">
        <f t="shared" si="142"/>
        <v>-0.64491807935179235</v>
      </c>
      <c r="AI145" s="18">
        <f t="shared" si="5"/>
        <v>6</v>
      </c>
      <c r="AJ145" s="2">
        <f t="shared" si="6"/>
        <v>1</v>
      </c>
    </row>
    <row r="146" spans="1:36" ht="10.5" customHeight="1" x14ac:dyDescent="0.25">
      <c r="A146" s="17">
        <v>138</v>
      </c>
      <c r="B146" s="2">
        <f t="shared" si="2"/>
        <v>6.6712378269235701</v>
      </c>
      <c r="C146" s="4">
        <v>2</v>
      </c>
      <c r="D146" s="4">
        <v>16.476624593753201</v>
      </c>
      <c r="E146" s="18">
        <v>8</v>
      </c>
      <c r="F146" s="5">
        <v>4.2900000000000004E-3</v>
      </c>
      <c r="G146" s="5">
        <v>0.18779999999999999</v>
      </c>
      <c r="H146" s="5">
        <v>0.17810000000000001</v>
      </c>
      <c r="I146" s="5">
        <v>0.40389999999999998</v>
      </c>
      <c r="J146" s="5">
        <v>0.46060000000000001</v>
      </c>
      <c r="K146" s="5">
        <v>8.9800000000000001E-3</v>
      </c>
      <c r="L146" s="5">
        <v>0.70050000000000001</v>
      </c>
      <c r="M146" s="5">
        <v>0.36759999999999998</v>
      </c>
      <c r="N146" s="5">
        <v>4.008</v>
      </c>
      <c r="O146" s="5">
        <v>0.3448</v>
      </c>
      <c r="P146" s="5">
        <v>3.2699999999999998E-4</v>
      </c>
      <c r="Q146" s="5">
        <v>2.444</v>
      </c>
      <c r="R146" s="5">
        <v>1.7500000000000002E-2</v>
      </c>
      <c r="S146" s="5">
        <v>11.99</v>
      </c>
      <c r="T146" s="18">
        <f t="shared" si="3"/>
        <v>8</v>
      </c>
      <c r="U146" s="2">
        <f t="shared" ref="U146:AH146" si="143">IF(OR(F146=0,F146&lt;0.00001,F146&gt;100000),"",IF((IF(F146&gt;F$5,ABS(LOG(((F$5/SUM($F146:$S146))/(F$4/SUM($F$4:$S$4)))*4+2,2)),ABS(LOG(((F146/SUM($F146:$S146))/(F$4/SUM($F$4:$S$4)))*4+2,2)))-3)&gt;8,(IF(F146&gt;F$5,ABS(LOG(((F$5/SUM($F146:$S146))/(F$4/SUM($F$4:$S$4)))*4+2,2)),ABS(LOG(((F146/SUM($F146:$S146))/(F$4/SUM($F$4:$S$4)))*4+2,2)))-3)/7,IF(F146&gt;F$5,ABS(LOG(((F$5/SUM($F146:$S146))/(F$4/SUM($F$4:$S$4)))*4+2,2)),ABS(LOG(((F146/SUM($F146:$S146))/(F$4/SUM($F$4:$S$4)))*4+2,2)))-3))</f>
        <v>-0.59516093121776947</v>
      </c>
      <c r="V146" s="2">
        <f t="shared" si="143"/>
        <v>2.5572352697334191</v>
      </c>
      <c r="W146" s="2">
        <f t="shared" si="143"/>
        <v>4.1171150431818599</v>
      </c>
      <c r="X146" s="2">
        <f t="shared" si="143"/>
        <v>2.3500267641705372</v>
      </c>
      <c r="Y146" s="2">
        <f t="shared" si="143"/>
        <v>2.6765564973493055</v>
      </c>
      <c r="Z146" s="2">
        <f t="shared" si="143"/>
        <v>4.6788232166538926</v>
      </c>
      <c r="AA146" s="2">
        <f t="shared" si="143"/>
        <v>5.0825605329655179</v>
      </c>
      <c r="AB146" s="2">
        <f t="shared" si="143"/>
        <v>3.2539411743886353</v>
      </c>
      <c r="AC146" s="2">
        <f t="shared" si="143"/>
        <v>6.82595028759558</v>
      </c>
      <c r="AD146" s="2">
        <f t="shared" si="143"/>
        <v>-0.41179733768273774</v>
      </c>
      <c r="AE146" s="2">
        <f t="shared" si="143"/>
        <v>-1.9999993072869326</v>
      </c>
      <c r="AF146" s="2">
        <f t="shared" si="143"/>
        <v>-1.4256998321917795</v>
      </c>
      <c r="AG146" s="2">
        <f t="shared" si="143"/>
        <v>-1.9565782992411647</v>
      </c>
      <c r="AH146" s="2">
        <f t="shared" si="143"/>
        <v>-0.13332614436497403</v>
      </c>
      <c r="AI146" s="18">
        <f t="shared" si="5"/>
        <v>8</v>
      </c>
      <c r="AJ146" s="2">
        <f t="shared" si="6"/>
        <v>1</v>
      </c>
    </row>
    <row r="147" spans="1:36" ht="10.5" customHeight="1" x14ac:dyDescent="0.25">
      <c r="A147" s="17">
        <v>139</v>
      </c>
      <c r="B147" s="2">
        <f t="shared" si="2"/>
        <v>4.5437040274819172</v>
      </c>
      <c r="C147" s="4">
        <v>2</v>
      </c>
      <c r="D147" s="4">
        <v>21.644183168752498</v>
      </c>
      <c r="E147" s="18">
        <v>10</v>
      </c>
      <c r="F147" s="5">
        <v>0.10995000000000001</v>
      </c>
      <c r="G147" s="5">
        <v>0.32214999999999999</v>
      </c>
      <c r="H147" s="5">
        <v>0.23274999999999998</v>
      </c>
      <c r="I147" s="5">
        <v>1.0002</v>
      </c>
      <c r="J147" s="5">
        <v>1.40195</v>
      </c>
      <c r="K147" s="5">
        <v>5.2350000000000001E-2</v>
      </c>
      <c r="L147" s="5">
        <v>2.4860000000000002</v>
      </c>
      <c r="M147" s="5">
        <v>0.58274999999999999</v>
      </c>
      <c r="N147" s="5">
        <v>0.26435000000000003</v>
      </c>
      <c r="O147" s="5">
        <v>0.85735000000000006</v>
      </c>
      <c r="P147" s="5">
        <v>2.5000000000000001E-3</v>
      </c>
      <c r="Q147" s="5">
        <v>41.63</v>
      </c>
      <c r="R147" s="5">
        <v>8.795E-2</v>
      </c>
      <c r="S147" s="5">
        <v>47.674999999999997</v>
      </c>
      <c r="T147" s="18">
        <f t="shared" si="3"/>
        <v>10</v>
      </c>
      <c r="U147" s="2">
        <f t="shared" ref="U147:AH147" si="144">IF(OR(F147=0,F147&lt;0.00001,F147&gt;100000),"",IF((IF(F147&gt;F$5,ABS(LOG(((F$5/SUM($F147:$S147))/(F$4/SUM($F$4:$S$4)))*4+2,2)),ABS(LOG(((F147/SUM($F147:$S147))/(F$4/SUM($F$4:$S$4)))*4+2,2)))-3)&gt;8,(IF(F147&gt;F$5,ABS(LOG(((F$5/SUM($F147:$S147))/(F$4/SUM($F$4:$S$4)))*4+2,2)),ABS(LOG(((F147/SUM($F147:$S147))/(F$4/SUM($F$4:$S$4)))*4+2,2)))-3)/7,IF(F147&gt;F$5,ABS(LOG(((F$5/SUM($F147:$S147))/(F$4/SUM($F$4:$S$4)))*4+2,2)),ABS(LOG(((F147/SUM($F147:$S147))/(F$4/SUM($F$4:$S$4)))*4+2,2)))-3))</f>
        <v>1.3536320087095124</v>
      </c>
      <c r="V147" s="2">
        <f t="shared" si="144"/>
        <v>1.2393939773460998</v>
      </c>
      <c r="W147" s="2">
        <f t="shared" si="144"/>
        <v>2.3591123260308677</v>
      </c>
      <c r="X147" s="2">
        <f t="shared" si="144"/>
        <v>1.5218825292456675</v>
      </c>
      <c r="Y147" s="2">
        <f t="shared" si="144"/>
        <v>2.1153642213831203</v>
      </c>
      <c r="Z147" s="2">
        <f t="shared" si="144"/>
        <v>5.0239723554427744</v>
      </c>
      <c r="AA147" s="2">
        <f t="shared" si="144"/>
        <v>4.7177875187771781</v>
      </c>
      <c r="AB147" s="2">
        <f t="shared" si="144"/>
        <v>1.7931525327777234</v>
      </c>
      <c r="AC147" s="2">
        <f t="shared" si="144"/>
        <v>0.91099620486334709</v>
      </c>
      <c r="AD147" s="2">
        <f t="shared" si="144"/>
        <v>-0.93679775844009949</v>
      </c>
      <c r="AE147" s="2">
        <f t="shared" si="144"/>
        <v>-1.9999998487403021</v>
      </c>
      <c r="AF147" s="2">
        <f t="shared" si="144"/>
        <v>-0.50500689837347545</v>
      </c>
      <c r="AG147" s="2">
        <f t="shared" si="144"/>
        <v>-1.9524177607470603</v>
      </c>
      <c r="AH147" s="2">
        <f t="shared" si="144"/>
        <v>-0.27833886399853824</v>
      </c>
      <c r="AI147" s="18">
        <f t="shared" si="5"/>
        <v>10</v>
      </c>
      <c r="AJ147" s="2">
        <f t="shared" si="6"/>
        <v>1</v>
      </c>
    </row>
    <row r="148" spans="1:36" ht="10.5" customHeight="1" x14ac:dyDescent="0.25">
      <c r="A148" s="17">
        <v>140</v>
      </c>
      <c r="B148" s="2">
        <f t="shared" si="2"/>
        <v>2.0869779264382751</v>
      </c>
      <c r="C148" s="4">
        <v>2</v>
      </c>
      <c r="D148" s="4">
        <v>19.748093993083273</v>
      </c>
      <c r="E148" s="18">
        <v>12</v>
      </c>
      <c r="F148" s="5">
        <v>6.6100000000000004E-3</v>
      </c>
      <c r="G148" s="5">
        <v>0.31935000000000002</v>
      </c>
      <c r="H148" s="5">
        <v>0.21882499999999999</v>
      </c>
      <c r="I148" s="5">
        <v>1.0356749999999999</v>
      </c>
      <c r="J148" s="5">
        <v>1.24675</v>
      </c>
      <c r="K148" s="5">
        <v>2.6224999999999998E-2</v>
      </c>
      <c r="L148" s="5">
        <v>2.3417500000000002</v>
      </c>
      <c r="M148" s="5">
        <v>0.98449999999999993</v>
      </c>
      <c r="N148" s="5">
        <v>0.45982500000000004</v>
      </c>
      <c r="O148" s="5">
        <v>0.75240000000000007</v>
      </c>
      <c r="P148" s="5">
        <v>4.0724999999999997E-3</v>
      </c>
      <c r="Q148" s="5">
        <v>62.41</v>
      </c>
      <c r="R148" s="5">
        <v>5.2900000000000003E-2</v>
      </c>
      <c r="S148" s="5">
        <v>50.152499999999996</v>
      </c>
      <c r="T148" s="18">
        <f t="shared" si="3"/>
        <v>12</v>
      </c>
      <c r="U148" s="2">
        <f t="shared" ref="U148:AH148" si="145">IF(OR(F148=0,F148&lt;0.00001,F148&gt;100000),"",IF((IF(F148&gt;F$5,ABS(LOG(((F$5/SUM($F148:$S148))/(F$4/SUM($F$4:$S$4)))*4+2,2)),ABS(LOG(((F148/SUM($F148:$S148))/(F$4/SUM($F$4:$S$4)))*4+2,2)))-3)&gt;8,(IF(F148&gt;F$5,ABS(LOG(((F$5/SUM($F148:$S148))/(F$4/SUM($F$4:$S$4)))*4+2,2)),ABS(LOG(((F148/SUM($F148:$S148))/(F$4/SUM($F$4:$S$4)))*4+2,2)))-3)/7,IF(F148&gt;F$5,ABS(LOG(((F$5/SUM($F148:$S148))/(F$4/SUM($F$4:$S$4)))*4+2,2)),ABS(LOG(((F148/SUM($F148:$S148))/(F$4/SUM($F$4:$S$4)))*4+2,2)))-3))</f>
        <v>-1.4671810625643207</v>
      </c>
      <c r="V148" s="2">
        <f t="shared" si="145"/>
        <v>0.95326900096861467</v>
      </c>
      <c r="W148" s="2">
        <f t="shared" si="145"/>
        <v>1.9809239427630292</v>
      </c>
      <c r="X148" s="2">
        <f t="shared" si="145"/>
        <v>1.2853776691022309</v>
      </c>
      <c r="Y148" s="2">
        <f t="shared" si="145"/>
        <v>1.6671462746540566</v>
      </c>
      <c r="Z148" s="2">
        <f t="shared" si="145"/>
        <v>3.7315042433726671</v>
      </c>
      <c r="AA148" s="2">
        <f t="shared" si="145"/>
        <v>4.3243876178803609</v>
      </c>
      <c r="AB148" s="2">
        <f t="shared" si="145"/>
        <v>2.2102716108654548</v>
      </c>
      <c r="AC148" s="2">
        <f t="shared" si="145"/>
        <v>1.3420868926132181</v>
      </c>
      <c r="AD148" s="2">
        <f t="shared" si="145"/>
        <v>-1.1758452951660874</v>
      </c>
      <c r="AE148" s="2">
        <f t="shared" si="145"/>
        <v>-1.999999878114836</v>
      </c>
      <c r="AF148" s="2">
        <f t="shared" si="145"/>
        <v>-0.32330588969849616</v>
      </c>
      <c r="AG148" s="2">
        <f t="shared" si="145"/>
        <v>-1.9767422074258774</v>
      </c>
      <c r="AH148" s="2">
        <f t="shared" si="145"/>
        <v>-0.44021804138669607</v>
      </c>
      <c r="AI148" s="18">
        <f t="shared" si="5"/>
        <v>12</v>
      </c>
      <c r="AJ148" s="2">
        <f t="shared" si="6"/>
        <v>1</v>
      </c>
    </row>
    <row r="149" spans="1:36" ht="10.5" customHeight="1" x14ac:dyDescent="0.25">
      <c r="A149" s="17">
        <v>141</v>
      </c>
      <c r="B149" s="2">
        <f t="shared" si="2"/>
        <v>4.2391970088881727</v>
      </c>
      <c r="C149" s="4">
        <v>2</v>
      </c>
      <c r="D149" s="4">
        <v>20.838211196154202</v>
      </c>
      <c r="E149" s="18">
        <v>14</v>
      </c>
      <c r="F149" s="5">
        <v>5.9825000000000003E-2</v>
      </c>
      <c r="G149" s="5">
        <v>0.54317499999999996</v>
      </c>
      <c r="H149" s="5">
        <v>0.36977500000000008</v>
      </c>
      <c r="I149" s="5">
        <v>1.572425</v>
      </c>
      <c r="J149" s="5">
        <v>0.49062499999999998</v>
      </c>
      <c r="K149" s="5">
        <v>2.6275000000000003E-2</v>
      </c>
      <c r="L149" s="5">
        <v>3.41</v>
      </c>
      <c r="M149" s="5">
        <v>0.60567499999999996</v>
      </c>
      <c r="N149" s="5">
        <v>6.0237499999999999E-2</v>
      </c>
      <c r="O149" s="5">
        <v>0.13422499999999998</v>
      </c>
      <c r="P149" s="5">
        <v>6.0525000000000006E-3</v>
      </c>
      <c r="Q149" s="5">
        <v>17.125</v>
      </c>
      <c r="R149" s="5">
        <v>0.28047500000000003</v>
      </c>
      <c r="S149" s="5">
        <v>49.372499999999995</v>
      </c>
      <c r="T149" s="18">
        <f t="shared" si="3"/>
        <v>14</v>
      </c>
      <c r="U149" s="2">
        <f t="shared" ref="U149:AH149" si="146">IF(OR(F149=0,F149&lt;0.00001,F149&gt;100000),"",IF((IF(F149&gt;F$5,ABS(LOG(((F$5/SUM($F149:$S149))/(F$4/SUM($F$4:$S$4)))*4+2,2)),ABS(LOG(((F149/SUM($F149:$S149))/(F$4/SUM($F$4:$S$4)))*4+2,2)))-3)&gt;8,(IF(F149&gt;F$5,ABS(LOG(((F$5/SUM($F149:$S149))/(F$4/SUM($F$4:$S$4)))*4+2,2)),ABS(LOG(((F149/SUM($F149:$S149))/(F$4/SUM($F$4:$S$4)))*4+2,2)))-3)/7,IF(F149&gt;F$5,ABS(LOG(((F$5/SUM($F149:$S149))/(F$4/SUM($F$4:$S$4)))*4+2,2)),ABS(LOG(((F149/SUM($F149:$S149))/(F$4/SUM($F$4:$S$4)))*4+2,2)))-3))</f>
        <v>0.91696184098567723</v>
      </c>
      <c r="V149" s="2">
        <f t="shared" si="146"/>
        <v>2.2921632366339884</v>
      </c>
      <c r="W149" s="2">
        <f t="shared" si="146"/>
        <v>3.3750701276423447</v>
      </c>
      <c r="X149" s="2">
        <f t="shared" si="146"/>
        <v>2.4936575381444506</v>
      </c>
      <c r="Y149" s="2">
        <f t="shared" si="146"/>
        <v>1.0812590475254682</v>
      </c>
      <c r="Z149" s="2">
        <f t="shared" si="146"/>
        <v>4.4202624630819534</v>
      </c>
      <c r="AA149" s="2">
        <f t="shared" si="146"/>
        <v>5.5526384308505339</v>
      </c>
      <c r="AB149" s="2">
        <f t="shared" si="146"/>
        <v>2.2061382281739004</v>
      </c>
      <c r="AC149" s="2">
        <f t="shared" si="146"/>
        <v>-0.44393561286035199</v>
      </c>
      <c r="AD149" s="2">
        <f t="shared" si="146"/>
        <v>-1.7098713156625149</v>
      </c>
      <c r="AE149" s="2">
        <f t="shared" si="146"/>
        <v>-1.999999802479822</v>
      </c>
      <c r="AF149" s="2">
        <f t="shared" si="146"/>
        <v>-1.016749946751355</v>
      </c>
      <c r="AG149" s="2">
        <f t="shared" si="146"/>
        <v>-1.811426482999533</v>
      </c>
      <c r="AH149" s="2">
        <f t="shared" si="146"/>
        <v>3.8390455813851698E-2</v>
      </c>
      <c r="AI149" s="18">
        <f t="shared" si="5"/>
        <v>14</v>
      </c>
      <c r="AJ149" s="2">
        <f t="shared" si="6"/>
        <v>1</v>
      </c>
    </row>
    <row r="150" spans="1:36" ht="10.5" customHeight="1" x14ac:dyDescent="0.25">
      <c r="A150" s="17">
        <v>142</v>
      </c>
      <c r="B150" s="2">
        <f t="shared" si="2"/>
        <v>7.5799299201682686</v>
      </c>
      <c r="C150" s="4">
        <v>2</v>
      </c>
      <c r="D150" s="4">
        <v>22.5831918347228</v>
      </c>
      <c r="E150" s="18">
        <v>16</v>
      </c>
      <c r="F150" s="5">
        <v>7.6999999999999999E-2</v>
      </c>
      <c r="G150" s="5">
        <v>0.70720000000000005</v>
      </c>
      <c r="H150" s="5">
        <v>0.41339999999999999</v>
      </c>
      <c r="I150" s="5">
        <v>1.8129999999999999</v>
      </c>
      <c r="J150" s="5">
        <v>9.0679999999999996</v>
      </c>
      <c r="K150" s="5">
        <v>4.9000000000000002E-2</v>
      </c>
      <c r="L150" s="5">
        <v>2.9329999999999998</v>
      </c>
      <c r="M150" s="5">
        <v>0.61360000000000003</v>
      </c>
      <c r="N150" s="5">
        <v>5.58</v>
      </c>
      <c r="O150" s="5">
        <v>8.3699999999999997E-2</v>
      </c>
      <c r="P150" s="5">
        <v>1.25E-3</v>
      </c>
      <c r="Q150" s="5">
        <v>5.367</v>
      </c>
      <c r="R150" s="5">
        <v>0.14130000000000001</v>
      </c>
      <c r="S150" s="5">
        <v>22.29</v>
      </c>
      <c r="T150" s="18">
        <f t="shared" si="3"/>
        <v>16</v>
      </c>
      <c r="U150" s="2">
        <f t="shared" ref="U150:AH150" si="147">IF(OR(F150=0,F150&lt;0.00001,F150&gt;100000),"",IF((IF(F150&gt;F$5,ABS(LOG(((F$5/SUM($F150:$S150))/(F$4/SUM($F$4:$S$4)))*4+2,2)),ABS(LOG(((F150/SUM($F150:$S150))/(F$4/SUM($F$4:$S$4)))*4+2,2)))-3)&gt;8,(IF(F150&gt;F$5,ABS(LOG(((F$5/SUM($F150:$S150))/(F$4/SUM($F$4:$S$4)))*4+2,2)),ABS(LOG(((F150/SUM($F150:$S150))/(F$4/SUM($F$4:$S$4)))*4+2,2)))-3)/7,IF(F150&gt;F$5,ABS(LOG(((F$5/SUM($F150:$S150))/(F$4/SUM($F$4:$S$4)))*4+2,2)),ABS(LOG(((F150/SUM($F150:$S150))/(F$4/SUM($F$4:$S$4)))*4+2,2)))-3))</f>
        <v>1.7772222949572072</v>
      </c>
      <c r="V150" s="2">
        <f t="shared" si="147"/>
        <v>3.2280929562070542</v>
      </c>
      <c r="W150" s="2">
        <f t="shared" si="147"/>
        <v>4.1135586693666211</v>
      </c>
      <c r="X150" s="2">
        <f t="shared" si="147"/>
        <v>3.2633979094172298</v>
      </c>
      <c r="Y150" s="2">
        <f t="shared" si="147"/>
        <v>5.7066708698017337</v>
      </c>
      <c r="Z150" s="2">
        <f t="shared" si="147"/>
        <v>5.9002592623818177</v>
      </c>
      <c r="AA150" s="2">
        <f t="shared" si="147"/>
        <v>5.9252850466815019</v>
      </c>
      <c r="AB150" s="2">
        <f t="shared" si="147"/>
        <v>2.7894658866335469</v>
      </c>
      <c r="AC150" s="2">
        <f t="shared" si="147"/>
        <v>6.0870065212844846</v>
      </c>
      <c r="AD150" s="2">
        <f t="shared" si="147"/>
        <v>-1.725776964341702</v>
      </c>
      <c r="AE150" s="2">
        <f t="shared" si="147"/>
        <v>-1.9999997023124698</v>
      </c>
      <c r="AF150" s="2">
        <f t="shared" si="147"/>
        <v>-1.4526185630923065</v>
      </c>
      <c r="AG150" s="2">
        <f t="shared" si="147"/>
        <v>-1.8546200369033605</v>
      </c>
      <c r="AH150" s="2">
        <f t="shared" si="147"/>
        <v>-0.36093342080478541</v>
      </c>
      <c r="AI150" s="18">
        <f t="shared" si="5"/>
        <v>16</v>
      </c>
      <c r="AJ150" s="2">
        <f t="shared" si="6"/>
        <v>1</v>
      </c>
    </row>
    <row r="151" spans="1:36" ht="10.5" customHeight="1" x14ac:dyDescent="0.25">
      <c r="A151" s="17">
        <v>143</v>
      </c>
      <c r="B151" s="2">
        <f t="shared" si="2"/>
        <v>6.9183992356539656</v>
      </c>
      <c r="C151" s="4">
        <v>2</v>
      </c>
      <c r="D151" s="4">
        <v>19.057953218545901</v>
      </c>
      <c r="E151" s="18">
        <v>18</v>
      </c>
      <c r="F151" s="5">
        <v>0.19070000000000001</v>
      </c>
      <c r="G151" s="5">
        <v>0.63570000000000004</v>
      </c>
      <c r="H151" s="5">
        <v>0.43669999999999998</v>
      </c>
      <c r="I151" s="5">
        <v>0.92300000000000004</v>
      </c>
      <c r="J151" s="5">
        <v>3.91</v>
      </c>
      <c r="K151" s="5">
        <v>2.81E-2</v>
      </c>
      <c r="L151" s="5">
        <v>4.1289999999999996</v>
      </c>
      <c r="M151" s="5">
        <v>1.2490000000000001</v>
      </c>
      <c r="N151" s="5">
        <v>4.9939999999999998</v>
      </c>
      <c r="O151" s="5">
        <v>1.905</v>
      </c>
      <c r="P151" s="5">
        <v>4.5600000000000003E-4</v>
      </c>
      <c r="Q151" s="5">
        <v>22.76</v>
      </c>
      <c r="R151" s="5">
        <v>3.5799999999999998E-2</v>
      </c>
      <c r="S151" s="5">
        <v>30.54</v>
      </c>
      <c r="T151" s="18">
        <f t="shared" si="3"/>
        <v>18</v>
      </c>
      <c r="U151" s="2">
        <f t="shared" ref="U151:AH151" si="148">IF(OR(F151=0,F151&lt;0.00001,F151&gt;100000),"",IF((IF(F151&gt;F$5,ABS(LOG(((F$5/SUM($F151:$S151))/(F$4/SUM($F$4:$S$4)))*4+2,2)),ABS(LOG(((F151/SUM($F151:$S151))/(F$4/SUM($F$4:$S$4)))*4+2,2)))-3)&gt;8,(IF(F151&gt;F$5,ABS(LOG(((F$5/SUM($F151:$S151))/(F$4/SUM($F$4:$S$4)))*4+2,2)),ABS(LOG(((F151/SUM($F151:$S151))/(F$4/SUM($F$4:$S$4)))*4+2,2)))-3)/7,IF(F151&gt;F$5,ABS(LOG(((F$5/SUM($F151:$S151))/(F$4/SUM($F$4:$S$4)))*4+2,2)),ABS(LOG(((F151/SUM($F151:$S151))/(F$4/SUM($F$4:$S$4)))*4+2,2)))-3))</f>
        <v>2.4958371221573898</v>
      </c>
      <c r="V151" s="2">
        <f t="shared" si="148"/>
        <v>2.5522432491485407</v>
      </c>
      <c r="W151" s="2">
        <f t="shared" si="148"/>
        <v>3.6546974456333512</v>
      </c>
      <c r="X151" s="2">
        <f t="shared" si="148"/>
        <v>1.8120168389125091</v>
      </c>
      <c r="Y151" s="2">
        <f t="shared" si="148"/>
        <v>3.9635351484105641</v>
      </c>
      <c r="Z151" s="2">
        <f t="shared" si="148"/>
        <v>4.5614489054110159</v>
      </c>
      <c r="AA151" s="2">
        <f t="shared" si="148"/>
        <v>5.8730166898986358</v>
      </c>
      <c r="AB151" s="2">
        <f t="shared" si="148"/>
        <v>3.2541377989145204</v>
      </c>
      <c r="AC151" s="2">
        <f t="shared" si="148"/>
        <v>5.3843789406432823</v>
      </c>
      <c r="AD151" s="2">
        <f t="shared" si="148"/>
        <v>9.2064210729870144E-2</v>
      </c>
      <c r="AE151" s="2">
        <f t="shared" si="148"/>
        <v>-1.9999997960952698</v>
      </c>
      <c r="AF151" s="2">
        <f t="shared" si="148"/>
        <v>-0.77328408889093936</v>
      </c>
      <c r="AG151" s="2">
        <f t="shared" si="148"/>
        <v>-1.9736965577731334</v>
      </c>
      <c r="AH151" s="2">
        <f t="shared" si="148"/>
        <v>-0.42248543084153178</v>
      </c>
      <c r="AI151" s="18">
        <f t="shared" si="5"/>
        <v>18</v>
      </c>
      <c r="AJ151" s="2">
        <f t="shared" si="6"/>
        <v>1</v>
      </c>
    </row>
    <row r="152" spans="1:36" ht="10.5" customHeight="1" x14ac:dyDescent="0.25">
      <c r="A152" s="17">
        <v>144</v>
      </c>
      <c r="B152" s="2">
        <f t="shared" si="2"/>
        <v>7.5705262870582137</v>
      </c>
      <c r="C152" s="4">
        <v>2</v>
      </c>
      <c r="D152" s="4">
        <v>19.659491991212999</v>
      </c>
      <c r="E152" s="18">
        <v>20</v>
      </c>
      <c r="F152" s="5">
        <v>0.2329</v>
      </c>
      <c r="G152" s="5">
        <v>0.87629999999999997</v>
      </c>
      <c r="H152" s="5">
        <v>0.75209999999999999</v>
      </c>
      <c r="I152" s="5">
        <v>1.0109999999999999</v>
      </c>
      <c r="J152" s="5">
        <v>0.7863</v>
      </c>
      <c r="K152" s="5">
        <v>3.2099999999999997E-2</v>
      </c>
      <c r="L152" s="5">
        <v>12.81</v>
      </c>
      <c r="M152" s="5">
        <v>3.44</v>
      </c>
      <c r="N152" s="5">
        <v>0.73260000000000003</v>
      </c>
      <c r="O152" s="5">
        <v>13.06</v>
      </c>
      <c r="P152" s="5">
        <v>1.1999999999999999E-3</v>
      </c>
      <c r="Q152" s="5">
        <v>0.96619999999999995</v>
      </c>
      <c r="R152" s="5">
        <v>9.7900000000000001E-2</v>
      </c>
      <c r="S152" s="5">
        <v>45.76</v>
      </c>
      <c r="T152" s="18">
        <f t="shared" si="3"/>
        <v>20</v>
      </c>
      <c r="U152" s="2">
        <f t="shared" ref="U152:AH152" si="149">IF(OR(F152=0,F152&lt;0.00001,F152&gt;100000),"",IF((IF(F152&gt;F$5,ABS(LOG(((F$5/SUM($F152:$S152))/(F$4/SUM($F$4:$S$4)))*4+2,2)),ABS(LOG(((F152/SUM($F152:$S152))/(F$4/SUM($F$4:$S$4)))*4+2,2)))-3)&gt;8,(IF(F152&gt;F$5,ABS(LOG(((F$5/SUM($F152:$S152))/(F$4/SUM($F$4:$S$4)))*4+2,2)),ABS(LOG(((F152/SUM($F152:$S152))/(F$4/SUM($F$4:$S$4)))*4+2,2)))-3)/7,IF(F152&gt;F$5,ABS(LOG(((F$5/SUM($F152:$S152))/(F$4/SUM($F$4:$S$4)))*4+2,2)),ABS(LOG(((F152/SUM($F152:$S152))/(F$4/SUM($F$4:$S$4)))*4+2,2)))-3))</f>
        <v>2.6117736547365595</v>
      </c>
      <c r="V152" s="2">
        <f t="shared" si="149"/>
        <v>2.8365666797501845</v>
      </c>
      <c r="W152" s="2">
        <f t="shared" si="149"/>
        <v>4.2616679412030827</v>
      </c>
      <c r="X152" s="2">
        <f t="shared" si="149"/>
        <v>1.7786733188745609</v>
      </c>
      <c r="Y152" s="2">
        <f t="shared" si="149"/>
        <v>1.5844750936829373</v>
      </c>
      <c r="Z152" s="2">
        <f t="shared" si="149"/>
        <v>4.5858808207135233</v>
      </c>
      <c r="AA152" s="2">
        <f t="shared" si="149"/>
        <v>7.3351789435002939</v>
      </c>
      <c r="AB152" s="2">
        <f t="shared" si="149"/>
        <v>4.5258958764711323</v>
      </c>
      <c r="AC152" s="2">
        <f t="shared" si="149"/>
        <v>2.5043190439424485</v>
      </c>
      <c r="AD152" s="2">
        <f t="shared" si="149"/>
        <v>2.387085343760222</v>
      </c>
      <c r="AE152" s="2">
        <f t="shared" si="149"/>
        <v>-1.9999998184227787</v>
      </c>
      <c r="AF152" s="2">
        <f t="shared" si="149"/>
        <v>-1.9286917119853086</v>
      </c>
      <c r="AG152" s="2">
        <f t="shared" si="149"/>
        <v>-1.9367648165502978</v>
      </c>
      <c r="AH152" s="2">
        <f t="shared" si="149"/>
        <v>-0.13290481393673881</v>
      </c>
      <c r="AI152" s="18">
        <f t="shared" si="5"/>
        <v>20</v>
      </c>
      <c r="AJ152" s="2">
        <f t="shared" si="6"/>
        <v>1</v>
      </c>
    </row>
    <row r="153" spans="1:36" ht="10.5" customHeight="1" x14ac:dyDescent="0.25">
      <c r="A153" s="17">
        <v>145</v>
      </c>
      <c r="B153" s="2">
        <f t="shared" si="2"/>
        <v>6.6095174154204326</v>
      </c>
      <c r="C153" s="4">
        <v>2</v>
      </c>
      <c r="D153" s="4">
        <v>20.888294618688601</v>
      </c>
      <c r="E153" s="18">
        <v>21</v>
      </c>
      <c r="F153" s="5">
        <v>0.4708</v>
      </c>
      <c r="G153" s="5">
        <v>1.105</v>
      </c>
      <c r="H153" s="5">
        <v>0.77649999999999997</v>
      </c>
      <c r="I153" s="5">
        <v>1.4550000000000001</v>
      </c>
      <c r="J153" s="5">
        <v>4.2590000000000003</v>
      </c>
      <c r="K153" s="5">
        <v>3.3599999999999998E-2</v>
      </c>
      <c r="L153" s="5">
        <v>7.2549999999999999</v>
      </c>
      <c r="M153" s="5">
        <v>2.766</v>
      </c>
      <c r="N153" s="5">
        <v>2.4060000000000001</v>
      </c>
      <c r="O153" s="5">
        <v>3.3479999999999999</v>
      </c>
      <c r="P153" s="5">
        <v>1.16E-3</v>
      </c>
      <c r="Q153" s="5">
        <v>26.2</v>
      </c>
      <c r="R153" s="5">
        <v>0.1759</v>
      </c>
      <c r="S153" s="5">
        <v>71.02</v>
      </c>
      <c r="T153" s="18">
        <f t="shared" si="3"/>
        <v>21</v>
      </c>
      <c r="U153" s="2">
        <f t="shared" ref="U153:AH153" si="150">IF(OR(F153=0,F153&lt;0.00001,F153&gt;100000),"",IF((IF(F153&gt;F$5,ABS(LOG(((F$5/SUM($F153:$S153))/(F$4/SUM($F$4:$S$4)))*4+2,2)),ABS(LOG(((F153/SUM($F153:$S153))/(F$4/SUM($F$4:$S$4)))*4+2,2)))-3)&gt;8,(IF(F153&gt;F$5,ABS(LOG(((F$5/SUM($F153:$S153))/(F$4/SUM($F$4:$S$4)))*4+2,2)),ABS(LOG(((F153/SUM($F153:$S153))/(F$4/SUM($F$4:$S$4)))*4+2,2)))-3)/7,IF(F153&gt;F$5,ABS(LOG(((F$5/SUM($F153:$S153))/(F$4/SUM($F$4:$S$4)))*4+2,2)),ABS(LOG(((F153/SUM($F153:$S153))/(F$4/SUM($F$4:$S$4)))*4+2,2)))-3))</f>
        <v>3.0218985568264349</v>
      </c>
      <c r="V153" s="2">
        <f t="shared" si="150"/>
        <v>2.5907341339029308</v>
      </c>
      <c r="W153" s="2">
        <f t="shared" si="150"/>
        <v>3.726181569088161</v>
      </c>
      <c r="X153" s="2">
        <f t="shared" si="150"/>
        <v>1.7186026097942717</v>
      </c>
      <c r="Y153" s="2">
        <f t="shared" si="150"/>
        <v>3.3421387250910337</v>
      </c>
      <c r="Z153" s="2">
        <f t="shared" si="150"/>
        <v>4.0681991545934792</v>
      </c>
      <c r="AA153" s="2">
        <f t="shared" si="150"/>
        <v>5.9285191260285668</v>
      </c>
      <c r="AB153" s="2">
        <f t="shared" si="150"/>
        <v>3.6347441857009768</v>
      </c>
      <c r="AC153" s="2">
        <f t="shared" si="150"/>
        <v>3.5948749230616777</v>
      </c>
      <c r="AD153" s="2">
        <f t="shared" si="150"/>
        <v>0.13517060062410691</v>
      </c>
      <c r="AE153" s="2">
        <f t="shared" si="150"/>
        <v>-1.9999998793817875</v>
      </c>
      <c r="AF153" s="2">
        <f t="shared" si="150"/>
        <v>-1.0643888093573992</v>
      </c>
      <c r="AG153" s="2">
        <f t="shared" si="150"/>
        <v>-1.924840428131277</v>
      </c>
      <c r="AH153" s="2">
        <f t="shared" si="150"/>
        <v>-0.10083135505506657</v>
      </c>
      <c r="AI153" s="18">
        <f t="shared" si="5"/>
        <v>21</v>
      </c>
      <c r="AJ153" s="2">
        <f t="shared" si="6"/>
        <v>1</v>
      </c>
    </row>
    <row r="154" spans="1:36" ht="10.5" customHeight="1" x14ac:dyDescent="0.25">
      <c r="A154" s="17">
        <v>146</v>
      </c>
      <c r="B154" s="2">
        <f t="shared" si="2"/>
        <v>6.4750437277464137</v>
      </c>
      <c r="C154" s="4">
        <v>2</v>
      </c>
      <c r="D154" s="4">
        <v>20.160257137085399</v>
      </c>
      <c r="E154" s="18">
        <v>22</v>
      </c>
      <c r="F154" s="5">
        <v>0.85640000000000005</v>
      </c>
      <c r="G154" s="5">
        <v>1.1890000000000001</v>
      </c>
      <c r="H154" s="5">
        <v>1.0009999999999999</v>
      </c>
      <c r="I154" s="5">
        <v>2.0499999999999998</v>
      </c>
      <c r="J154" s="5">
        <v>3.5819999999999999</v>
      </c>
      <c r="K154" s="5">
        <v>6.0199999999999997E-2</v>
      </c>
      <c r="L154" s="5">
        <v>9.1630000000000003</v>
      </c>
      <c r="M154" s="5">
        <v>2.9180000000000001</v>
      </c>
      <c r="N154" s="5">
        <v>3.1619999999999999</v>
      </c>
      <c r="O154" s="5">
        <v>5.09</v>
      </c>
      <c r="P154" s="5">
        <v>2.0699999999999998E-3</v>
      </c>
      <c r="Q154" s="5">
        <v>49.55</v>
      </c>
      <c r="R154" s="5">
        <v>0.26040000000000002</v>
      </c>
      <c r="S154" s="5">
        <v>85.83</v>
      </c>
      <c r="T154" s="18">
        <f t="shared" si="3"/>
        <v>22</v>
      </c>
      <c r="U154" s="2">
        <f t="shared" ref="U154:AH154" si="151">IF(OR(F154=0,F154&lt;0.00001,F154&gt;100000),"",IF((IF(F154&gt;F$5,ABS(LOG(((F$5/SUM($F154:$S154))/(F$4/SUM($F$4:$S$4)))*4+2,2)),ABS(LOG(((F154/SUM($F154:$S154))/(F$4/SUM($F$4:$S$4)))*4+2,2)))-3)&gt;8,(IF(F154&gt;F$5,ABS(LOG(((F$5/SUM($F154:$S154))/(F$4/SUM($F$4:$S$4)))*4+2,2)),ABS(LOG(((F154/SUM($F154:$S154))/(F$4/SUM($F$4:$S$4)))*4+2,2)))-3)/7,IF(F154&gt;F$5,ABS(LOG(((F$5/SUM($F154:$S154))/(F$4/SUM($F$4:$S$4)))*4+2,2)),ABS(LOG(((F154/SUM($F154:$S154))/(F$4/SUM($F$4:$S$4)))*4+2,2)))-3))</f>
        <v>3.432058139097629</v>
      </c>
      <c r="V154" s="2">
        <f t="shared" si="151"/>
        <v>2.2703362976401333</v>
      </c>
      <c r="W154" s="2">
        <f t="shared" si="151"/>
        <v>3.65230810715176</v>
      </c>
      <c r="X154" s="2">
        <f t="shared" si="151"/>
        <v>1.7675395928565383</v>
      </c>
      <c r="Y154" s="2">
        <f t="shared" si="151"/>
        <v>2.6723776367206851</v>
      </c>
      <c r="Z154" s="2">
        <f t="shared" si="151"/>
        <v>4.4625725612533156</v>
      </c>
      <c r="AA154" s="2">
        <f t="shared" si="151"/>
        <v>5.8240921830268935</v>
      </c>
      <c r="AB154" s="2">
        <f t="shared" si="151"/>
        <v>3.2785282675127219</v>
      </c>
      <c r="AC154" s="2">
        <f t="shared" si="151"/>
        <v>3.5483570511903881</v>
      </c>
      <c r="AD154" s="2">
        <f t="shared" si="151"/>
        <v>0.26237251690780461</v>
      </c>
      <c r="AE154" s="2">
        <f t="shared" si="151"/>
        <v>-1.9999999111939424</v>
      </c>
      <c r="AF154" s="2">
        <f t="shared" si="151"/>
        <v>-0.81675608107510911</v>
      </c>
      <c r="AG154" s="2">
        <f t="shared" si="151"/>
        <v>-1.9182682202299823</v>
      </c>
      <c r="AH154" s="2">
        <f t="shared" si="151"/>
        <v>-0.22216408672006072</v>
      </c>
      <c r="AI154" s="18">
        <f t="shared" si="5"/>
        <v>22</v>
      </c>
      <c r="AJ154" s="2">
        <f t="shared" si="6"/>
        <v>1</v>
      </c>
    </row>
    <row r="155" spans="1:36" ht="10.5" customHeight="1" x14ac:dyDescent="0.25">
      <c r="A155" s="17">
        <v>147</v>
      </c>
      <c r="B155" s="2">
        <f t="shared" si="2"/>
        <v>6.4559658308312944</v>
      </c>
      <c r="C155" s="4">
        <v>2</v>
      </c>
      <c r="D155" s="4">
        <v>23.388920451438601</v>
      </c>
      <c r="E155" s="18">
        <v>23</v>
      </c>
      <c r="F155" s="5">
        <v>2.86E-2</v>
      </c>
      <c r="G155" s="5">
        <v>0.1321</v>
      </c>
      <c r="H155" s="5">
        <v>0.3473</v>
      </c>
      <c r="I155" s="5">
        <v>2.8420000000000001</v>
      </c>
      <c r="J155" s="5">
        <v>1.819</v>
      </c>
      <c r="K155" s="5">
        <v>4.4600000000000001E-2</v>
      </c>
      <c r="L155" s="5">
        <v>0.81469999999999998</v>
      </c>
      <c r="M155" s="5">
        <v>0.20910000000000001</v>
      </c>
      <c r="N155" s="5">
        <v>0.30940000000000001</v>
      </c>
      <c r="O155" s="5">
        <v>1.157</v>
      </c>
      <c r="P155" s="5">
        <v>1.4500000000000001E-2</v>
      </c>
      <c r="Q155" s="5">
        <v>7.6340000000000003</v>
      </c>
      <c r="R155" s="5">
        <v>4.516</v>
      </c>
      <c r="S155" s="5">
        <v>20.13</v>
      </c>
      <c r="T155" s="18">
        <f t="shared" si="3"/>
        <v>23</v>
      </c>
      <c r="U155" s="2">
        <f t="shared" ref="U155:AH155" si="152">IF(OR(F155=0,F155&lt;0.00001,F155&gt;100000),"",IF((IF(F155&gt;F$5,ABS(LOG(((F$5/SUM($F155:$S155))/(F$4/SUM($F$4:$S$4)))*4+2,2)),ABS(LOG(((F155/SUM($F155:$S155))/(F$4/SUM($F$4:$S$4)))*4+2,2)))-3)&gt;8,(IF(F155&gt;F$5,ABS(LOG(((F$5/SUM($F155:$S155))/(F$4/SUM($F$4:$S$4)))*4+2,2)),ABS(LOG(((F155/SUM($F155:$S155))/(F$4/SUM($F$4:$S$4)))*4+2,2)))-3)/7,IF(F155&gt;F$5,ABS(LOG(((F$5/SUM($F155:$S155))/(F$4/SUM($F$4:$S$4)))*4+2,2)),ABS(LOG(((F155/SUM($F155:$S155))/(F$4/SUM($F$4:$S$4)))*4+2,2)))-3))</f>
        <v>0.76549297371826208</v>
      </c>
      <c r="V155" s="2">
        <f t="shared" si="152"/>
        <v>1.2282704144149443</v>
      </c>
      <c r="W155" s="2">
        <f t="shared" si="152"/>
        <v>4.1584395870074458</v>
      </c>
      <c r="X155" s="2">
        <f t="shared" si="152"/>
        <v>4.1906397610725579</v>
      </c>
      <c r="Y155" s="2">
        <f t="shared" si="152"/>
        <v>3.7068819495232912</v>
      </c>
      <c r="Z155" s="2">
        <f t="shared" si="152"/>
        <v>6.0607671602631861</v>
      </c>
      <c r="AA155" s="2">
        <f t="shared" si="152"/>
        <v>4.3855455556623602</v>
      </c>
      <c r="AB155" s="2">
        <f t="shared" si="152"/>
        <v>1.6039294330563578</v>
      </c>
      <c r="AC155" s="2">
        <f t="shared" si="152"/>
        <v>2.2819889102611191</v>
      </c>
      <c r="AD155" s="2">
        <f t="shared" si="152"/>
        <v>0.18744336907247039</v>
      </c>
      <c r="AE155" s="2">
        <f t="shared" si="152"/>
        <v>-1.9999996342943125</v>
      </c>
      <c r="AF155" s="2">
        <f t="shared" si="152"/>
        <v>-1.1469602752807511</v>
      </c>
      <c r="AG155" s="2">
        <f t="shared" si="152"/>
        <v>0.36813475823694963</v>
      </c>
      <c r="AH155" s="2">
        <f t="shared" si="152"/>
        <v>-0.2575305608741818</v>
      </c>
      <c r="AI155" s="18">
        <f t="shared" si="5"/>
        <v>23</v>
      </c>
      <c r="AJ155" s="2">
        <f t="shared" si="6"/>
        <v>1</v>
      </c>
    </row>
    <row r="156" spans="1:36" ht="10.5" customHeight="1" x14ac:dyDescent="0.25">
      <c r="A156" s="17">
        <v>148</v>
      </c>
      <c r="B156" s="2">
        <f t="shared" si="2"/>
        <v>2.9502819916917238</v>
      </c>
      <c r="C156" s="4">
        <v>2</v>
      </c>
      <c r="D156" s="4">
        <v>20.174700530164099</v>
      </c>
      <c r="E156" s="18">
        <v>26</v>
      </c>
      <c r="F156" s="5">
        <v>0.1026</v>
      </c>
      <c r="G156" s="5">
        <v>0.39</v>
      </c>
      <c r="H156" s="5">
        <v>0.42359999999999998</v>
      </c>
      <c r="I156" s="5">
        <v>1.425</v>
      </c>
      <c r="J156" s="5">
        <v>0.1246</v>
      </c>
      <c r="K156" s="5">
        <v>2.6200000000000001E-2</v>
      </c>
      <c r="L156" s="5">
        <v>3.2629999999999999</v>
      </c>
      <c r="M156" s="5">
        <v>0.33939999999999998</v>
      </c>
      <c r="N156" s="5">
        <v>1.5900000000000001E-2</v>
      </c>
      <c r="O156" s="5">
        <v>3.5900000000000001E-2</v>
      </c>
      <c r="P156" s="5">
        <v>1.72E-3</v>
      </c>
      <c r="Q156" s="5">
        <v>28.29</v>
      </c>
      <c r="R156" s="5">
        <v>0.1794</v>
      </c>
      <c r="S156" s="5">
        <v>30.25</v>
      </c>
      <c r="T156" s="18">
        <f t="shared" si="3"/>
        <v>26</v>
      </c>
      <c r="U156" s="2">
        <f t="shared" ref="U156:AH156" si="153">IF(OR(F156=0,F156&lt;0.00001,F156&gt;100000),"",IF((IF(F156&gt;F$5,ABS(LOG(((F$5/SUM($F156:$S156))/(F$4/SUM($F$4:$S$4)))*4+2,2)),ABS(LOG(((F156/SUM($F156:$S156))/(F$4/SUM($F$4:$S$4)))*4+2,2)))-3)&gt;8,(IF(F156&gt;F$5,ABS(LOG(((F$5/SUM($F156:$S156))/(F$4/SUM($F$4:$S$4)))*4+2,2)),ABS(LOG(((F156/SUM($F156:$S156))/(F$4/SUM($F$4:$S$4)))*4+2,2)))-3)/7,IF(F156&gt;F$5,ABS(LOG(((F$5/SUM($F156:$S156))/(F$4/SUM($F$4:$S$4)))*4+2,2)),ABS(LOG(((F156/SUM($F156:$S156))/(F$4/SUM($F$4:$S$4)))*4+2,2)))-3))</f>
        <v>1.7896784027242134</v>
      </c>
      <c r="V156" s="2">
        <f t="shared" si="153"/>
        <v>2.0214562138342194</v>
      </c>
      <c r="W156" s="2">
        <f t="shared" si="153"/>
        <v>3.7540491813683774</v>
      </c>
      <c r="X156" s="2">
        <f t="shared" si="153"/>
        <v>2.5406137601613423</v>
      </c>
      <c r="Y156" s="2">
        <f t="shared" si="153"/>
        <v>-0.3382706551202439</v>
      </c>
      <c r="Z156" s="2">
        <f t="shared" si="153"/>
        <v>4.6052190536750075</v>
      </c>
      <c r="AA156" s="2">
        <f t="shared" si="153"/>
        <v>5.6795452429090645</v>
      </c>
      <c r="AB156" s="2">
        <f t="shared" si="153"/>
        <v>1.6050678127729157</v>
      </c>
      <c r="AC156" s="2">
        <f t="shared" si="153"/>
        <v>-1.3357315277697861</v>
      </c>
      <c r="AD156" s="2">
        <f t="shared" si="153"/>
        <v>-1.9050662698710252</v>
      </c>
      <c r="AE156" s="2">
        <f t="shared" si="153"/>
        <v>-1.9999997744996014</v>
      </c>
      <c r="AF156" s="2">
        <f t="shared" si="153"/>
        <v>-0.49286760490489945</v>
      </c>
      <c r="AG156" s="2">
        <f t="shared" si="153"/>
        <v>-1.8599180841057592</v>
      </c>
      <c r="AH156" s="2">
        <f t="shared" si="153"/>
        <v>-0.33374477381948919</v>
      </c>
      <c r="AI156" s="18">
        <f t="shared" si="5"/>
        <v>26</v>
      </c>
      <c r="AJ156" s="2">
        <f t="shared" si="6"/>
        <v>1</v>
      </c>
    </row>
    <row r="157" spans="1:36" ht="10.5" customHeight="1" x14ac:dyDescent="0.25">
      <c r="A157" s="17">
        <v>149</v>
      </c>
      <c r="B157" s="2">
        <f t="shared" si="2"/>
        <v>6.7416997667869198</v>
      </c>
      <c r="C157" s="4">
        <v>2</v>
      </c>
      <c r="D157" s="4">
        <v>21.1742873424847</v>
      </c>
      <c r="E157" s="18">
        <v>28</v>
      </c>
      <c r="F157" s="5">
        <v>9.4299999999999995E-2</v>
      </c>
      <c r="G157" s="5">
        <v>0.58460000000000001</v>
      </c>
      <c r="H157" s="5">
        <v>0.62619999999999998</v>
      </c>
      <c r="I157" s="5">
        <v>1.22</v>
      </c>
      <c r="J157" s="5">
        <v>6.5880000000000001</v>
      </c>
      <c r="K157" s="5">
        <v>0.62090000000000001</v>
      </c>
      <c r="L157" s="5">
        <v>1.81</v>
      </c>
      <c r="M157" s="5">
        <v>1.2410000000000001</v>
      </c>
      <c r="N157" s="5">
        <v>7.7169999999999996</v>
      </c>
      <c r="O157" s="5">
        <v>2.0590000000000002</v>
      </c>
      <c r="P157" s="5">
        <v>1.32E-2</v>
      </c>
      <c r="Q157" s="5">
        <v>22.42</v>
      </c>
      <c r="R157" s="5">
        <v>0.1163</v>
      </c>
      <c r="S157" s="5">
        <v>100.7</v>
      </c>
      <c r="T157" s="18">
        <f t="shared" si="3"/>
        <v>28</v>
      </c>
      <c r="U157" s="2">
        <f t="shared" ref="U157:AH157" si="154">IF(OR(F157=0,F157&lt;0.00001,F157&gt;100000),"",IF((IF(F157&gt;F$5,ABS(LOG(((F$5/SUM($F157:$S157))/(F$4/SUM($F$4:$S$4)))*4+2,2)),ABS(LOG(((F157/SUM($F157:$S157))/(F$4/SUM($F$4:$S$4)))*4+2,2)))-3)&gt;8,(IF(F157&gt;F$5,ABS(LOG(((F$5/SUM($F157:$S157))/(F$4/SUM($F$4:$S$4)))*4+2,2)),ABS(LOG(((F157/SUM($F157:$S157))/(F$4/SUM($F$4:$S$4)))*4+2,2)))-3)/7,IF(F157&gt;F$5,ABS(LOG(((F$5/SUM($F157:$S157))/(F$4/SUM($F$4:$S$4)))*4+2,2)),ABS(LOG(((F157/SUM($F157:$S157))/(F$4/SUM($F$4:$S$4)))*4+2,2)))-3))</f>
        <v>0.64288613756520574</v>
      </c>
      <c r="V157" s="2">
        <f t="shared" si="154"/>
        <v>1.4806131478510789</v>
      </c>
      <c r="W157" s="2">
        <f t="shared" si="154"/>
        <v>3.1632884079831989</v>
      </c>
      <c r="X157" s="2">
        <f t="shared" si="154"/>
        <v>1.2454039444854441</v>
      </c>
      <c r="Y157" s="2">
        <f t="shared" si="154"/>
        <v>3.6976732655306979</v>
      </c>
      <c r="Z157" s="2">
        <f t="shared" si="154"/>
        <v>7.989934667566045</v>
      </c>
      <c r="AA157" s="2">
        <f t="shared" si="154"/>
        <v>3.6821264350901552</v>
      </c>
      <c r="AB157" s="2">
        <f t="shared" si="154"/>
        <v>2.260568132827566</v>
      </c>
      <c r="AC157" s="2">
        <f t="shared" si="154"/>
        <v>4.9916475756055583</v>
      </c>
      <c r="AD157" s="2">
        <f t="shared" si="154"/>
        <v>-0.54822127263389842</v>
      </c>
      <c r="AE157" s="2">
        <f t="shared" si="154"/>
        <v>-1.9999998996807011</v>
      </c>
      <c r="AF157" s="2">
        <f t="shared" si="154"/>
        <v>-1.2778990477376542</v>
      </c>
      <c r="AG157" s="2">
        <f t="shared" si="154"/>
        <v>-1.9581859074901604</v>
      </c>
      <c r="AH157" s="2">
        <f t="shared" si="154"/>
        <v>7.7051128789769496E-2</v>
      </c>
      <c r="AI157" s="18">
        <f t="shared" si="5"/>
        <v>28</v>
      </c>
      <c r="AJ157" s="2">
        <f t="shared" si="6"/>
        <v>1</v>
      </c>
    </row>
    <row r="158" spans="1:36" ht="10.5" customHeight="1" x14ac:dyDescent="0.25">
      <c r="A158" s="17">
        <v>150</v>
      </c>
      <c r="B158" s="2">
        <f t="shared" si="2"/>
        <v>8.0351892988002209</v>
      </c>
      <c r="C158" s="4">
        <v>2</v>
      </c>
      <c r="D158" s="4">
        <v>24.965283112326301</v>
      </c>
      <c r="E158" s="18">
        <v>29</v>
      </c>
      <c r="F158" s="5">
        <v>3.5099999999999999E-2</v>
      </c>
      <c r="G158" s="5">
        <v>3.746E-2</v>
      </c>
      <c r="H158" s="5">
        <v>0.19975000000000001</v>
      </c>
      <c r="I158" s="5">
        <v>1.2829999999999999</v>
      </c>
      <c r="J158" s="5">
        <v>0.69300000000000006</v>
      </c>
      <c r="K158" s="5">
        <v>3.9400000000000004E-2</v>
      </c>
      <c r="L158" s="5">
        <v>0.18875</v>
      </c>
      <c r="M158" s="5">
        <v>0.11305000000000001</v>
      </c>
      <c r="N158" s="5">
        <v>0.40329999999999999</v>
      </c>
      <c r="O158" s="5">
        <v>7.3819999999999997</v>
      </c>
      <c r="P158" s="5">
        <v>7.3499999999999998E-4</v>
      </c>
      <c r="Q158" s="5">
        <v>1.0506</v>
      </c>
      <c r="R158" s="5">
        <v>0.76885000000000003</v>
      </c>
      <c r="S158" s="5">
        <v>4.0949999999999998</v>
      </c>
      <c r="T158" s="18">
        <f t="shared" si="3"/>
        <v>29</v>
      </c>
      <c r="U158" s="2">
        <f t="shared" ref="U158:AH158" si="155">IF(OR(F158=0,F158&lt;0.00001,F158&gt;100000),"",IF((IF(F158&gt;F$5,ABS(LOG(((F$5/SUM($F158:$S158))/(F$4/SUM($F$4:$S$4)))*4+2,2)),ABS(LOG(((F158/SUM($F158:$S158))/(F$4/SUM($F$4:$S$4)))*4+2,2)))-3)&gt;8,(IF(F158&gt;F$5,ABS(LOG(((F$5/SUM($F158:$S158))/(F$4/SUM($F$4:$S$4)))*4+2,2)),ABS(LOG(((F158/SUM($F158:$S158))/(F$4/SUM($F$4:$S$4)))*4+2,2)))-3)/7,IF(F158&gt;F$5,ABS(LOG(((F$5/SUM($F158:$S158))/(F$4/SUM($F$4:$S$4)))*4+2,2)),ABS(LOG(((F158/SUM($F158:$S158))/(F$4/SUM($F$4:$S$4)))*4+2,2)))-3))</f>
        <v>2.2076838607609357</v>
      </c>
      <c r="V158" s="2">
        <f t="shared" si="155"/>
        <v>0.77165034381686537</v>
      </c>
      <c r="W158" s="2">
        <f t="shared" si="155"/>
        <v>4.6504975405099049</v>
      </c>
      <c r="X158" s="2">
        <f t="shared" si="155"/>
        <v>4.3372728136167984</v>
      </c>
      <c r="Y158" s="2">
        <f t="shared" si="155"/>
        <v>3.6125208253834957</v>
      </c>
      <c r="Z158" s="2">
        <f t="shared" si="155"/>
        <v>7.1749564949480913</v>
      </c>
      <c r="AA158" s="2">
        <f t="shared" si="155"/>
        <v>3.5847247487469955</v>
      </c>
      <c r="AB158" s="2">
        <f t="shared" si="155"/>
        <v>1.9830757482064518</v>
      </c>
      <c r="AC158" s="2">
        <f t="shared" si="155"/>
        <v>3.9084098653634216</v>
      </c>
      <c r="AD158" s="2">
        <f t="shared" si="155"/>
        <v>3.8250898737107573</v>
      </c>
      <c r="AE158" s="2">
        <f t="shared" si="155"/>
        <v>-1.999999102049872</v>
      </c>
      <c r="AF158" s="2">
        <f t="shared" si="155"/>
        <v>-1.6523788298489224</v>
      </c>
      <c r="AG158" s="2">
        <f t="shared" si="155"/>
        <v>-0.54574501972941869</v>
      </c>
      <c r="AH158" s="2">
        <f t="shared" si="155"/>
        <v>-0.88107475716151118</v>
      </c>
      <c r="AI158" s="18">
        <f t="shared" si="5"/>
        <v>29</v>
      </c>
      <c r="AJ158" s="2">
        <f t="shared" si="6"/>
        <v>1</v>
      </c>
    </row>
    <row r="159" spans="1:36" ht="10.5" customHeight="1" x14ac:dyDescent="0.25">
      <c r="A159" s="17">
        <v>151</v>
      </c>
      <c r="B159" s="2">
        <f t="shared" si="2"/>
        <v>5.9011123395317808</v>
      </c>
      <c r="C159" s="4">
        <v>2</v>
      </c>
      <c r="D159" s="4">
        <v>24.152397624204699</v>
      </c>
      <c r="E159" s="18">
        <v>32</v>
      </c>
      <c r="F159" s="5">
        <v>3.4350000000000006E-2</v>
      </c>
      <c r="G159" s="5">
        <v>1.6200000000000001E-5</v>
      </c>
      <c r="H159" s="5">
        <v>0.1154</v>
      </c>
      <c r="I159" s="5">
        <v>0.73929999999999996</v>
      </c>
      <c r="J159" s="5">
        <v>0.53584999999999994</v>
      </c>
      <c r="K159" s="5">
        <v>3.2134999999999997E-2</v>
      </c>
      <c r="L159" s="5">
        <v>8.274999999999999E-2</v>
      </c>
      <c r="M159" s="5">
        <v>0.11754999999999999</v>
      </c>
      <c r="N159" s="5">
        <v>1.0409999999999998E-3</v>
      </c>
      <c r="O159" s="5">
        <v>6.43E-3</v>
      </c>
      <c r="P159" s="5">
        <v>2.3180000000000003E-2</v>
      </c>
      <c r="Q159" s="5">
        <v>1.4984999999999999</v>
      </c>
      <c r="R159" s="5">
        <v>0.89359999999999995</v>
      </c>
      <c r="S159" s="5">
        <v>5.9649999999999999</v>
      </c>
      <c r="T159" s="18">
        <f t="shared" si="3"/>
        <v>32</v>
      </c>
      <c r="U159" s="2">
        <f t="shared" ref="U159:AH159" si="156">IF(OR(F159=0,F159&lt;0.00001,F159&gt;100000),"",IF((IF(F159&gt;F$5,ABS(LOG(((F$5/SUM($F159:$S159))/(F$4/SUM($F$4:$S$4)))*4+2,2)),ABS(LOG(((F159/SUM($F159:$S159))/(F$4/SUM($F$4:$S$4)))*4+2,2)))-3)&gt;8,(IF(F159&gt;F$5,ABS(LOG(((F$5/SUM($F159:$S159))/(F$4/SUM($F$4:$S$4)))*4+2,2)),ABS(LOG(((F159/SUM($F159:$S159))/(F$4/SUM($F$4:$S$4)))*4+2,2)))-3)/7,IF(F159&gt;F$5,ABS(LOG(((F$5/SUM($F159:$S159))/(F$4/SUM($F$4:$S$4)))*4+2,2)),ABS(LOG(((F159/SUM($F159:$S159))/(F$4/SUM($F$4:$S$4)))*4+2,2)))-3))</f>
        <v>2.8448428324088164</v>
      </c>
      <c r="V159" s="2">
        <f t="shared" si="156"/>
        <v>-1.9941144398813564</v>
      </c>
      <c r="W159" s="2">
        <f t="shared" si="156"/>
        <v>4.5574063141845986</v>
      </c>
      <c r="X159" s="2">
        <f t="shared" si="156"/>
        <v>4.2407282841646277</v>
      </c>
      <c r="Y159" s="2">
        <f t="shared" si="156"/>
        <v>3.9330045978415376</v>
      </c>
      <c r="Z159" s="2">
        <f t="shared" si="156"/>
        <v>7.577791242221112</v>
      </c>
      <c r="AA159" s="2">
        <f t="shared" si="156"/>
        <v>3.1047428351329085</v>
      </c>
      <c r="AB159" s="2">
        <f t="shared" si="156"/>
        <v>2.6992688195634216</v>
      </c>
      <c r="AC159" s="2">
        <f t="shared" si="156"/>
        <v>-1.6812691494629128</v>
      </c>
      <c r="AD159" s="2">
        <f t="shared" si="156"/>
        <v>-1.8907483054208984</v>
      </c>
      <c r="AE159" s="2">
        <f t="shared" si="156"/>
        <v>-1.9999985438077208</v>
      </c>
      <c r="AF159" s="2">
        <f t="shared" si="156"/>
        <v>-1.2949362462296099</v>
      </c>
      <c r="AG159" s="2">
        <f t="shared" si="156"/>
        <v>9.7562495424553752E-2</v>
      </c>
      <c r="AH159" s="2">
        <f t="shared" si="156"/>
        <v>-8.6129032502334724E-2</v>
      </c>
      <c r="AI159" s="18">
        <f t="shared" si="5"/>
        <v>32</v>
      </c>
      <c r="AJ159" s="2">
        <f t="shared" si="6"/>
        <v>1</v>
      </c>
    </row>
    <row r="160" spans="1:36" ht="10.5" customHeight="1" x14ac:dyDescent="0.25">
      <c r="A160" s="17">
        <v>152</v>
      </c>
      <c r="B160" s="2">
        <f t="shared" si="2"/>
        <v>7.6558592076768361</v>
      </c>
      <c r="C160" s="4">
        <v>2</v>
      </c>
      <c r="D160" s="4">
        <v>20.174369738624499</v>
      </c>
      <c r="E160" s="18">
        <v>34</v>
      </c>
      <c r="F160" s="5">
        <v>4.5900000000000003E-2</v>
      </c>
      <c r="G160" s="5">
        <v>0.79979999999999996</v>
      </c>
      <c r="H160" s="5">
        <v>0.43669999999999998</v>
      </c>
      <c r="I160" s="5">
        <v>0.94259999999999999</v>
      </c>
      <c r="J160" s="5">
        <v>3.1379999999999999</v>
      </c>
      <c r="K160" s="5">
        <v>2.1499999999999998E-2</v>
      </c>
      <c r="L160" s="5">
        <v>3.5150000000000001</v>
      </c>
      <c r="M160" s="5">
        <v>0.98350000000000004</v>
      </c>
      <c r="N160" s="5">
        <v>2.97</v>
      </c>
      <c r="O160" s="5">
        <v>15.01</v>
      </c>
      <c r="P160" s="5">
        <v>1.77E-2</v>
      </c>
      <c r="Q160" s="5">
        <v>1.9800000000000002E-2</v>
      </c>
      <c r="R160" s="5">
        <v>4.8000000000000001E-2</v>
      </c>
      <c r="S160" s="5">
        <v>21.68</v>
      </c>
      <c r="T160" s="18">
        <f t="shared" si="3"/>
        <v>34</v>
      </c>
      <c r="U160" s="2">
        <f t="shared" ref="U160:AH160" si="157">IF(OR(F160=0,F160&lt;0.00001,F160&gt;100000),"",IF((IF(F160&gt;F$5,ABS(LOG(((F$5/SUM($F160:$S160))/(F$4/SUM($F$4:$S$4)))*4+2,2)),ABS(LOG(((F160/SUM($F160:$S160))/(F$4/SUM($F$4:$S$4)))*4+2,2)))-3)&gt;8,(IF(F160&gt;F$5,ABS(LOG(((F$5/SUM($F160:$S160))/(F$4/SUM($F$4:$S$4)))*4+2,2)),ABS(LOG(((F160/SUM($F160:$S160))/(F$4/SUM($F$4:$S$4)))*4+2,2)))-3)/7,IF(F160&gt;F$5,ABS(LOG(((F$5/SUM($F160:$S160))/(F$4/SUM($F$4:$S$4)))*4+2,2)),ABS(LOG(((F160/SUM($F160:$S160))/(F$4/SUM($F$4:$S$4)))*4+2,2)))-3))</f>
        <v>1.0877824077504235</v>
      </c>
      <c r="V160" s="2">
        <f t="shared" si="157"/>
        <v>3.3871458684241222</v>
      </c>
      <c r="W160" s="2">
        <f t="shared" si="157"/>
        <v>4.1774020851450491</v>
      </c>
      <c r="X160" s="2">
        <f t="shared" si="157"/>
        <v>2.3403688998319412</v>
      </c>
      <c r="Y160" s="2">
        <f t="shared" si="157"/>
        <v>4.1745757331368933</v>
      </c>
      <c r="Z160" s="2">
        <f t="shared" si="157"/>
        <v>4.7053087148121637</v>
      </c>
      <c r="AA160" s="2">
        <f t="shared" si="157"/>
        <v>6.171153287911455</v>
      </c>
      <c r="AB160" s="2">
        <f t="shared" si="157"/>
        <v>3.4363210885190139</v>
      </c>
      <c r="AC160" s="2">
        <f t="shared" si="157"/>
        <v>5.1676128331536315</v>
      </c>
      <c r="AD160" s="2">
        <f t="shared" si="157"/>
        <v>3.2543730961687256</v>
      </c>
      <c r="AE160" s="2">
        <f t="shared" si="157"/>
        <v>-1.9999997052579435</v>
      </c>
      <c r="AF160" s="2">
        <f t="shared" si="157"/>
        <v>-1.9975704247009034</v>
      </c>
      <c r="AG160" s="2">
        <f t="shared" si="157"/>
        <v>-1.9494501385668592</v>
      </c>
      <c r="AH160" s="2">
        <f t="shared" si="157"/>
        <v>-0.39762802178389567</v>
      </c>
      <c r="AI160" s="18">
        <f t="shared" si="5"/>
        <v>34</v>
      </c>
      <c r="AJ160" s="2">
        <f t="shared" si="6"/>
        <v>1</v>
      </c>
    </row>
    <row r="161" spans="1:36" ht="10.5" customHeight="1" x14ac:dyDescent="0.25">
      <c r="A161" s="17">
        <v>153</v>
      </c>
      <c r="B161" s="2">
        <f t="shared" si="2"/>
        <v>7.6956342135218803</v>
      </c>
      <c r="C161" s="4">
        <v>2</v>
      </c>
      <c r="D161" s="4">
        <v>22.285657412043999</v>
      </c>
      <c r="E161" s="18">
        <v>36</v>
      </c>
      <c r="F161" s="5">
        <v>1.0999999999999999E-2</v>
      </c>
      <c r="G161" s="5">
        <v>0.21909999999999999</v>
      </c>
      <c r="H161" s="5">
        <v>0.4158</v>
      </c>
      <c r="I161" s="5">
        <v>1.1599999999999999</v>
      </c>
      <c r="J161" s="5">
        <v>1.0089999999999999</v>
      </c>
      <c r="K161" s="5">
        <v>1.9599999999999999E-2</v>
      </c>
      <c r="L161" s="5">
        <v>2.3109999999999999</v>
      </c>
      <c r="M161" s="5">
        <v>0.45710000000000001</v>
      </c>
      <c r="N161" s="5">
        <v>0.67749999999999999</v>
      </c>
      <c r="O161" s="5">
        <v>0.27200000000000002</v>
      </c>
      <c r="P161" s="5">
        <v>1.11E-2</v>
      </c>
      <c r="Q161" s="5">
        <v>7.984</v>
      </c>
      <c r="R161" s="5">
        <v>0.24460000000000001</v>
      </c>
      <c r="S161" s="5">
        <v>39.68</v>
      </c>
      <c r="T161" s="18">
        <f t="shared" si="3"/>
        <v>36</v>
      </c>
      <c r="U161" s="2">
        <f t="shared" ref="U161:AH161" si="158">IF(OR(F161=0,F161&lt;0.00001,F161&gt;100000),"",IF((IF(F161&gt;F$5,ABS(LOG(((F$5/SUM($F161:$S161))/(F$4/SUM($F$4:$S$4)))*4+2,2)),ABS(LOG(((F161/SUM($F161:$S161))/(F$4/SUM($F$4:$S$4)))*4+2,2)))-3)&gt;8,(IF(F161&gt;F$5,ABS(LOG(((F$5/SUM($F161:$S161))/(F$4/SUM($F$4:$S$4)))*4+2,2)),ABS(LOG(((F161/SUM($F161:$S161))/(F$4/SUM($F$4:$S$4)))*4+2,2)))-3)/7,IF(F161&gt;F$5,ABS(LOG(((F$5/SUM($F161:$S161))/(F$4/SUM($F$4:$S$4)))*4+2,2)),ABS(LOG(((F161/SUM($F161:$S161))/(F$4/SUM($F$4:$S$4)))*4+2,2)))-3))</f>
        <v>-0.60056407373919374</v>
      </c>
      <c r="V161" s="2">
        <f t="shared" si="158"/>
        <v>1.4848497627300681</v>
      </c>
      <c r="W161" s="2">
        <f t="shared" si="158"/>
        <v>3.9753505278061896</v>
      </c>
      <c r="X161" s="2">
        <f t="shared" si="158"/>
        <v>2.4977151816399674</v>
      </c>
      <c r="Y161" s="2">
        <f t="shared" si="158"/>
        <v>2.4507331008955715</v>
      </c>
      <c r="Z161" s="2">
        <f t="shared" si="158"/>
        <v>4.4403024978012882</v>
      </c>
      <c r="AA161" s="2">
        <f t="shared" si="158"/>
        <v>5.4351518002137791</v>
      </c>
      <c r="AB161" s="2">
        <f t="shared" si="158"/>
        <v>2.2412318239239264</v>
      </c>
      <c r="AC161" s="2">
        <f t="shared" si="158"/>
        <v>2.9388522218049449</v>
      </c>
      <c r="AD161" s="2">
        <f t="shared" si="158"/>
        <v>-1.3096454567857507</v>
      </c>
      <c r="AE161" s="2">
        <f t="shared" si="158"/>
        <v>-1.9999997314646059</v>
      </c>
      <c r="AF161" s="2">
        <f t="shared" si="158"/>
        <v>-1.3047119751905427</v>
      </c>
      <c r="AG161" s="2">
        <f t="shared" si="158"/>
        <v>-1.7789789081250031</v>
      </c>
      <c r="AH161" s="2">
        <f t="shared" si="158"/>
        <v>0.13611891044325786</v>
      </c>
      <c r="AI161" s="18">
        <f t="shared" si="5"/>
        <v>36</v>
      </c>
      <c r="AJ161" s="2">
        <f t="shared" si="6"/>
        <v>1</v>
      </c>
    </row>
    <row r="162" spans="1:36" ht="10.5" customHeight="1" x14ac:dyDescent="0.25">
      <c r="A162" s="17">
        <v>154</v>
      </c>
      <c r="B162" s="2">
        <f t="shared" si="2"/>
        <v>5.6287931905387119</v>
      </c>
      <c r="C162" s="4">
        <v>2</v>
      </c>
      <c r="D162" s="4">
        <v>23.673709941263201</v>
      </c>
      <c r="E162" s="18">
        <v>38</v>
      </c>
      <c r="F162" s="5">
        <v>2.9100000000000001E-2</v>
      </c>
      <c r="G162" s="5">
        <v>0.2402</v>
      </c>
      <c r="H162" s="5">
        <v>0.23669999999999999</v>
      </c>
      <c r="I162" s="5">
        <v>1.2995000000000001</v>
      </c>
      <c r="J162" s="5">
        <v>0.73049999999999993</v>
      </c>
      <c r="K162" s="5">
        <v>1.8450000000000001E-2</v>
      </c>
      <c r="L162" s="5">
        <v>1.593</v>
      </c>
      <c r="M162" s="5">
        <v>0.17270000000000002</v>
      </c>
      <c r="N162" s="5">
        <v>0.17385</v>
      </c>
      <c r="O162" s="5">
        <v>0.8345499999999999</v>
      </c>
      <c r="P162" s="5">
        <v>1.6185000000000001E-3</v>
      </c>
      <c r="Q162" s="5">
        <v>22.351000000000003</v>
      </c>
      <c r="R162" s="5">
        <v>0.53320000000000001</v>
      </c>
      <c r="S162" s="5">
        <v>6.1790000000000003</v>
      </c>
      <c r="T162" s="18">
        <f t="shared" si="3"/>
        <v>38</v>
      </c>
      <c r="U162" s="2">
        <f t="shared" ref="U162:AH162" si="159">IF(OR(F162=0,F162&lt;0.00001,F162&gt;100000),"",IF((IF(F162&gt;F$5,ABS(LOG(((F$5/SUM($F162:$S162))/(F$4/SUM($F$4:$S$4)))*4+2,2)),ABS(LOG(((F162/SUM($F162:$S162))/(F$4/SUM($F$4:$S$4)))*4+2,2)))-3)&gt;8,(IF(F162&gt;F$5,ABS(LOG(((F$5/SUM($F162:$S162))/(F$4/SUM($F$4:$S$4)))*4+2,2)),ABS(LOG(((F162/SUM($F162:$S162))/(F$4/SUM($F$4:$S$4)))*4+2,2)))-3)/7,IF(F162&gt;F$5,ABS(LOG(((F$5/SUM($F162:$S162))/(F$4/SUM($F$4:$S$4)))*4+2,2)),ABS(LOG(((F162/SUM($F162:$S162))/(F$4/SUM($F$4:$S$4)))*4+2,2)))-3))</f>
        <v>0.97505963984585176</v>
      </c>
      <c r="V162" s="2">
        <f t="shared" si="159"/>
        <v>2.2251669599517276</v>
      </c>
      <c r="W162" s="2">
        <f t="shared" si="159"/>
        <v>3.8284002363347751</v>
      </c>
      <c r="X162" s="2">
        <f t="shared" si="159"/>
        <v>3.2967862017569471</v>
      </c>
      <c r="Y162" s="2">
        <f t="shared" si="159"/>
        <v>2.6396804439333765</v>
      </c>
      <c r="Z162" s="2">
        <f t="shared" si="159"/>
        <v>5.0109685777670343</v>
      </c>
      <c r="AA162" s="2">
        <f t="shared" si="159"/>
        <v>5.5610593661824783</v>
      </c>
      <c r="AB162" s="2">
        <f t="shared" si="159"/>
        <v>1.5506818758059229</v>
      </c>
      <c r="AC162" s="2">
        <f t="shared" si="159"/>
        <v>1.7069679835308564</v>
      </c>
      <c r="AD162" s="2">
        <f t="shared" si="159"/>
        <v>-6.4698990849807458E-3</v>
      </c>
      <c r="AE162" s="2">
        <f t="shared" si="159"/>
        <v>-1.9999995746969219</v>
      </c>
      <c r="AF162" s="2">
        <f t="shared" si="159"/>
        <v>-9.487011925707689E-2</v>
      </c>
      <c r="AG162" s="2">
        <f t="shared" si="159"/>
        <v>-1.3477788815385769</v>
      </c>
      <c r="AH162" s="2">
        <f t="shared" si="159"/>
        <v>-1.1222585219090542</v>
      </c>
      <c r="AI162" s="18">
        <f t="shared" si="5"/>
        <v>38</v>
      </c>
      <c r="AJ162" s="2">
        <f t="shared" si="6"/>
        <v>1</v>
      </c>
    </row>
    <row r="163" spans="1:36" ht="10.5" customHeight="1" x14ac:dyDescent="0.25">
      <c r="A163" s="17">
        <v>155</v>
      </c>
      <c r="B163" s="2">
        <f t="shared" si="2"/>
        <v>6.0938364004240997</v>
      </c>
      <c r="C163" s="4">
        <v>2</v>
      </c>
      <c r="D163" s="4">
        <v>20.714133338085201</v>
      </c>
      <c r="E163" s="18">
        <v>40</v>
      </c>
      <c r="F163" s="5">
        <v>0.11424999999999999</v>
      </c>
      <c r="G163" s="5">
        <v>0.23194999999999999</v>
      </c>
      <c r="H163" s="5">
        <v>8.8950000000000001E-2</v>
      </c>
      <c r="I163" s="5">
        <v>0.69155</v>
      </c>
      <c r="J163" s="5">
        <v>0.67059999999999997</v>
      </c>
      <c r="K163" s="5">
        <v>1.5794999999999997E-2</v>
      </c>
      <c r="L163" s="5">
        <v>1.0193000000000001</v>
      </c>
      <c r="M163" s="5">
        <v>0.3014</v>
      </c>
      <c r="N163" s="5">
        <v>0.25414999999999999</v>
      </c>
      <c r="O163" s="5">
        <v>1.4444500000000002</v>
      </c>
      <c r="P163" s="5">
        <v>2.5849999999999999E-4</v>
      </c>
      <c r="Q163" s="5">
        <v>8.2195</v>
      </c>
      <c r="R163" s="5">
        <v>6.4399999999999999E-2</v>
      </c>
      <c r="S163" s="5">
        <v>13.93</v>
      </c>
      <c r="T163" s="18">
        <f t="shared" si="3"/>
        <v>40</v>
      </c>
      <c r="U163" s="2">
        <f t="shared" ref="U163:AH163" si="160">IF(OR(F163=0,F163&lt;0.00001,F163&gt;100000),"",IF((IF(F163&gt;F$5,ABS(LOG(((F$5/SUM($F163:$S163))/(F$4/SUM($F$4:$S$4)))*4+2,2)),ABS(LOG(((F163/SUM($F163:$S163))/(F$4/SUM($F$4:$S$4)))*4+2,2)))-3)&gt;8,(IF(F163&gt;F$5,ABS(LOG(((F$5/SUM($F163:$S163))/(F$4/SUM($F$4:$S$4)))*4+2,2)),ABS(LOG(((F163/SUM($F163:$S163))/(F$4/SUM($F$4:$S$4)))*4+2,2)))-3)/7,IF(F163&gt;F$5,ABS(LOG(((F$5/SUM($F163:$S163))/(F$4/SUM($F$4:$S$4)))*4+2,2)),ABS(LOG(((F163/SUM($F163:$S163))/(F$4/SUM($F$4:$S$4)))*4+2,2)))-3))</f>
        <v>3.1401079780464869</v>
      </c>
      <c r="V163" s="2">
        <f t="shared" si="160"/>
        <v>2.5070386452818916</v>
      </c>
      <c r="W163" s="2">
        <f t="shared" si="160"/>
        <v>2.7905701466844812</v>
      </c>
      <c r="X163" s="2">
        <f t="shared" si="160"/>
        <v>2.7508477414565338</v>
      </c>
      <c r="Y163" s="2">
        <f t="shared" si="160"/>
        <v>2.854612877070335</v>
      </c>
      <c r="Z163" s="2">
        <f t="shared" si="160"/>
        <v>5.1325902561318895</v>
      </c>
      <c r="AA163" s="2">
        <f t="shared" si="160"/>
        <v>5.2653258640784184</v>
      </c>
      <c r="AB163" s="2">
        <f t="shared" si="160"/>
        <v>2.6315015587879333</v>
      </c>
      <c r="AC163" s="2">
        <f t="shared" si="160"/>
        <v>2.5495178249136741</v>
      </c>
      <c r="AD163" s="2">
        <f t="shared" si="160"/>
        <v>0.91905372769191906</v>
      </c>
      <c r="AE163" s="2">
        <f t="shared" si="160"/>
        <v>-1.9999994591693575</v>
      </c>
      <c r="AF163" s="2">
        <f t="shared" si="160"/>
        <v>-0.8085195792268185</v>
      </c>
      <c r="AG163" s="2">
        <f t="shared" si="160"/>
        <v>-1.8786012836652828</v>
      </c>
      <c r="AH163" s="2">
        <f t="shared" si="160"/>
        <v>-0.23407258919689289</v>
      </c>
      <c r="AI163" s="18">
        <f t="shared" si="5"/>
        <v>40</v>
      </c>
      <c r="AJ163" s="2">
        <f t="shared" si="6"/>
        <v>1</v>
      </c>
    </row>
    <row r="164" spans="1:36" ht="10.5" customHeight="1" x14ac:dyDescent="0.25">
      <c r="A164" s="17">
        <v>156</v>
      </c>
      <c r="B164" s="2">
        <f t="shared" si="2"/>
        <v>0.31167714528557317</v>
      </c>
      <c r="C164" s="4">
        <v>2</v>
      </c>
      <c r="D164" s="4">
        <v>17.526622464554301</v>
      </c>
      <c r="E164" s="18">
        <v>42</v>
      </c>
      <c r="F164" s="5">
        <v>7.6700000000000004E-2</v>
      </c>
      <c r="G164" s="5">
        <v>0.2442</v>
      </c>
      <c r="H164" s="5">
        <v>0.13700000000000001</v>
      </c>
      <c r="I164" s="5">
        <v>0.74870000000000003</v>
      </c>
      <c r="J164" s="5">
        <v>1.4500000000000001E-2</v>
      </c>
      <c r="K164" s="5">
        <v>7.5199999999999998E-3</v>
      </c>
      <c r="L164" s="5">
        <v>1.367</v>
      </c>
      <c r="M164" s="5">
        <v>0.29330000000000001</v>
      </c>
      <c r="N164" s="5">
        <v>1.01E-2</v>
      </c>
      <c r="O164" s="5">
        <v>1.16E-3</v>
      </c>
      <c r="P164" s="5">
        <v>1.5E-3</v>
      </c>
      <c r="Q164" s="5">
        <v>25.41</v>
      </c>
      <c r="R164" s="5">
        <v>4.6699999999999998E-2</v>
      </c>
      <c r="S164" s="5">
        <v>50.13</v>
      </c>
      <c r="T164" s="18">
        <f t="shared" si="3"/>
        <v>42</v>
      </c>
      <c r="U164" s="2">
        <f t="shared" ref="U164:AH164" si="161">IF(OR(F164=0,F164&lt;0.00001,F164&gt;100000),"",IF((IF(F164&gt;F$5,ABS(LOG(((F$5/SUM($F164:$S164))/(F$4/SUM($F$4:$S$4)))*4+2,2)),ABS(LOG(((F164/SUM($F164:$S164))/(F$4/SUM($F$4:$S$4)))*4+2,2)))-3)&gt;8,(IF(F164&gt;F$5,ABS(LOG(((F$5/SUM($F164:$S164))/(F$4/SUM($F$4:$S$4)))*4+2,2)),ABS(LOG(((F164/SUM($F164:$S164))/(F$4/SUM($F$4:$S$4)))*4+2,2)))-3)/7,IF(F164&gt;F$5,ABS(LOG(((F$5/SUM($F164:$S164))/(F$4/SUM($F$4:$S$4)))*4+2,2)),ABS(LOG(((F164/SUM($F164:$S164))/(F$4/SUM($F$4:$S$4)))*4+2,2)))-3))</f>
        <v>1.1580866115583293</v>
      </c>
      <c r="V164" s="2">
        <f t="shared" si="161"/>
        <v>1.1515998666595637</v>
      </c>
      <c r="W164" s="2">
        <f t="shared" si="161"/>
        <v>1.9220138510820508</v>
      </c>
      <c r="X164" s="2">
        <f t="shared" si="161"/>
        <v>1.4157133378160101</v>
      </c>
      <c r="Y164" s="2">
        <f t="shared" si="161"/>
        <v>-1.7272333346170679</v>
      </c>
      <c r="Z164" s="2">
        <f t="shared" si="161"/>
        <v>2.5763505368553057</v>
      </c>
      <c r="AA164" s="2">
        <f t="shared" si="161"/>
        <v>4.1625991417757406</v>
      </c>
      <c r="AB164" s="2">
        <f t="shared" si="161"/>
        <v>1.1661515099156814</v>
      </c>
      <c r="AC164" s="2">
        <f t="shared" si="161"/>
        <v>-1.6137506381816795</v>
      </c>
      <c r="AD164" s="2">
        <f t="shared" si="161"/>
        <v>-1.9973819504437815</v>
      </c>
      <c r="AE164" s="2">
        <f t="shared" si="161"/>
        <v>-1.9999998136334742</v>
      </c>
      <c r="AF164" s="2">
        <f t="shared" si="161"/>
        <v>-0.75652142804657707</v>
      </c>
      <c r="AG164" s="2">
        <f t="shared" si="161"/>
        <v>-1.968693714757527</v>
      </c>
      <c r="AH164" s="2">
        <f t="shared" si="161"/>
        <v>-8.1876256648198975E-3</v>
      </c>
      <c r="AI164" s="18">
        <f t="shared" si="5"/>
        <v>42</v>
      </c>
      <c r="AJ164" s="2">
        <f t="shared" si="6"/>
        <v>1</v>
      </c>
    </row>
    <row r="165" spans="1:36" ht="10.5" customHeight="1" x14ac:dyDescent="0.25">
      <c r="A165" s="17">
        <v>157</v>
      </c>
      <c r="B165" s="2">
        <f t="shared" si="2"/>
        <v>10.282191577787609</v>
      </c>
      <c r="C165" s="4">
        <v>2</v>
      </c>
      <c r="D165" s="4">
        <v>19.437740667292299</v>
      </c>
      <c r="E165" s="18">
        <v>43</v>
      </c>
      <c r="F165" s="5">
        <v>0.27610000000000001</v>
      </c>
      <c r="G165" s="5">
        <v>0.68220000000000003</v>
      </c>
      <c r="H165" s="5">
        <v>0.90110000000000001</v>
      </c>
      <c r="I165" s="5">
        <v>3.863</v>
      </c>
      <c r="J165" s="5">
        <v>2.8119999999999998</v>
      </c>
      <c r="K165" s="5">
        <v>8.09E-2</v>
      </c>
      <c r="L165" s="5">
        <v>5.8819999999999997</v>
      </c>
      <c r="M165" s="5">
        <v>0.94599999999999995</v>
      </c>
      <c r="N165" s="5">
        <v>1.7969999999999999</v>
      </c>
      <c r="O165" s="5">
        <v>0.30620000000000003</v>
      </c>
      <c r="P165" s="5">
        <v>1.57E-3</v>
      </c>
      <c r="Q165" s="5">
        <v>4.835</v>
      </c>
      <c r="R165" s="5">
        <v>0.252</v>
      </c>
      <c r="S165" s="5">
        <v>9.1189999999999998</v>
      </c>
      <c r="T165" s="18">
        <f t="shared" si="3"/>
        <v>43</v>
      </c>
      <c r="U165" s="2">
        <f t="shared" ref="U165:AH165" si="162">IF(OR(F165=0,F165&lt;0.00001,F165&gt;100000),"",IF((IF(F165&gt;F$5,ABS(LOG(((F$5/SUM($F165:$S165))/(F$4/SUM($F$4:$S$4)))*4+2,2)),ABS(LOG(((F165/SUM($F165:$S165))/(F$4/SUM($F$4:$S$4)))*4+2,2)))-3)&gt;8,(IF(F165&gt;F$5,ABS(LOG(((F$5/SUM($F165:$S165))/(F$4/SUM($F$4:$S$4)))*4+2,2)),ABS(LOG(((F165/SUM($F165:$S165))/(F$4/SUM($F$4:$S$4)))*4+2,2)))-3)/7,IF(F165&gt;F$5,ABS(LOG(((F$5/SUM($F165:$S165))/(F$4/SUM($F$4:$S$4)))*4+2,2)),ABS(LOG(((F165/SUM($F165:$S165))/(F$4/SUM($F$4:$S$4)))*4+2,2)))-3))</f>
        <v>4.1604171711608853</v>
      </c>
      <c r="V165" s="2">
        <f t="shared" si="162"/>
        <v>3.7932891136979583</v>
      </c>
      <c r="W165" s="2">
        <f t="shared" si="162"/>
        <v>5.8528554402855431</v>
      </c>
      <c r="X165" s="2">
        <f t="shared" si="162"/>
        <v>4.9582130069234909</v>
      </c>
      <c r="Y165" s="2">
        <f t="shared" si="162"/>
        <v>4.6548309606765796</v>
      </c>
      <c r="Z165" s="2">
        <f t="shared" si="162"/>
        <v>7.2498187843464965</v>
      </c>
      <c r="AA165" s="2">
        <f t="shared" si="162"/>
        <v>7.5550680350231794</v>
      </c>
      <c r="AB165" s="2">
        <f t="shared" si="162"/>
        <v>4.0132653011684365</v>
      </c>
      <c r="AC165" s="2">
        <f t="shared" si="162"/>
        <v>5.087544436878666</v>
      </c>
      <c r="AD165" s="2">
        <f t="shared" si="162"/>
        <v>-0.87230861141104166</v>
      </c>
      <c r="AE165" s="2">
        <f t="shared" si="162"/>
        <v>-1.9999995393470722</v>
      </c>
      <c r="AF165" s="2">
        <f t="shared" si="162"/>
        <v>-1.2834417628445842</v>
      </c>
      <c r="AG165" s="2">
        <f t="shared" si="162"/>
        <v>-1.6297294487872094</v>
      </c>
      <c r="AH165" s="2">
        <f t="shared" si="162"/>
        <v>-0.77428547544558457</v>
      </c>
      <c r="AI165" s="18">
        <f t="shared" si="5"/>
        <v>43</v>
      </c>
      <c r="AJ165" s="2">
        <f t="shared" si="6"/>
        <v>1</v>
      </c>
    </row>
    <row r="166" spans="1:36" ht="10.5" customHeight="1" x14ac:dyDescent="0.25">
      <c r="A166" s="17">
        <v>158</v>
      </c>
      <c r="B166" s="2">
        <f t="shared" si="2"/>
        <v>6.4103520034139843</v>
      </c>
      <c r="C166" s="4">
        <v>2</v>
      </c>
      <c r="D166" s="4">
        <v>22.192974441485099</v>
      </c>
      <c r="E166" s="18">
        <v>46</v>
      </c>
      <c r="F166" s="5">
        <v>4.1085000000000002E-3</v>
      </c>
      <c r="G166" s="5">
        <v>0.22725000000000001</v>
      </c>
      <c r="H166" s="5">
        <v>0.20824999999999999</v>
      </c>
      <c r="I166" s="5">
        <v>0.89795000000000003</v>
      </c>
      <c r="J166" s="5">
        <v>1.464</v>
      </c>
      <c r="K166" s="5">
        <v>4.6700000000000005E-3</v>
      </c>
      <c r="L166" s="5">
        <v>1.17845</v>
      </c>
      <c r="M166" s="5">
        <v>0.2969</v>
      </c>
      <c r="N166" s="5">
        <v>15.035</v>
      </c>
      <c r="O166" s="5">
        <v>2.9664999999999999</v>
      </c>
      <c r="P166" s="5">
        <v>7.0600000000000003E-4</v>
      </c>
      <c r="Q166" s="5">
        <v>5.1165000000000003</v>
      </c>
      <c r="R166" s="5">
        <v>0.15554999999999999</v>
      </c>
      <c r="S166" s="5">
        <v>39.704999999999998</v>
      </c>
      <c r="T166" s="18">
        <f t="shared" si="3"/>
        <v>46</v>
      </c>
      <c r="U166" s="2">
        <f t="shared" ref="U166:AH166" si="163">IF(OR(F166=0,F166&lt;0.00001,F166&gt;100000),"",IF((IF(F166&gt;F$5,ABS(LOG(((F$5/SUM($F166:$S166))/(F$4/SUM($F$4:$S$4)))*4+2,2)),ABS(LOG(((F166/SUM($F166:$S166))/(F$4/SUM($F$4:$S$4)))*4+2,2)))-3)&gt;8,(IF(F166&gt;F$5,ABS(LOG(((F$5/SUM($F166:$S166))/(F$4/SUM($F$4:$S$4)))*4+2,2)),ABS(LOG(((F166/SUM($F166:$S166))/(F$4/SUM($F$4:$S$4)))*4+2,2)))-3)/7,IF(F166&gt;F$5,ABS(LOG(((F$5/SUM($F166:$S166))/(F$4/SUM($F$4:$S$4)))*4+2,2)),ABS(LOG(((F166/SUM($F166:$S166))/(F$4/SUM($F$4:$S$4)))*4+2,2)))-3))</f>
        <v>-1.4194093650746078</v>
      </c>
      <c r="V166" s="2">
        <f t="shared" si="163"/>
        <v>1.2576252984776648</v>
      </c>
      <c r="W166" s="2">
        <f t="shared" si="163"/>
        <v>2.7067375601683477</v>
      </c>
      <c r="X166" s="2">
        <f t="shared" si="163"/>
        <v>1.861553228096902</v>
      </c>
      <c r="Y166" s="2">
        <f t="shared" si="163"/>
        <v>2.6736030687003254</v>
      </c>
      <c r="Z166" s="2">
        <f t="shared" si="163"/>
        <v>2.1345471577671367</v>
      </c>
      <c r="AA166" s="2">
        <f t="shared" si="163"/>
        <v>4.1710692937995901</v>
      </c>
      <c r="AB166" s="2">
        <f t="shared" si="163"/>
        <v>1.38159028886525</v>
      </c>
      <c r="AC166" s="2">
        <f t="shared" si="163"/>
        <v>7.0614380073014562</v>
      </c>
      <c r="AD166" s="2">
        <f t="shared" si="163"/>
        <v>0.68265078659380629</v>
      </c>
      <c r="AE166" s="2">
        <f t="shared" si="163"/>
        <v>-1.9999997825241589</v>
      </c>
      <c r="AF166" s="2">
        <f t="shared" si="163"/>
        <v>-1.5979712271220579</v>
      </c>
      <c r="AG166" s="2">
        <f t="shared" si="163"/>
        <v>-1.8819518441863887</v>
      </c>
      <c r="AH166" s="2">
        <f t="shared" si="163"/>
        <v>-9.2403468004663036E-2</v>
      </c>
      <c r="AI166" s="18">
        <f t="shared" si="5"/>
        <v>46</v>
      </c>
      <c r="AJ166" s="2">
        <f t="shared" si="6"/>
        <v>1</v>
      </c>
    </row>
    <row r="167" spans="1:36" ht="10.5" customHeight="1" x14ac:dyDescent="0.25">
      <c r="A167" s="17">
        <v>159</v>
      </c>
      <c r="B167" s="2">
        <f t="shared" si="2"/>
        <v>7.5836009139331262</v>
      </c>
      <c r="C167" s="4">
        <v>2</v>
      </c>
      <c r="D167" s="4">
        <v>17.9772564301438</v>
      </c>
      <c r="E167" s="18">
        <v>48</v>
      </c>
      <c r="F167" s="5">
        <v>3.3020000000000001E-2</v>
      </c>
      <c r="G167" s="5">
        <v>0.17430000000000001</v>
      </c>
      <c r="H167" s="5">
        <v>0.16944999999999999</v>
      </c>
      <c r="I167" s="5">
        <v>0.47904999999999998</v>
      </c>
      <c r="J167" s="5">
        <v>3.3585000000000003</v>
      </c>
      <c r="K167" s="5">
        <v>1.49E-2</v>
      </c>
      <c r="L167" s="5">
        <v>1.3169999999999999</v>
      </c>
      <c r="M167" s="5">
        <v>0.3155</v>
      </c>
      <c r="N167" s="5">
        <v>2.0865</v>
      </c>
      <c r="O167" s="5">
        <v>0.61224999999999996</v>
      </c>
      <c r="P167" s="5">
        <v>5.2300000000000003E-4</v>
      </c>
      <c r="Q167" s="5">
        <v>2.9255</v>
      </c>
      <c r="R167" s="5">
        <v>7.8550000000000009E-3</v>
      </c>
      <c r="S167" s="5">
        <v>9.0075000000000003</v>
      </c>
      <c r="T167" s="18">
        <f t="shared" si="3"/>
        <v>48</v>
      </c>
      <c r="U167" s="2">
        <f t="shared" ref="U167:AH167" si="164">IF(OR(F167=0,F167&lt;0.00001,F167&gt;100000),"",IF((IF(F167&gt;F$5,ABS(LOG(((F$5/SUM($F167:$S167))/(F$4/SUM($F$4:$S$4)))*4+2,2)),ABS(LOG(((F167/SUM($F167:$S167))/(F$4/SUM($F$4:$S$4)))*4+2,2)))-3)&gt;8,(IF(F167&gt;F$5,ABS(LOG(((F$5/SUM($F167:$S167))/(F$4/SUM($F$4:$S$4)))*4+2,2)),ABS(LOG(((F167/SUM($F167:$S167))/(F$4/SUM($F$4:$S$4)))*4+2,2)))-3)/7,IF(F167&gt;F$5,ABS(LOG(((F$5/SUM($F167:$S167))/(F$4/SUM($F$4:$S$4)))*4+2,2)),ABS(LOG(((F167/SUM($F167:$S167))/(F$4/SUM($F$4:$S$4)))*4+2,2)))-3))</f>
        <v>1.8139246986582709</v>
      </c>
      <c r="V167" s="2">
        <f t="shared" si="164"/>
        <v>2.4950424358473766</v>
      </c>
      <c r="W167" s="2">
        <f t="shared" si="164"/>
        <v>4.0883220670101688</v>
      </c>
      <c r="X167" s="2">
        <f t="shared" si="164"/>
        <v>2.6259235824416587</v>
      </c>
      <c r="Y167" s="2">
        <f t="shared" si="164"/>
        <v>5.5356461780857877</v>
      </c>
      <c r="Z167" s="2">
        <f t="shared" si="164"/>
        <v>5.4461042967990672</v>
      </c>
      <c r="AA167" s="2">
        <f t="shared" si="164"/>
        <v>6.0308120579426703</v>
      </c>
      <c r="AB167" s="2">
        <f t="shared" si="164"/>
        <v>3.0810069918202849</v>
      </c>
      <c r="AC167" s="2">
        <f t="shared" si="164"/>
        <v>5.9295097567998969</v>
      </c>
      <c r="AD167" s="2">
        <f t="shared" si="164"/>
        <v>0.22346049657266276</v>
      </c>
      <c r="AE167" s="2">
        <f t="shared" si="164"/>
        <v>-1.9999992865226572</v>
      </c>
      <c r="AF167" s="2">
        <f t="shared" si="164"/>
        <v>-1.3193788840034382</v>
      </c>
      <c r="AG167" s="2">
        <f t="shared" si="164"/>
        <v>-1.979763086766918</v>
      </c>
      <c r="AH167" s="2">
        <f t="shared" si="164"/>
        <v>-0.39209064372148505</v>
      </c>
      <c r="AI167" s="18">
        <f t="shared" si="5"/>
        <v>48</v>
      </c>
      <c r="AJ167" s="2">
        <f t="shared" si="6"/>
        <v>1</v>
      </c>
    </row>
    <row r="168" spans="1:36" ht="10.5" customHeight="1" x14ac:dyDescent="0.25">
      <c r="A168" s="17">
        <v>160</v>
      </c>
      <c r="B168" s="2">
        <f t="shared" si="2"/>
        <v>1.4026712964897976E-3</v>
      </c>
      <c r="C168" s="4">
        <v>2</v>
      </c>
      <c r="D168" s="4">
        <v>18.572739656562099</v>
      </c>
      <c r="E168" s="18">
        <v>50</v>
      </c>
      <c r="F168" s="5">
        <v>1.6900000000000001E-3</v>
      </c>
      <c r="G168" s="5">
        <v>6.3600000000000004E-2</v>
      </c>
      <c r="H168" s="5">
        <v>9.0499999999999997E-2</v>
      </c>
      <c r="I168" s="5">
        <v>0.54339999999999999</v>
      </c>
      <c r="J168" s="5">
        <v>0.1326</v>
      </c>
      <c r="K168" s="5">
        <v>1.1900000000000001E-2</v>
      </c>
      <c r="L168" s="5">
        <v>0.69810000000000005</v>
      </c>
      <c r="M168" s="5">
        <v>0.19139999999999999</v>
      </c>
      <c r="N168" s="5">
        <v>3.0200000000000001E-3</v>
      </c>
      <c r="O168" s="5">
        <v>1.35E-2</v>
      </c>
      <c r="P168" s="5">
        <v>7.7299999999999999E-3</v>
      </c>
      <c r="Q168" s="5">
        <v>15.15</v>
      </c>
      <c r="R168" s="5">
        <v>0.2591</v>
      </c>
      <c r="S168" s="5">
        <v>48.28</v>
      </c>
      <c r="T168" s="18">
        <f t="shared" si="3"/>
        <v>50</v>
      </c>
      <c r="U168" s="2">
        <f t="shared" ref="U168:AH168" si="165">IF(OR(F168=0,F168&lt;0.00001,F168&gt;100000),"",IF((IF(F168&gt;F$5,ABS(LOG(((F$5/SUM($F168:$S168))/(F$4/SUM($F$4:$S$4)))*4+2,2)),ABS(LOG(((F168/SUM($F168:$S168))/(F$4/SUM($F$4:$S$4)))*4+2,2)))-3)&gt;8,(IF(F168&gt;F$5,ABS(LOG(((F$5/SUM($F168:$S168))/(F$4/SUM($F$4:$S$4)))*4+2,2)),ABS(LOG(((F168/SUM($F168:$S168))/(F$4/SUM($F$4:$S$4)))*4+2,2)))-3)/7,IF(F168&gt;F$5,ABS(LOG(((F$5/SUM($F168:$S168))/(F$4/SUM($F$4:$S$4)))*4+2,2)),ABS(LOG(((F168/SUM($F168:$S168))/(F$4/SUM($F$4:$S$4)))*4+2,2)))-3))</f>
        <v>-1.7256440399475628</v>
      </c>
      <c r="V168" s="2">
        <f t="shared" si="165"/>
        <v>-0.20787179889303031</v>
      </c>
      <c r="W168" s="2">
        <f t="shared" si="165"/>
        <v>1.6107386083658684</v>
      </c>
      <c r="X168" s="2">
        <f t="shared" si="165"/>
        <v>1.2354883768208778</v>
      </c>
      <c r="Y168" s="2">
        <f t="shared" si="165"/>
        <v>-0.28519967385090705</v>
      </c>
      <c r="Z168" s="2">
        <f t="shared" si="165"/>
        <v>3.4717746269591263</v>
      </c>
      <c r="AA168" s="2">
        <f t="shared" si="165"/>
        <v>3.4679418930611652</v>
      </c>
      <c r="AB168" s="2">
        <f t="shared" si="165"/>
        <v>0.85649306315057627</v>
      </c>
      <c r="AC168" s="2">
        <f t="shared" si="165"/>
        <v>-1.8493292123449827</v>
      </c>
      <c r="AD168" s="2">
        <f t="shared" si="165"/>
        <v>-1.9638824028062225</v>
      </c>
      <c r="AE168" s="2">
        <f t="shared" si="165"/>
        <v>-1.9999997764953423</v>
      </c>
      <c r="AF168" s="2">
        <f t="shared" si="165"/>
        <v>-1.015999277958862</v>
      </c>
      <c r="AG168" s="2">
        <f t="shared" si="165"/>
        <v>-1.8034378387696779</v>
      </c>
      <c r="AH168" s="2">
        <f t="shared" si="165"/>
        <v>0.15020356036590243</v>
      </c>
      <c r="AI168" s="18">
        <f t="shared" si="5"/>
        <v>50</v>
      </c>
      <c r="AJ168" s="2">
        <f t="shared" si="6"/>
        <v>1</v>
      </c>
    </row>
    <row r="169" spans="1:36" ht="10.5" customHeight="1" x14ac:dyDescent="0.25">
      <c r="A169" s="17">
        <v>161</v>
      </c>
      <c r="B169" s="2">
        <f t="shared" si="2"/>
        <v>7.5266185874582101</v>
      </c>
      <c r="C169" s="4">
        <v>2</v>
      </c>
      <c r="D169" s="4">
        <v>21.858800757764001</v>
      </c>
      <c r="E169" s="18">
        <v>52</v>
      </c>
      <c r="F169" s="5">
        <v>0.23694999999999999</v>
      </c>
      <c r="G169" s="5">
        <v>7.3584999999999998E-2</v>
      </c>
      <c r="H169" s="5">
        <v>0.80685000000000007</v>
      </c>
      <c r="I169" s="5">
        <v>2.1375000000000002</v>
      </c>
      <c r="J169" s="5">
        <v>0.46334999999999993</v>
      </c>
      <c r="K169" s="5">
        <v>0.48784999999999995</v>
      </c>
      <c r="L169" s="5">
        <v>1.2134</v>
      </c>
      <c r="M169" s="5">
        <v>0.2969</v>
      </c>
      <c r="N169" s="5">
        <v>7.7699999999999991E-2</v>
      </c>
      <c r="O169" s="5">
        <v>1.61995</v>
      </c>
      <c r="P169" s="5">
        <v>3.3489999999999999E-2</v>
      </c>
      <c r="Q169" s="5">
        <v>4.4030000000000005</v>
      </c>
      <c r="R169" s="5">
        <v>0.77544999999999997</v>
      </c>
      <c r="S169" s="5">
        <v>5.5380000000000003</v>
      </c>
      <c r="T169" s="18">
        <f t="shared" si="3"/>
        <v>52</v>
      </c>
      <c r="U169" s="2">
        <f t="shared" ref="U169:AH169" si="166">IF(OR(F169=0,F169&lt;0.00001,F169&gt;100000),"",IF((IF(F169&gt;F$5,ABS(LOG(((F$5/SUM($F169:$S169))/(F$4/SUM($F$4:$S$4)))*4+2,2)),ABS(LOG(((F169/SUM($F169:$S169))/(F$4/SUM($F$4:$S$4)))*4+2,2)))-3)&gt;8,(IF(F169&gt;F$5,ABS(LOG(((F$5/SUM($F169:$S169))/(F$4/SUM($F$4:$S$4)))*4+2,2)),ABS(LOG(((F169/SUM($F169:$S169))/(F$4/SUM($F$4:$S$4)))*4+2,2)))-3)/7,IF(F169&gt;F$5,ABS(LOG(((F$5/SUM($F169:$S169))/(F$4/SUM($F$4:$S$4)))*4+2,2)),ABS(LOG(((F169/SUM($F169:$S169))/(F$4/SUM($F$4:$S$4)))*4+2,2)))-3))</f>
        <v>4.7389287607223283</v>
      </c>
      <c r="V169" s="2">
        <f t="shared" si="166"/>
        <v>1.49425434709085</v>
      </c>
      <c r="W169" s="2">
        <f t="shared" si="166"/>
        <v>6.4970746349541653</v>
      </c>
      <c r="X169" s="2">
        <f t="shared" si="166"/>
        <v>4.9106692369065934</v>
      </c>
      <c r="Y169" s="2">
        <f t="shared" si="166"/>
        <v>2.8942292528576852</v>
      </c>
      <c r="Z169" s="2">
        <f t="shared" si="166"/>
        <v>1.5208228306031628</v>
      </c>
      <c r="AA169" s="2">
        <f t="shared" si="166"/>
        <v>6.0870741468705631</v>
      </c>
      <c r="AB169" s="2">
        <f t="shared" si="166"/>
        <v>3.1655212787550289</v>
      </c>
      <c r="AC169" s="2">
        <f t="shared" si="166"/>
        <v>1.486091765082878</v>
      </c>
      <c r="AD169" s="2">
        <f t="shared" si="166"/>
        <v>1.5802215157150394</v>
      </c>
      <c r="AE169" s="2">
        <f t="shared" si="166"/>
        <v>-1.9999991946914941</v>
      </c>
      <c r="AF169" s="2">
        <f t="shared" si="166"/>
        <v>-0.98274809530556828</v>
      </c>
      <c r="AG169" s="2">
        <f t="shared" si="166"/>
        <v>-0.63597931943930153</v>
      </c>
      <c r="AH169" s="2">
        <f t="shared" si="166"/>
        <v>-0.72422634403597597</v>
      </c>
      <c r="AI169" s="18">
        <f t="shared" si="5"/>
        <v>52</v>
      </c>
      <c r="AJ169" s="2">
        <f t="shared" si="6"/>
        <v>1</v>
      </c>
    </row>
    <row r="170" spans="1:36" ht="10.5" customHeight="1" x14ac:dyDescent="0.25">
      <c r="A170" s="17">
        <v>162</v>
      </c>
      <c r="B170" s="2">
        <f t="shared" si="2"/>
        <v>0.35960300508327758</v>
      </c>
      <c r="C170" s="4">
        <v>2</v>
      </c>
      <c r="D170" s="4">
        <v>19.8519679511727</v>
      </c>
      <c r="E170" s="18">
        <v>54</v>
      </c>
      <c r="F170" s="5">
        <v>3.6499999999999998E-4</v>
      </c>
      <c r="G170" s="5">
        <v>9.98E-2</v>
      </c>
      <c r="H170" s="5">
        <v>7.2599999999999998E-2</v>
      </c>
      <c r="I170" s="5">
        <v>0.45989999999999998</v>
      </c>
      <c r="J170" s="5">
        <v>2.8799999999999999E-2</v>
      </c>
      <c r="K170" s="5">
        <v>1.5599999999999999E-2</v>
      </c>
      <c r="L170" s="5">
        <v>0.55359999999999998</v>
      </c>
      <c r="M170" s="5">
        <v>0.14949999999999999</v>
      </c>
      <c r="N170" s="5">
        <v>2.5499999999999998E-2</v>
      </c>
      <c r="O170" s="5">
        <v>2.2899999999999999E-3</v>
      </c>
      <c r="P170" s="5">
        <v>1.7600000000000001E-3</v>
      </c>
      <c r="Q170" s="5">
        <v>46.85</v>
      </c>
      <c r="R170" s="5">
        <v>5.2499999999999998E-2</v>
      </c>
      <c r="S170" s="5">
        <v>61.85</v>
      </c>
      <c r="T170" s="18">
        <f t="shared" si="3"/>
        <v>54</v>
      </c>
      <c r="U170" s="2">
        <f t="shared" ref="U170:AH170" si="167">IF(OR(F170=0,F170&lt;0.00001,F170&gt;100000),"",IF((IF(F170&gt;F$5,ABS(LOG(((F$5/SUM($F170:$S170))/(F$4/SUM($F$4:$S$4)))*4+2,2)),ABS(LOG(((F170/SUM($F170:$S170))/(F$4/SUM($F$4:$S$4)))*4+2,2)))-3)&gt;8,(IF(F170&gt;F$5,ABS(LOG(((F$5/SUM($F170:$S170))/(F$4/SUM($F$4:$S$4)))*4+2,2)),ABS(LOG(((F170/SUM($F170:$S170))/(F$4/SUM($F$4:$S$4)))*4+2,2)))-3)/7,IF(F170&gt;F$5,ABS(LOG(((F$5/SUM($F170:$S170))/(F$4/SUM($F$4:$S$4)))*4+2,2)),ABS(LOG(((F170/SUM($F170:$S170))/(F$4/SUM($F$4:$S$4)))*4+2,2)))-3))</f>
        <v>-1.9617393828422149</v>
      </c>
      <c r="V170" s="2">
        <f t="shared" si="167"/>
        <v>-0.27913387094012432</v>
      </c>
      <c r="W170" s="2">
        <f t="shared" si="167"/>
        <v>0.66574609911008364</v>
      </c>
      <c r="X170" s="2">
        <f t="shared" si="167"/>
        <v>0.38758786338818263</v>
      </c>
      <c r="Y170" s="2">
        <f t="shared" si="167"/>
        <v>-1.6275817697005661</v>
      </c>
      <c r="Z170" s="2">
        <f t="shared" si="167"/>
        <v>3.1203219483217248</v>
      </c>
      <c r="AA170" s="2">
        <f t="shared" si="167"/>
        <v>2.4182469379343292</v>
      </c>
      <c r="AB170" s="2">
        <f t="shared" si="167"/>
        <v>-3.772202534257918E-2</v>
      </c>
      <c r="AC170" s="2">
        <f t="shared" si="167"/>
        <v>-1.3656607784480874</v>
      </c>
      <c r="AD170" s="2">
        <f t="shared" si="167"/>
        <v>-1.996318981409505</v>
      </c>
      <c r="AE170" s="2">
        <f t="shared" si="167"/>
        <v>-1.9999998672175665</v>
      </c>
      <c r="AF170" s="2">
        <f t="shared" si="167"/>
        <v>-0.51629820461801978</v>
      </c>
      <c r="AG170" s="2">
        <f t="shared" si="167"/>
        <v>-1.9748707553461329</v>
      </c>
      <c r="AH170" s="2">
        <f t="shared" si="167"/>
        <v>-0.14510347185178762</v>
      </c>
      <c r="AI170" s="18">
        <f t="shared" si="5"/>
        <v>54</v>
      </c>
      <c r="AJ170" s="2">
        <f t="shared" si="6"/>
        <v>1</v>
      </c>
    </row>
    <row r="171" spans="1:36" ht="10.5" customHeight="1" x14ac:dyDescent="0.25">
      <c r="A171" s="17">
        <v>163</v>
      </c>
      <c r="B171" s="2">
        <f t="shared" si="2"/>
        <v>5.4121335044879135</v>
      </c>
      <c r="C171" s="4">
        <v>2</v>
      </c>
      <c r="D171" s="4">
        <v>20.9756999984922</v>
      </c>
      <c r="E171" s="18">
        <v>56</v>
      </c>
      <c r="F171" s="5">
        <v>6.5799999999999997E-2</v>
      </c>
      <c r="G171" s="5">
        <v>0.2268</v>
      </c>
      <c r="H171" s="5">
        <v>0.19550000000000001</v>
      </c>
      <c r="I171" s="5">
        <v>2.5579999999999998</v>
      </c>
      <c r="J171" s="5">
        <v>1.9630000000000001</v>
      </c>
      <c r="K171" s="5">
        <v>1.7000000000000001E-2</v>
      </c>
      <c r="L171" s="5">
        <v>0.98299999999999998</v>
      </c>
      <c r="M171" s="5">
        <v>0.76160000000000005</v>
      </c>
      <c r="N171" s="5">
        <v>2.2069999999999999</v>
      </c>
      <c r="O171" s="5">
        <v>0.1971</v>
      </c>
      <c r="P171" s="5">
        <v>8.6199999999999992E-3</v>
      </c>
      <c r="Q171" s="5">
        <v>27.63</v>
      </c>
      <c r="R171" s="5">
        <v>0.1351</v>
      </c>
      <c r="S171" s="5">
        <v>14.05</v>
      </c>
      <c r="T171" s="18">
        <f t="shared" si="3"/>
        <v>56</v>
      </c>
      <c r="U171" s="2">
        <f t="shared" ref="U171:AH171" si="168">IF(OR(F171=0,F171&lt;0.00001,F171&gt;100000),"",IF((IF(F171&gt;F$5,ABS(LOG(((F$5/SUM($F171:$S171))/(F$4/SUM($F$4:$S$4)))*4+2,2)),ABS(LOG(((F171/SUM($F171:$S171))/(F$4/SUM($F$4:$S$4)))*4+2,2)))-3)&gt;8,(IF(F171&gt;F$5,ABS(LOG(((F$5/SUM($F171:$S171))/(F$4/SUM($F$4:$S$4)))*4+2,2)),ABS(LOG(((F171/SUM($F171:$S171))/(F$4/SUM($F$4:$S$4)))*4+2,2)))-3)/7,IF(F171&gt;F$5,ABS(LOG(((F$5/SUM($F171:$S171))/(F$4/SUM($F$4:$S$4)))*4+2,2)),ABS(LOG(((F171/SUM($F171:$S171))/(F$4/SUM($F$4:$S$4)))*4+2,2)))-3))</f>
        <v>1.5192185410320977</v>
      </c>
      <c r="V171" s="2">
        <f t="shared" si="168"/>
        <v>1.6173694848593012</v>
      </c>
      <c r="W171" s="2">
        <f t="shared" si="168"/>
        <v>3.0042360350228305</v>
      </c>
      <c r="X171" s="2">
        <f t="shared" si="168"/>
        <v>3.6964374985631911</v>
      </c>
      <c r="Y171" s="2">
        <f t="shared" si="168"/>
        <v>3.4712839226397607</v>
      </c>
      <c r="Z171" s="2">
        <f t="shared" si="168"/>
        <v>4.3313566639759653</v>
      </c>
      <c r="AA171" s="2">
        <f t="shared" si="168"/>
        <v>4.3069297953761128</v>
      </c>
      <c r="AB171" s="2">
        <f t="shared" si="168"/>
        <v>3.038997332081208</v>
      </c>
      <c r="AC171" s="2">
        <f t="shared" si="168"/>
        <v>4.7037868876443829</v>
      </c>
      <c r="AD171" s="2">
        <f t="shared" si="168"/>
        <v>-1.4393061655456303</v>
      </c>
      <c r="AE171" s="2">
        <f t="shared" si="168"/>
        <v>-1.9999997131758689</v>
      </c>
      <c r="AF171" s="2">
        <f t="shared" si="168"/>
        <v>-0.28243181172845633</v>
      </c>
      <c r="AG171" s="2">
        <f t="shared" si="168"/>
        <v>-1.865554821874198</v>
      </c>
      <c r="AH171" s="2">
        <f t="shared" si="168"/>
        <v>-0.80826323413137313</v>
      </c>
      <c r="AI171" s="18">
        <f t="shared" si="5"/>
        <v>56</v>
      </c>
      <c r="AJ171" s="2">
        <f t="shared" si="6"/>
        <v>1</v>
      </c>
    </row>
    <row r="172" spans="1:36" ht="10.5" customHeight="1" x14ac:dyDescent="0.25">
      <c r="A172" s="17">
        <v>164</v>
      </c>
      <c r="B172" s="2">
        <f t="shared" si="2"/>
        <v>7.7263570075282981</v>
      </c>
      <c r="C172" s="4">
        <v>2</v>
      </c>
      <c r="D172" s="4">
        <v>19.921556070082801</v>
      </c>
      <c r="E172" s="18">
        <v>58</v>
      </c>
      <c r="F172" s="5">
        <v>0.13950000000000001</v>
      </c>
      <c r="G172" s="5">
        <v>1.2450000000000001</v>
      </c>
      <c r="H172" s="5">
        <v>0.58430000000000004</v>
      </c>
      <c r="I172" s="5">
        <v>1.5960000000000001</v>
      </c>
      <c r="J172" s="5">
        <v>14.4</v>
      </c>
      <c r="K172" s="5">
        <v>9.3899999999999997E-2</v>
      </c>
      <c r="L172" s="5">
        <v>3.65</v>
      </c>
      <c r="M172" s="5">
        <v>2.0070000000000001</v>
      </c>
      <c r="N172" s="5">
        <v>5.7700000000000001E-2</v>
      </c>
      <c r="O172" s="5">
        <v>6.4100000000000004E-2</v>
      </c>
      <c r="P172" s="5">
        <v>2.1900000000000001E-3</v>
      </c>
      <c r="Q172" s="5">
        <v>0.42459999999999998</v>
      </c>
      <c r="R172" s="5">
        <v>0.17549999999999999</v>
      </c>
      <c r="S172" s="5">
        <v>25.02</v>
      </c>
      <c r="T172" s="18">
        <f t="shared" si="3"/>
        <v>58</v>
      </c>
      <c r="U172" s="2">
        <f t="shared" ref="U172:AH172" si="169">IF(OR(F172=0,F172&lt;0.00001,F172&gt;100000),"",IF((IF(F172&gt;F$5,ABS(LOG(((F$5/SUM($F172:$S172))/(F$4/SUM($F$4:$S$4)))*4+2,2)),ABS(LOG(((F172/SUM($F172:$S172))/(F$4/SUM($F$4:$S$4)))*4+2,2)))-3)&gt;8,(IF(F172&gt;F$5,ABS(LOG(((F$5/SUM($F172:$S172))/(F$4/SUM($F$4:$S$4)))*4+2,2)),ABS(LOG(((F172/SUM($F172:$S172))/(F$4/SUM($F$4:$S$4)))*4+2,2)))-3)/7,IF(F172&gt;F$5,ABS(LOG(((F$5/SUM($F172:$S172))/(F$4/SUM($F$4:$S$4)))*4+2,2)),ABS(LOG(((F172/SUM($F172:$S172))/(F$4/SUM($F$4:$S$4)))*4+2,2)))-3))</f>
        <v>2.5775866557230804</v>
      </c>
      <c r="V172" s="2">
        <f t="shared" si="169"/>
        <v>4.0180369610160769</v>
      </c>
      <c r="W172" s="2">
        <f t="shared" si="169"/>
        <v>4.5972864571973435</v>
      </c>
      <c r="X172" s="2">
        <f t="shared" si="169"/>
        <v>3.0754233185234305</v>
      </c>
      <c r="Y172" s="2">
        <f t="shared" si="169"/>
        <v>6.3619193814658868</v>
      </c>
      <c r="Z172" s="2">
        <f t="shared" si="169"/>
        <v>6.8262997458876402</v>
      </c>
      <c r="AA172" s="2">
        <f t="shared" si="169"/>
        <v>6.2302362795077961</v>
      </c>
      <c r="AB172" s="2">
        <f t="shared" si="169"/>
        <v>4.4531294578193839</v>
      </c>
      <c r="AC172" s="2">
        <f t="shared" si="169"/>
        <v>-8.0419925260599268E-2</v>
      </c>
      <c r="AD172" s="2">
        <f t="shared" si="169"/>
        <v>-1.7867758085704326</v>
      </c>
      <c r="AE172" s="2">
        <f t="shared" si="169"/>
        <v>-1.9999997042525623</v>
      </c>
      <c r="AF172" s="2">
        <f t="shared" si="169"/>
        <v>-1.9486038107215722</v>
      </c>
      <c r="AG172" s="2">
        <f t="shared" si="169"/>
        <v>-1.8226242476647105</v>
      </c>
      <c r="AH172" s="2">
        <f t="shared" si="169"/>
        <v>-0.25232606461987706</v>
      </c>
      <c r="AI172" s="18">
        <f t="shared" si="5"/>
        <v>58</v>
      </c>
      <c r="AJ172" s="2">
        <f t="shared" si="6"/>
        <v>1</v>
      </c>
    </row>
    <row r="173" spans="1:36" ht="10.5" customHeight="1" x14ac:dyDescent="0.25">
      <c r="A173" s="17">
        <v>165</v>
      </c>
      <c r="B173" s="2">
        <f t="shared" si="2"/>
        <v>5.6962892903184636</v>
      </c>
      <c r="C173" s="4">
        <v>2</v>
      </c>
      <c r="D173" s="4">
        <v>20.904776767988601</v>
      </c>
      <c r="E173" s="18">
        <v>60</v>
      </c>
      <c r="F173" s="5">
        <v>9.68E-4</v>
      </c>
      <c r="G173" s="5">
        <v>0.8851</v>
      </c>
      <c r="H173" s="5">
        <v>0.49669999999999997</v>
      </c>
      <c r="I173" s="5">
        <v>2.67</v>
      </c>
      <c r="J173" s="5">
        <v>1.476</v>
      </c>
      <c r="K173" s="5">
        <v>9.3899999999999997E-2</v>
      </c>
      <c r="L173" s="5">
        <v>4.7060000000000004</v>
      </c>
      <c r="M173" s="5">
        <v>0.59450000000000003</v>
      </c>
      <c r="N173" s="5">
        <v>0.1164</v>
      </c>
      <c r="O173" s="5">
        <v>0.13700000000000001</v>
      </c>
      <c r="P173" s="5">
        <v>3.7399999999999998E-4</v>
      </c>
      <c r="Q173" s="5">
        <v>14.6</v>
      </c>
      <c r="R173" s="5">
        <v>0.37709999999999999</v>
      </c>
      <c r="S173" s="5">
        <v>36.590000000000003</v>
      </c>
      <c r="T173" s="18">
        <f t="shared" si="3"/>
        <v>60</v>
      </c>
      <c r="U173" s="2">
        <f t="shared" ref="U173:AH173" si="170">IF(OR(F173=0,F173&lt;0.00001,F173&gt;100000),"",IF((IF(F173&gt;F$5,ABS(LOG(((F$5/SUM($F173:$S173))/(F$4/SUM($F$4:$S$4)))*4+2,2)),ABS(LOG(((F173/SUM($F173:$S173))/(F$4/SUM($F$4:$S$4)))*4+2,2)))-3)&gt;8,(IF(F173&gt;F$5,ABS(LOG(((F$5/SUM($F173:$S173))/(F$4/SUM($F$4:$S$4)))*4+2,2)),ABS(LOG(((F173/SUM($F173:$S173))/(F$4/SUM($F$4:$S$4)))*4+2,2)))-3)/7,IF(F173&gt;F$5,ABS(LOG(((F$5/SUM($F173:$S173))/(F$4/SUM($F$4:$S$4)))*4+2,2)),ABS(LOG(((F173/SUM($F173:$S173))/(F$4/SUM($F$4:$S$4)))*4+2,2)))-3))</f>
        <v>-1.8298971499304268</v>
      </c>
      <c r="V173" s="2">
        <f t="shared" si="170"/>
        <v>3.1999391879687975</v>
      </c>
      <c r="W173" s="2">
        <f t="shared" si="170"/>
        <v>4.0270466591806526</v>
      </c>
      <c r="X173" s="2">
        <f t="shared" si="170"/>
        <v>3.4642010570350656</v>
      </c>
      <c r="Y173" s="2">
        <f t="shared" si="170"/>
        <v>2.7814373260805461</v>
      </c>
      <c r="Z173" s="2">
        <f t="shared" si="170"/>
        <v>6.483930783587212</v>
      </c>
      <c r="AA173" s="2">
        <f t="shared" si="170"/>
        <v>6.2535415394852638</v>
      </c>
      <c r="AB173" s="2">
        <f t="shared" si="170"/>
        <v>2.407679956186823</v>
      </c>
      <c r="AC173" s="2">
        <f t="shared" si="170"/>
        <v>0.43983190534957961</v>
      </c>
      <c r="AD173" s="2">
        <f t="shared" si="170"/>
        <v>-1.6570532107232359</v>
      </c>
      <c r="AE173" s="2">
        <f t="shared" si="170"/>
        <v>-1.999999766868598</v>
      </c>
      <c r="AF173" s="2">
        <f t="shared" si="170"/>
        <v>-1.0122916629797931</v>
      </c>
      <c r="AG173" s="2">
        <f t="shared" si="170"/>
        <v>-1.7112398714195241</v>
      </c>
      <c r="AH173" s="2">
        <f t="shared" si="170"/>
        <v>-0.1052790285180607</v>
      </c>
      <c r="AI173" s="18">
        <f t="shared" si="5"/>
        <v>60</v>
      </c>
      <c r="AJ173" s="2">
        <f t="shared" si="6"/>
        <v>1</v>
      </c>
    </row>
    <row r="174" spans="1:36" ht="10.5" customHeight="1" x14ac:dyDescent="0.25">
      <c r="A174" s="17">
        <v>166</v>
      </c>
      <c r="B174" s="2" t="str">
        <f t="shared" si="2"/>
        <v/>
      </c>
      <c r="C174" s="4">
        <v>2</v>
      </c>
      <c r="D174" s="4">
        <v>26.2571919551823</v>
      </c>
      <c r="E174" s="18">
        <v>62</v>
      </c>
      <c r="F174" s="5">
        <v>6.3700000000000007E-2</v>
      </c>
      <c r="G174" s="5">
        <v>1.4400000000000001E-3</v>
      </c>
      <c r="H174" s="5">
        <v>7.2809999999999997</v>
      </c>
      <c r="I174" s="5">
        <v>1.88</v>
      </c>
      <c r="J174" s="5">
        <v>31.13</v>
      </c>
      <c r="K174" s="5">
        <v>0.94299999999999995</v>
      </c>
      <c r="L174" s="5">
        <v>3.2040000000000002</v>
      </c>
      <c r="M174" s="5">
        <v>2.8809999999999998</v>
      </c>
      <c r="N174" s="5">
        <v>2.8010000000000002</v>
      </c>
      <c r="O174" s="5">
        <v>11400</v>
      </c>
      <c r="P174" s="5">
        <v>1.7399999999999999E-2</v>
      </c>
      <c r="Q174" s="5">
        <v>573.79999999999995</v>
      </c>
      <c r="R174" s="5">
        <v>1.821</v>
      </c>
      <c r="S174" s="5">
        <v>16.350000000000001</v>
      </c>
      <c r="T174" s="18">
        <f t="shared" si="3"/>
        <v>62</v>
      </c>
      <c r="U174" s="2">
        <f t="shared" ref="U174:AH174" si="171">IF(OR(F174=0,F174&lt;0.00001,F174&gt;100000),"",IF((IF(F174&gt;F$5,ABS(LOG(((F$5/SUM($F174:$S174))/(F$4/SUM($F$4:$S$4)))*4+2,2)),ABS(LOG(((F174/SUM($F174:$S174))/(F$4/SUM($F$4:$S$4)))*4+2,2)))-3)&gt;8,(IF(F174&gt;F$5,ABS(LOG(((F$5/SUM($F174:$S174))/(F$4/SUM($F$4:$S$4)))*4+2,2)),ABS(LOG(((F174/SUM($F174:$S174))/(F$4/SUM($F$4:$S$4)))*4+2,2)))-3)/7,IF(F174&gt;F$5,ABS(LOG(((F$5/SUM($F174:$S174))/(F$4/SUM($F$4:$S$4)))*4+2,2)),ABS(LOG(((F174/SUM($F174:$S174))/(F$4/SUM($F$4:$S$4)))*4+2,2)))-3))</f>
        <v>-1.9393901496850754</v>
      </c>
      <c r="V174" s="2">
        <f t="shared" si="171"/>
        <v>-1.9995627748740674</v>
      </c>
      <c r="W174" s="2">
        <f t="shared" si="171"/>
        <v>0.56176015533339818</v>
      </c>
      <c r="X174" s="2">
        <f t="shared" si="171"/>
        <v>-1.7880042885022498</v>
      </c>
      <c r="Y174" s="2">
        <f t="shared" si="171"/>
        <v>-3.1996886647102762E-2</v>
      </c>
      <c r="Z174" s="2">
        <f t="shared" si="171"/>
        <v>2.2987837259146842</v>
      </c>
      <c r="AA174" s="2">
        <f t="shared" si="171"/>
        <v>-0.94406724880026482</v>
      </c>
      <c r="AB174" s="2">
        <f t="shared" si="171"/>
        <v>-1.4048078788654133</v>
      </c>
      <c r="AC174" s="2">
        <f t="shared" si="171"/>
        <v>-1.3631742451816824</v>
      </c>
      <c r="AD174" s="2">
        <f t="shared" si="171"/>
        <v>-1.1388778566990625</v>
      </c>
      <c r="AE174" s="2">
        <f t="shared" si="171"/>
        <v>-1.9999999987853017</v>
      </c>
      <c r="AF174" s="2">
        <f t="shared" si="171"/>
        <v>-1.7354038490989656</v>
      </c>
      <c r="AG174" s="2">
        <f t="shared" si="171"/>
        <v>-1.9919788284028217</v>
      </c>
      <c r="AH174" s="2">
        <f t="shared" si="171"/>
        <v>-1.9908975951407895</v>
      </c>
      <c r="AI174" s="18">
        <f t="shared" si="5"/>
        <v>62</v>
      </c>
      <c r="AJ174" s="2">
        <f t="shared" si="6"/>
        <v>1</v>
      </c>
    </row>
    <row r="175" spans="1:36" ht="10.5" customHeight="1" x14ac:dyDescent="0.25">
      <c r="A175" s="17">
        <v>167</v>
      </c>
      <c r="B175" s="2">
        <f t="shared" si="2"/>
        <v>6.4786098855969758</v>
      </c>
      <c r="C175" s="4">
        <v>2</v>
      </c>
      <c r="D175" s="4">
        <v>21.182526222622499</v>
      </c>
      <c r="E175" s="18">
        <v>64</v>
      </c>
      <c r="F175" s="5">
        <v>0.10299999999999999</v>
      </c>
      <c r="G175" s="5">
        <v>0.43769999999999998</v>
      </c>
      <c r="H175" s="5">
        <v>0.2147</v>
      </c>
      <c r="I175" s="5">
        <v>1.952</v>
      </c>
      <c r="J175" s="5">
        <v>0.20979999999999999</v>
      </c>
      <c r="K175" s="5">
        <v>0.11</v>
      </c>
      <c r="L175" s="5">
        <v>1.645</v>
      </c>
      <c r="M175" s="5">
        <v>0.45529999999999998</v>
      </c>
      <c r="N175" s="5">
        <v>2.2700000000000001E-2</v>
      </c>
      <c r="O175" s="5">
        <v>2.8759999999999999</v>
      </c>
      <c r="P175" s="5">
        <v>1.5100000000000001E-3</v>
      </c>
      <c r="Q175" s="5">
        <v>2.8580000000000001</v>
      </c>
      <c r="R175" s="5">
        <v>1.429</v>
      </c>
      <c r="S175" s="5">
        <v>32.07</v>
      </c>
      <c r="T175" s="18">
        <f t="shared" si="3"/>
        <v>64</v>
      </c>
      <c r="U175" s="2">
        <f t="shared" ref="U175:AH175" si="172">IF(OR(F175=0,F175&lt;0.00001,F175&gt;100000),"",IF((IF(F175&gt;F$5,ABS(LOG(((F$5/SUM($F175:$S175))/(F$4/SUM($F$4:$S$4)))*4+2,2)),ABS(LOG(((F175/SUM($F175:$S175))/(F$4/SUM($F$4:$S$4)))*4+2,2)))-3)&gt;8,(IF(F175&gt;F$5,ABS(LOG(((F$5/SUM($F175:$S175))/(F$4/SUM($F$4:$S$4)))*4+2,2)),ABS(LOG(((F175/SUM($F175:$S175))/(F$4/SUM($F$4:$S$4)))*4+2,2)))-3)/7,IF(F175&gt;F$5,ABS(LOG(((F$5/SUM($F175:$S175))/(F$4/SUM($F$4:$S$4)))*4+2,2)),ABS(LOG(((F175/SUM($F175:$S175))/(F$4/SUM($F$4:$S$4)))*4+2,2)))-3))</f>
        <v>2.3091152290381274</v>
      </c>
      <c r="V175" s="2">
        <f t="shared" si="172"/>
        <v>2.7002542141899788</v>
      </c>
      <c r="W175" s="2">
        <f t="shared" si="172"/>
        <v>3.330423674621712</v>
      </c>
      <c r="X175" s="2">
        <f t="shared" si="172"/>
        <v>3.5106705812547467</v>
      </c>
      <c r="Y175" s="2">
        <f t="shared" si="172"/>
        <v>0.66108992208147566</v>
      </c>
      <c r="Z175" s="2">
        <f t="shared" si="172"/>
        <v>7.2100557798179867</v>
      </c>
      <c r="AA175" s="2">
        <f t="shared" si="172"/>
        <v>5.2413747345163788</v>
      </c>
      <c r="AB175" s="2">
        <f t="shared" si="172"/>
        <v>2.5170383921963522</v>
      </c>
      <c r="AC175" s="2">
        <f t="shared" si="172"/>
        <v>-0.84936278314236846</v>
      </c>
      <c r="AD175" s="2">
        <f t="shared" si="172"/>
        <v>1.1640513320120087</v>
      </c>
      <c r="AE175" s="2">
        <f t="shared" si="172"/>
        <v>-1.9999996704359231</v>
      </c>
      <c r="AF175" s="2">
        <f t="shared" si="172"/>
        <v>-1.6528676175863573</v>
      </c>
      <c r="AG175" s="2">
        <f t="shared" si="172"/>
        <v>-0.87102118911302195</v>
      </c>
      <c r="AH175" s="2">
        <f t="shared" si="172"/>
        <v>0.12705736597194051</v>
      </c>
      <c r="AI175" s="18">
        <f t="shared" si="5"/>
        <v>64</v>
      </c>
      <c r="AJ175" s="2">
        <f t="shared" si="6"/>
        <v>1</v>
      </c>
    </row>
    <row r="176" spans="1:36" ht="10.5" customHeight="1" x14ac:dyDescent="0.25">
      <c r="A176" s="17">
        <v>168</v>
      </c>
      <c r="B176" s="2">
        <f t="shared" si="2"/>
        <v>4.6656066302574644</v>
      </c>
      <c r="C176" s="4">
        <v>2</v>
      </c>
      <c r="D176" s="4">
        <v>22.4889447603375</v>
      </c>
      <c r="E176" s="18">
        <v>66</v>
      </c>
      <c r="F176" s="5">
        <v>1.74E-3</v>
      </c>
      <c r="G176" s="5">
        <v>0.14460000000000001</v>
      </c>
      <c r="H176" s="5">
        <v>0.18770000000000001</v>
      </c>
      <c r="I176" s="5">
        <v>2.0430000000000001</v>
      </c>
      <c r="J176" s="5">
        <v>0.69410000000000005</v>
      </c>
      <c r="K176" s="5">
        <v>0.14749999999999999</v>
      </c>
      <c r="L176" s="5">
        <v>1.1020000000000001</v>
      </c>
      <c r="M176" s="5">
        <v>0.32790000000000002</v>
      </c>
      <c r="N176" s="5">
        <v>2.2899999999999999E-3</v>
      </c>
      <c r="O176" s="5">
        <v>7.7999999999999996E-3</v>
      </c>
      <c r="P176" s="5">
        <v>1.33E-3</v>
      </c>
      <c r="Q176" s="5">
        <v>9.6829999999999998</v>
      </c>
      <c r="R176" s="5">
        <v>1.8460000000000001</v>
      </c>
      <c r="S176" s="5">
        <v>24.09</v>
      </c>
      <c r="T176" s="18">
        <f t="shared" si="3"/>
        <v>66</v>
      </c>
      <c r="U176" s="2">
        <f t="shared" ref="U176:AH176" si="173">IF(OR(F176=0,F176&lt;0.00001,F176&gt;100000),"",IF((IF(F176&gt;F$5,ABS(LOG(((F$5/SUM($F176:$S176))/(F$4/SUM($F$4:$S$4)))*4+2,2)),ABS(LOG(((F176/SUM($F176:$S176))/(F$4/SUM($F$4:$S$4)))*4+2,2)))-3)&gt;8,(IF(F176&gt;F$5,ABS(LOG(((F$5/SUM($F176:$S176))/(F$4/SUM($F$4:$S$4)))*4+2,2)),ABS(LOG(((F176/SUM($F176:$S176))/(F$4/SUM($F$4:$S$4)))*4+2,2)))-3)/7,IF(F176&gt;F$5,ABS(LOG(((F$5/SUM($F176:$S176))/(F$4/SUM($F$4:$S$4)))*4+2,2)),ABS(LOG(((F176/SUM($F176:$S176))/(F$4/SUM($F$4:$S$4)))*4+2,2)))-3))</f>
        <v>-1.5666169376889643</v>
      </c>
      <c r="V176" s="2">
        <f t="shared" si="173"/>
        <v>1.3362457496531315</v>
      </c>
      <c r="W176" s="2">
        <f t="shared" si="173"/>
        <v>3.2779296495718446</v>
      </c>
      <c r="X176" s="2">
        <f t="shared" si="173"/>
        <v>3.7122305663721438</v>
      </c>
      <c r="Y176" s="2">
        <f t="shared" si="173"/>
        <v>2.3514396834696258</v>
      </c>
      <c r="Z176" s="2">
        <f t="shared" si="173"/>
        <v>7.7725159721391677</v>
      </c>
      <c r="AA176" s="2">
        <f t="shared" si="173"/>
        <v>4.8068252708172059</v>
      </c>
      <c r="AB176" s="2">
        <f t="shared" si="173"/>
        <v>2.1998090136473429</v>
      </c>
      <c r="AC176" s="2">
        <f t="shared" si="173"/>
        <v>-1.8165026479820574</v>
      </c>
      <c r="AD176" s="2">
        <f t="shared" si="173"/>
        <v>-1.9660673077138617</v>
      </c>
      <c r="AE176" s="2">
        <f t="shared" si="173"/>
        <v>-1.999999636842515</v>
      </c>
      <c r="AF176" s="2">
        <f t="shared" si="173"/>
        <v>-0.98879647467110265</v>
      </c>
      <c r="AG176" s="2">
        <f t="shared" si="173"/>
        <v>-0.57253404189830759</v>
      </c>
      <c r="AH176" s="2">
        <f t="shared" si="173"/>
        <v>-7.8550748393573677E-2</v>
      </c>
      <c r="AI176" s="18">
        <f t="shared" si="5"/>
        <v>66</v>
      </c>
      <c r="AJ176" s="2">
        <f t="shared" si="6"/>
        <v>1</v>
      </c>
    </row>
    <row r="177" spans="1:36" ht="10.5" customHeight="1" x14ac:dyDescent="0.25">
      <c r="A177" s="17">
        <v>169</v>
      </c>
      <c r="B177" s="2">
        <f t="shared" si="2"/>
        <v>6.0334269788476043</v>
      </c>
      <c r="C177" s="4">
        <v>2</v>
      </c>
      <c r="D177" s="4">
        <v>18.305411423436599</v>
      </c>
      <c r="E177" s="18">
        <v>68</v>
      </c>
      <c r="F177" s="5">
        <v>9.7900000000000001E-2</v>
      </c>
      <c r="G177" s="5">
        <v>0.37980000000000003</v>
      </c>
      <c r="H177" s="5">
        <v>0.25969999999999999</v>
      </c>
      <c r="I177" s="5">
        <v>1.2450000000000001</v>
      </c>
      <c r="J177" s="5">
        <v>1.4690000000000001</v>
      </c>
      <c r="K177" s="5">
        <v>4.0599999999999997E-2</v>
      </c>
      <c r="L177" s="5">
        <v>1.6140000000000001</v>
      </c>
      <c r="M177" s="5">
        <v>0.68110000000000004</v>
      </c>
      <c r="N177" s="5">
        <v>13.49</v>
      </c>
      <c r="O177" s="5">
        <v>0.152</v>
      </c>
      <c r="P177" s="5">
        <v>2.9500000000000001E-4</v>
      </c>
      <c r="Q177" s="5">
        <v>21.8</v>
      </c>
      <c r="R177" s="5">
        <v>6.6600000000000006E-2</v>
      </c>
      <c r="S177" s="5">
        <v>36.9</v>
      </c>
      <c r="T177" s="18">
        <f t="shared" si="3"/>
        <v>68</v>
      </c>
      <c r="U177" s="2">
        <f t="shared" ref="U177:AH177" si="174">IF(OR(F177=0,F177&lt;0.00001,F177&gt;100000),"",IF((IF(F177&gt;F$5,ABS(LOG(((F$5/SUM($F177:$S177))/(F$4/SUM($F$4:$S$4)))*4+2,2)),ABS(LOG(((F177/SUM($F177:$S177))/(F$4/SUM($F$4:$S$4)))*4+2,2)))-3)&gt;8,(IF(F177&gt;F$5,ABS(LOG(((F$5/SUM($F177:$S177))/(F$4/SUM($F$4:$S$4)))*4+2,2)),ABS(LOG(((F177/SUM($F177:$S177))/(F$4/SUM($F$4:$S$4)))*4+2,2)))-3)/7,IF(F177&gt;F$5,ABS(LOG(((F$5/SUM($F177:$S177))/(F$4/SUM($F$4:$S$4)))*4+2,2)),ABS(LOG(((F177/SUM($F177:$S177))/(F$4/SUM($F$4:$S$4)))*4+2,2)))-3))</f>
        <v>1.4796397919703832</v>
      </c>
      <c r="V177" s="2">
        <f t="shared" si="174"/>
        <v>1.7345958785235354</v>
      </c>
      <c r="W177" s="2">
        <f t="shared" si="174"/>
        <v>2.804191567578262</v>
      </c>
      <c r="X177" s="2">
        <f t="shared" si="174"/>
        <v>2.0995456890292736</v>
      </c>
      <c r="Y177" s="2">
        <f t="shared" si="174"/>
        <v>2.4701330040105667</v>
      </c>
      <c r="Z177" s="2">
        <f t="shared" si="174"/>
        <v>4.964234395170168</v>
      </c>
      <c r="AA177" s="2">
        <f t="shared" si="174"/>
        <v>4.404461807599751</v>
      </c>
      <c r="AB177" s="2">
        <f t="shared" si="174"/>
        <v>2.2922098399425046</v>
      </c>
      <c r="AC177" s="2">
        <f t="shared" si="174"/>
        <v>6.6884737764769255</v>
      </c>
      <c r="AD177" s="2">
        <f t="shared" si="174"/>
        <v>-1.6909481086776119</v>
      </c>
      <c r="AE177" s="2">
        <f t="shared" si="174"/>
        <v>-1.9999998129366257</v>
      </c>
      <c r="AF177" s="2">
        <f t="shared" si="174"/>
        <v>-0.87715016923272193</v>
      </c>
      <c r="AG177" s="2">
        <f t="shared" si="174"/>
        <v>-1.9553934055531279</v>
      </c>
      <c r="AH177" s="2">
        <f t="shared" si="174"/>
        <v>-0.32202246615889107</v>
      </c>
      <c r="AI177" s="18">
        <f t="shared" si="5"/>
        <v>68</v>
      </c>
      <c r="AJ177" s="2">
        <f t="shared" si="6"/>
        <v>1</v>
      </c>
    </row>
    <row r="178" spans="1:36" ht="10.5" customHeight="1" x14ac:dyDescent="0.25">
      <c r="A178" s="17">
        <v>170</v>
      </c>
      <c r="B178" s="2">
        <f t="shared" si="2"/>
        <v>5.9229004514515777</v>
      </c>
      <c r="C178" s="4">
        <v>2</v>
      </c>
      <c r="D178" s="4">
        <v>20.396478751780801</v>
      </c>
      <c r="E178" s="18">
        <v>70</v>
      </c>
      <c r="F178" s="5">
        <v>8.2000000000000007E-3</v>
      </c>
      <c r="G178" s="5">
        <v>0.31290000000000001</v>
      </c>
      <c r="H178" s="5">
        <v>0.1391</v>
      </c>
      <c r="I178" s="5">
        <v>1.087</v>
      </c>
      <c r="J178" s="5">
        <v>2.6640000000000001</v>
      </c>
      <c r="K178" s="5">
        <v>0.1336</v>
      </c>
      <c r="L178" s="5">
        <v>0.6341</v>
      </c>
      <c r="M178" s="5">
        <v>0.40050000000000002</v>
      </c>
      <c r="N178" s="5">
        <v>0.99119999999999997</v>
      </c>
      <c r="O178" s="5">
        <v>4.3769999999999998</v>
      </c>
      <c r="P178" s="5">
        <v>8.2200000000000003E-4</v>
      </c>
      <c r="Q178" s="5">
        <v>22.48</v>
      </c>
      <c r="R178" s="5">
        <v>0.20619999999999999</v>
      </c>
      <c r="S178" s="5">
        <v>28.43</v>
      </c>
      <c r="T178" s="18">
        <f t="shared" si="3"/>
        <v>70</v>
      </c>
      <c r="U178" s="2">
        <f t="shared" ref="U178:AH178" si="175">IF(OR(F178=0,F178&lt;0.00001,F178&gt;100000),"",IF((IF(F178&gt;F$5,ABS(LOG(((F$5/SUM($F178:$S178))/(F$4/SUM($F$4:$S$4)))*4+2,2)),ABS(LOG(((F178/SUM($F178:$S178))/(F$4/SUM($F$4:$S$4)))*4+2,2)))-3)&gt;8,(IF(F178&gt;F$5,ABS(LOG(((F$5/SUM($F178:$S178))/(F$4/SUM($F$4:$S$4)))*4+2,2)),ABS(LOG(((F178/SUM($F178:$S178))/(F$4/SUM($F$4:$S$4)))*4+2,2)))-3)/7,IF(F178&gt;F$5,ABS(LOG(((F$5/SUM($F178:$S178))/(F$4/SUM($F$4:$S$4)))*4+2,2)),ABS(LOG(((F178/SUM($F178:$S178))/(F$4/SUM($F$4:$S$4)))*4+2,2)))-3))</f>
        <v>-0.94679955561325668</v>
      </c>
      <c r="V178" s="2">
        <f t="shared" si="175"/>
        <v>1.7887286887972174</v>
      </c>
      <c r="W178" s="2">
        <f t="shared" si="175"/>
        <v>2.2658752841385521</v>
      </c>
      <c r="X178" s="2">
        <f t="shared" si="175"/>
        <v>2.2338117543547931</v>
      </c>
      <c r="Y178" s="2">
        <f t="shared" si="175"/>
        <v>3.6297028447944282</v>
      </c>
      <c r="Z178" s="2">
        <f t="shared" si="175"/>
        <v>7.0117799455377359</v>
      </c>
      <c r="AA178" s="2">
        <f t="shared" si="175"/>
        <v>3.4117461117662744</v>
      </c>
      <c r="AB178" s="2">
        <f t="shared" si="175"/>
        <v>1.889341168822634</v>
      </c>
      <c r="AC178" s="2">
        <f t="shared" si="175"/>
        <v>3.2936409069656793</v>
      </c>
      <c r="AD178" s="2">
        <f t="shared" si="175"/>
        <v>1.2772689393250527</v>
      </c>
      <c r="AE178" s="2">
        <f t="shared" si="175"/>
        <v>-1.9999997635545812</v>
      </c>
      <c r="AF178" s="2">
        <f t="shared" si="175"/>
        <v>-0.65794769994219271</v>
      </c>
      <c r="AG178" s="2">
        <f t="shared" si="175"/>
        <v>-1.8327849124319788</v>
      </c>
      <c r="AH178" s="2">
        <f t="shared" si="175"/>
        <v>-0.348193319961148</v>
      </c>
      <c r="AI178" s="18">
        <f t="shared" si="5"/>
        <v>70</v>
      </c>
      <c r="AJ178" s="2">
        <f t="shared" si="6"/>
        <v>1</v>
      </c>
    </row>
    <row r="179" spans="1:36" ht="10.5" customHeight="1" x14ac:dyDescent="0.25">
      <c r="A179" s="17">
        <v>171</v>
      </c>
      <c r="B179" s="2">
        <f t="shared" si="2"/>
        <v>7.9107485713850565</v>
      </c>
      <c r="C179" s="4">
        <v>2</v>
      </c>
      <c r="D179" s="4">
        <v>21.518523768031301</v>
      </c>
      <c r="E179" s="18">
        <v>72</v>
      </c>
      <c r="F179" s="5">
        <v>7.0099999999999996E-2</v>
      </c>
      <c r="G179" s="5">
        <v>0.79330000000000001</v>
      </c>
      <c r="H179" s="5">
        <v>0.19670000000000001</v>
      </c>
      <c r="I179" s="5">
        <v>1.24</v>
      </c>
      <c r="J179" s="5">
        <v>4.6079999999999997</v>
      </c>
      <c r="K179" s="5">
        <v>6.1100000000000002E-2</v>
      </c>
      <c r="L179" s="5">
        <v>1.3660000000000001</v>
      </c>
      <c r="M179" s="5">
        <v>0.70530000000000004</v>
      </c>
      <c r="N179" s="5">
        <v>0.9163</v>
      </c>
      <c r="O179" s="5">
        <v>2.4870000000000001</v>
      </c>
      <c r="P179" s="5">
        <v>8.2100000000000001E-4</v>
      </c>
      <c r="Q179" s="5">
        <v>5.0170000000000003</v>
      </c>
      <c r="R179" s="5">
        <v>0.2462</v>
      </c>
      <c r="S179" s="5">
        <v>21.49</v>
      </c>
      <c r="T179" s="18">
        <f t="shared" si="3"/>
        <v>72</v>
      </c>
      <c r="U179" s="2">
        <f t="shared" ref="U179:AH179" si="176">IF(OR(F179=0,F179&lt;0.00001,F179&gt;100000),"",IF((IF(F179&gt;F$5,ABS(LOG(((F$5/SUM($F179:$S179))/(F$4/SUM($F$4:$S$4)))*4+2,2)),ABS(LOG(((F179/SUM($F179:$S179))/(F$4/SUM($F$4:$S$4)))*4+2,2)))-3)&gt;8,(IF(F179&gt;F$5,ABS(LOG(((F$5/SUM($F179:$S179))/(F$4/SUM($F$4:$S$4)))*4+2,2)),ABS(LOG(((F179/SUM($F179:$S179))/(F$4/SUM($F$4:$S$4)))*4+2,2)))-3)/7,IF(F179&gt;F$5,ABS(LOG(((F$5/SUM($F179:$S179))/(F$4/SUM($F$4:$S$4)))*4+2,2)),ABS(LOG(((F179/SUM($F179:$S179))/(F$4/SUM($F$4:$S$4)))*4+2,2)))-3))</f>
        <v>1.9547458714873018</v>
      </c>
      <c r="V179" s="2">
        <f t="shared" si="176"/>
        <v>3.7087290590320139</v>
      </c>
      <c r="W179" s="2">
        <f t="shared" si="176"/>
        <v>3.3820947171532438</v>
      </c>
      <c r="X179" s="2">
        <f t="shared" si="176"/>
        <v>3.0476430243057333</v>
      </c>
      <c r="Y179" s="2">
        <f t="shared" si="176"/>
        <v>5.0600065911021765</v>
      </c>
      <c r="Z179" s="2">
        <f t="shared" si="176"/>
        <v>6.5425222078137235</v>
      </c>
      <c r="AA179" s="2">
        <f t="shared" si="176"/>
        <v>5.153139415179723</v>
      </c>
      <c r="AB179" s="2">
        <f t="shared" si="176"/>
        <v>3.3004017990146561</v>
      </c>
      <c r="AC179" s="2">
        <f t="shared" si="176"/>
        <v>3.827007724179424</v>
      </c>
      <c r="AD179" s="2">
        <f t="shared" si="176"/>
        <v>1.1371033013791951</v>
      </c>
      <c r="AE179" s="2">
        <f t="shared" si="176"/>
        <v>-1.9999996268260485</v>
      </c>
      <c r="AF179" s="2">
        <f t="shared" si="176"/>
        <v>-1.3763984891102243</v>
      </c>
      <c r="AG179" s="2">
        <f t="shared" si="176"/>
        <v>-1.6994951875723601</v>
      </c>
      <c r="AH179" s="2">
        <f t="shared" si="176"/>
        <v>-0.16985655631507734</v>
      </c>
      <c r="AI179" s="18">
        <f t="shared" si="5"/>
        <v>72</v>
      </c>
      <c r="AJ179" s="2">
        <f t="shared" si="6"/>
        <v>1</v>
      </c>
    </row>
    <row r="180" spans="1:36" ht="10.5" customHeight="1" x14ac:dyDescent="0.25">
      <c r="A180" s="17">
        <v>172</v>
      </c>
      <c r="B180" s="2">
        <f t="shared" si="2"/>
        <v>5.7344360435618169</v>
      </c>
      <c r="C180" s="4">
        <v>2</v>
      </c>
      <c r="D180" s="4">
        <v>21.38075014743</v>
      </c>
      <c r="E180" s="18">
        <v>74</v>
      </c>
      <c r="F180" s="5">
        <v>1.6549999999999999E-2</v>
      </c>
      <c r="G180" s="5">
        <v>0.21584999999999999</v>
      </c>
      <c r="H180" s="5">
        <v>0.28184999999999999</v>
      </c>
      <c r="I180" s="5">
        <v>1.6459999999999999</v>
      </c>
      <c r="J180" s="5">
        <v>0.35360000000000003</v>
      </c>
      <c r="K180" s="5">
        <v>7.0400000000000004E-2</v>
      </c>
      <c r="L180" s="5">
        <v>1.2192499999999999</v>
      </c>
      <c r="M180" s="5">
        <v>0.33784999999999998</v>
      </c>
      <c r="N180" s="5">
        <v>7.9399999999999998E-2</v>
      </c>
      <c r="O180" s="5">
        <v>9.5950000000000008E-2</v>
      </c>
      <c r="P180" s="5">
        <v>1.109E-3</v>
      </c>
      <c r="Q180" s="5">
        <v>13.19</v>
      </c>
      <c r="R180" s="5">
        <v>0.54095000000000004</v>
      </c>
      <c r="S180" s="5">
        <v>18.600000000000001</v>
      </c>
      <c r="T180" s="18">
        <f t="shared" si="3"/>
        <v>74</v>
      </c>
      <c r="U180" s="2">
        <f t="shared" ref="U180:AH180" si="177">IF(OR(F180=0,F180&lt;0.00001,F180&gt;100000),"",IF((IF(F180&gt;F$5,ABS(LOG(((F$5/SUM($F180:$S180))/(F$4/SUM($F$4:$S$4)))*4+2,2)),ABS(LOG(((F180/SUM($F180:$S180))/(F$4/SUM($F$4:$S$4)))*4+2,2)))-3)&gt;8,(IF(F180&gt;F$5,ABS(LOG(((F$5/SUM($F180:$S180))/(F$4/SUM($F$4:$S$4)))*4+2,2)),ABS(LOG(((F180/SUM($F180:$S180))/(F$4/SUM($F$4:$S$4)))*4+2,2)))-3)/7,IF(F180&gt;F$5,ABS(LOG(((F$5/SUM($F180:$S180))/(F$4/SUM($F$4:$S$4)))*4+2,2)),ABS(LOG(((F180/SUM($F180:$S180))/(F$4/SUM($F$4:$S$4)))*4+2,2)))-3))</f>
        <v>0.22123378855879849</v>
      </c>
      <c r="V180" s="2">
        <f t="shared" si="177"/>
        <v>1.9935863920870496</v>
      </c>
      <c r="W180" s="2">
        <f t="shared" si="177"/>
        <v>3.9859627726596241</v>
      </c>
      <c r="X180" s="2">
        <f t="shared" si="177"/>
        <v>3.5403222526240006</v>
      </c>
      <c r="Y180" s="2">
        <f t="shared" si="177"/>
        <v>1.5691862565195054</v>
      </c>
      <c r="Z180" s="2">
        <f t="shared" si="177"/>
        <v>6.8432046785736045</v>
      </c>
      <c r="AA180" s="2">
        <f t="shared" si="177"/>
        <v>5.0866664231715149</v>
      </c>
      <c r="AB180" s="2">
        <f t="shared" si="177"/>
        <v>2.3699894942012492</v>
      </c>
      <c r="AC180" s="2">
        <f t="shared" si="177"/>
        <v>0.62493792104201384</v>
      </c>
      <c r="AD180" s="2">
        <f t="shared" si="177"/>
        <v>-1.5975409971181882</v>
      </c>
      <c r="AE180" s="2">
        <f t="shared" si="177"/>
        <v>-1.9999996008703695</v>
      </c>
      <c r="AF180" s="2">
        <f t="shared" si="177"/>
        <v>-0.66631685825072218</v>
      </c>
      <c r="AG180" s="2">
        <f t="shared" si="177"/>
        <v>-1.3731340780830614</v>
      </c>
      <c r="AH180" s="2">
        <f t="shared" si="177"/>
        <v>-0.2490151813860022</v>
      </c>
      <c r="AI180" s="18">
        <f t="shared" si="5"/>
        <v>74</v>
      </c>
      <c r="AJ180" s="2">
        <f t="shared" si="6"/>
        <v>1</v>
      </c>
    </row>
    <row r="181" spans="1:36" ht="10.5" customHeight="1" x14ac:dyDescent="0.25">
      <c r="A181" s="17">
        <v>173</v>
      </c>
      <c r="B181" s="2">
        <f t="shared" si="2"/>
        <v>6.6567953482984334</v>
      </c>
      <c r="C181" s="4">
        <v>2</v>
      </c>
      <c r="D181" s="4">
        <v>20.368462576490501</v>
      </c>
      <c r="E181" s="18">
        <v>76</v>
      </c>
      <c r="F181" s="5">
        <v>0.1726</v>
      </c>
      <c r="G181" s="5">
        <v>0.2447</v>
      </c>
      <c r="H181" s="5">
        <v>0.1186</v>
      </c>
      <c r="I181" s="5">
        <v>0.83050000000000002</v>
      </c>
      <c r="J181" s="5">
        <v>0.437</v>
      </c>
      <c r="K181" s="5">
        <v>0.1888</v>
      </c>
      <c r="L181" s="5">
        <v>0.67779999999999996</v>
      </c>
      <c r="M181" s="5">
        <v>0.61850000000000005</v>
      </c>
      <c r="N181" s="5">
        <v>0.44919999999999999</v>
      </c>
      <c r="O181" s="5">
        <v>0.48120000000000002</v>
      </c>
      <c r="P181" s="5">
        <v>2.7799999999999999E-3</v>
      </c>
      <c r="Q181" s="5">
        <v>20.77</v>
      </c>
      <c r="R181" s="5">
        <v>0.35599999999999998</v>
      </c>
      <c r="S181" s="5">
        <v>49.1</v>
      </c>
      <c r="T181" s="18">
        <f t="shared" si="3"/>
        <v>76</v>
      </c>
      <c r="U181" s="2">
        <f t="shared" ref="U181:AH181" si="178">IF(OR(F181=0,F181&lt;0.00001,F181&gt;100000),"",IF((IF(F181&gt;F$5,ABS(LOG(((F$5/SUM($F181:$S181))/(F$4/SUM($F$4:$S$4)))*4+2,2)),ABS(LOG(((F181/SUM($F181:$S181))/(F$4/SUM($F$4:$S$4)))*4+2,2)))-3)&gt;8,(IF(F181&gt;F$5,ABS(LOG(((F$5/SUM($F181:$S181))/(F$4/SUM($F$4:$S$4)))*4+2,2)),ABS(LOG(((F181/SUM($F181:$S181))/(F$4/SUM($F$4:$S$4)))*4+2,2)))-3)/7,IF(F181&gt;F$5,ABS(LOG(((F$5/SUM($F181:$S181))/(F$4/SUM($F$4:$S$4)))*4+2,2)),ABS(LOG(((F181/SUM($F181:$S181))/(F$4/SUM($F$4:$S$4)))*4+2,2)))-3))</f>
        <v>2.3078086809527205</v>
      </c>
      <c r="V181" s="2">
        <f t="shared" si="178"/>
        <v>1.2221041868726692</v>
      </c>
      <c r="W181" s="2">
        <f t="shared" si="178"/>
        <v>1.799271557363463</v>
      </c>
      <c r="X181" s="2">
        <f t="shared" si="178"/>
        <v>1.6218340212979037</v>
      </c>
      <c r="Y181" s="2">
        <f t="shared" si="178"/>
        <v>0.92843045220074449</v>
      </c>
      <c r="Z181" s="2">
        <f t="shared" si="178"/>
        <v>7.2431914967544682</v>
      </c>
      <c r="AA181" s="2">
        <f t="shared" si="178"/>
        <v>3.2450405570002925</v>
      </c>
      <c r="AB181" s="2">
        <f t="shared" si="178"/>
        <v>2.2275461402961794</v>
      </c>
      <c r="AC181" s="2">
        <f t="shared" si="178"/>
        <v>1.9443487865950226</v>
      </c>
      <c r="AD181" s="2">
        <f t="shared" si="178"/>
        <v>-1.1565278428671824</v>
      </c>
      <c r="AE181" s="2">
        <f t="shared" si="178"/>
        <v>-1.9999998035183011</v>
      </c>
      <c r="AF181" s="2">
        <f t="shared" si="178"/>
        <v>-0.87658713802868071</v>
      </c>
      <c r="AG181" s="2">
        <f t="shared" si="178"/>
        <v>-1.7657376852624929</v>
      </c>
      <c r="AH181" s="2">
        <f t="shared" si="178"/>
        <v>2.661132205176342E-2</v>
      </c>
      <c r="AI181" s="18">
        <f t="shared" si="5"/>
        <v>76</v>
      </c>
      <c r="AJ181" s="2">
        <f t="shared" si="6"/>
        <v>1</v>
      </c>
    </row>
    <row r="182" spans="1:36" ht="10.5" customHeight="1" x14ac:dyDescent="0.25">
      <c r="A182" s="17">
        <v>174</v>
      </c>
      <c r="B182" s="2">
        <f t="shared" si="2"/>
        <v>6.024573247344323</v>
      </c>
      <c r="C182" s="4">
        <v>2</v>
      </c>
      <c r="D182" s="4">
        <v>22.446949100930802</v>
      </c>
      <c r="E182" s="18">
        <v>78</v>
      </c>
      <c r="F182" s="5">
        <v>2.1499999999999998E-2</v>
      </c>
      <c r="G182" s="5">
        <v>0.215</v>
      </c>
      <c r="H182" s="5">
        <v>0.25</v>
      </c>
      <c r="I182" s="5">
        <v>2.2360000000000002</v>
      </c>
      <c r="J182" s="5">
        <v>0.51290000000000002</v>
      </c>
      <c r="K182" s="5">
        <v>0.1694</v>
      </c>
      <c r="L182" s="5">
        <v>0.60760000000000003</v>
      </c>
      <c r="M182" s="5">
        <v>0.25559999999999999</v>
      </c>
      <c r="N182" s="5">
        <v>7.7800000000000005E-4</v>
      </c>
      <c r="O182" s="5">
        <v>6.8599999999999998E-3</v>
      </c>
      <c r="P182" s="5">
        <v>1.5299999999999999E-3</v>
      </c>
      <c r="Q182" s="5">
        <v>0.61170000000000002</v>
      </c>
      <c r="R182" s="5">
        <v>0.51959999999999995</v>
      </c>
      <c r="S182" s="5">
        <v>5.3010000000000002</v>
      </c>
      <c r="T182" s="18">
        <f t="shared" si="3"/>
        <v>78</v>
      </c>
      <c r="U182" s="2">
        <f t="shared" ref="U182:AH182" si="179">IF(OR(F182=0,F182&lt;0.00001,F182&gt;100000),"",IF((IF(F182&gt;F$5,ABS(LOG(((F$5/SUM($F182:$S182))/(F$4/SUM($F$4:$S$4)))*4+2,2)),ABS(LOG(((F182/SUM($F182:$S182))/(F$4/SUM($F$4:$S$4)))*4+2,2)))-3)&gt;8,(IF(F182&gt;F$5,ABS(LOG(((F$5/SUM($F182:$S182))/(F$4/SUM($F$4:$S$4)))*4+2,2)),ABS(LOG(((F182/SUM($F182:$S182))/(F$4/SUM($F$4:$S$4)))*4+2,2)))-3)/7,IF(F182&gt;F$5,ABS(LOG(((F$5/SUM($F182:$S182))/(F$4/SUM($F$4:$S$4)))*4+2,2)),ABS(LOG(((F182/SUM($F182:$S182))/(F$4/SUM($F$4:$S$4)))*4+2,2)))-3))</f>
        <v>2.1113596588673245</v>
      </c>
      <c r="V182" s="2">
        <f t="shared" si="179"/>
        <v>3.6973093214573778</v>
      </c>
      <c r="W182" s="2">
        <f t="shared" si="179"/>
        <v>5.5724960634889236</v>
      </c>
      <c r="X182" s="2">
        <f t="shared" si="179"/>
        <v>5.7326160734635909</v>
      </c>
      <c r="Y182" s="2">
        <f t="shared" si="179"/>
        <v>3.7801441387369952</v>
      </c>
      <c r="Z182" s="2">
        <f t="shared" si="179"/>
        <v>1.4117294746941449</v>
      </c>
      <c r="AA182" s="2">
        <f t="shared" si="179"/>
        <v>5.8523470033277842</v>
      </c>
      <c r="AB182" s="2">
        <f t="shared" si="179"/>
        <v>3.6989017096332395</v>
      </c>
      <c r="AC182" s="2">
        <f t="shared" si="179"/>
        <v>-1.7694167870808899</v>
      </c>
      <c r="AD182" s="2">
        <f t="shared" si="179"/>
        <v>-1.8906756962481728</v>
      </c>
      <c r="AE182" s="2">
        <f t="shared" si="179"/>
        <v>-1.9999986341431033</v>
      </c>
      <c r="AF182" s="2">
        <f t="shared" si="179"/>
        <v>-1.6881476629806125</v>
      </c>
      <c r="AG182" s="2">
        <f t="shared" si="179"/>
        <v>-0.5203437448475281</v>
      </c>
      <c r="AH182" s="2">
        <f t="shared" si="179"/>
        <v>-0.27428735019037109</v>
      </c>
      <c r="AI182" s="18">
        <f t="shared" si="5"/>
        <v>78</v>
      </c>
      <c r="AJ182" s="2">
        <f t="shared" si="6"/>
        <v>1</v>
      </c>
    </row>
    <row r="183" spans="1:36" ht="10.5" customHeight="1" x14ac:dyDescent="0.25">
      <c r="A183" s="17">
        <v>175</v>
      </c>
      <c r="B183" s="2">
        <f t="shared" si="2"/>
        <v>0.14363359254169211</v>
      </c>
      <c r="C183" s="4">
        <v>2</v>
      </c>
      <c r="D183" s="4">
        <v>19.577721506643499</v>
      </c>
      <c r="E183" s="18">
        <v>80</v>
      </c>
      <c r="F183" s="5">
        <v>0.24429999999999999</v>
      </c>
      <c r="G183" s="5">
        <v>0.59440000000000004</v>
      </c>
      <c r="H183" s="5">
        <v>0.21659999999999999</v>
      </c>
      <c r="I183" s="5">
        <v>0.89190000000000003</v>
      </c>
      <c r="J183" s="5">
        <v>5.3199999999999997E-2</v>
      </c>
      <c r="K183" s="5">
        <v>0.14369999999999999</v>
      </c>
      <c r="L183" s="5">
        <v>2.5819999999999999</v>
      </c>
      <c r="M183" s="5">
        <v>0.70399999999999996</v>
      </c>
      <c r="N183" s="5">
        <v>1.7799999999999999E-3</v>
      </c>
      <c r="O183" s="5">
        <v>2.15E-3</v>
      </c>
      <c r="P183" s="5">
        <v>1.17E-3</v>
      </c>
      <c r="Q183" s="5">
        <v>91.18</v>
      </c>
      <c r="R183" s="5">
        <v>0.1502</v>
      </c>
      <c r="S183" s="5">
        <v>125.1</v>
      </c>
      <c r="T183" s="18">
        <f t="shared" si="3"/>
        <v>80</v>
      </c>
      <c r="U183" s="2">
        <f t="shared" ref="U183:AH183" si="180">IF(OR(F183=0,F183&lt;0.00001,F183&gt;100000),"",IF((IF(F183&gt;F$5,ABS(LOG(((F$5/SUM($F183:$S183))/(F$4/SUM($F$4:$S$4)))*4+2,2)),ABS(LOG(((F183/SUM($F183:$S183))/(F$4/SUM($F$4:$S$4)))*4+2,2)))-3)&gt;8,(IF(F183&gt;F$5,ABS(LOG(((F$5/SUM($F183:$S183))/(F$4/SUM($F$4:$S$4)))*4+2,2)),ABS(LOG(((F183/SUM($F183:$S183))/(F$4/SUM($F$4:$S$4)))*4+2,2)))-3)/7,IF(F183&gt;F$5,ABS(LOG(((F$5/SUM($F183:$S183))/(F$4/SUM($F$4:$S$4)))*4+2,2)),ABS(LOG(((F183/SUM($F183:$S183))/(F$4/SUM($F$4:$S$4)))*4+2,2)))-3))</f>
        <v>1.3120063618840883</v>
      </c>
      <c r="V183" s="2">
        <f t="shared" si="180"/>
        <v>0.96179190525650871</v>
      </c>
      <c r="W183" s="2">
        <f t="shared" si="180"/>
        <v>1.1568444500943542</v>
      </c>
      <c r="X183" s="2">
        <f t="shared" si="180"/>
        <v>0.34366852439692241</v>
      </c>
      <c r="Y183" s="2">
        <f t="shared" si="180"/>
        <v>-1.6550199550269129</v>
      </c>
      <c r="Z183" s="2">
        <f t="shared" si="180"/>
        <v>5.2809309768078592</v>
      </c>
      <c r="AA183" s="2">
        <f t="shared" si="180"/>
        <v>3.5909072916769134</v>
      </c>
      <c r="AB183" s="2">
        <f t="shared" si="180"/>
        <v>0.95849223765205016</v>
      </c>
      <c r="AC183" s="2">
        <f t="shared" si="180"/>
        <v>-1.9726478554037079</v>
      </c>
      <c r="AD183" s="2">
        <f t="shared" si="180"/>
        <v>-1.9982828439996583</v>
      </c>
      <c r="AE183" s="2">
        <f t="shared" si="180"/>
        <v>-1.9999999340699033</v>
      </c>
      <c r="AF183" s="2">
        <f t="shared" si="180"/>
        <v>-0.54783099482721731</v>
      </c>
      <c r="AG183" s="2">
        <f t="shared" si="180"/>
        <v>-1.9644322425984084</v>
      </c>
      <c r="AH183" s="2">
        <f t="shared" si="180"/>
        <v>-0.14062853026897937</v>
      </c>
      <c r="AI183" s="18">
        <f t="shared" si="5"/>
        <v>80</v>
      </c>
      <c r="AJ183" s="2">
        <f t="shared" si="6"/>
        <v>1</v>
      </c>
    </row>
    <row r="184" spans="1:36" ht="10.5" customHeight="1" x14ac:dyDescent="0.25">
      <c r="A184" s="17">
        <v>176</v>
      </c>
      <c r="B184" s="2">
        <f t="shared" si="2"/>
        <v>8.4232082970666919</v>
      </c>
      <c r="C184" s="4">
        <v>2</v>
      </c>
      <c r="D184" s="4">
        <v>19.821734598071401</v>
      </c>
      <c r="E184" s="18">
        <v>82</v>
      </c>
      <c r="F184" s="5">
        <v>7.2200000000000007E-3</v>
      </c>
      <c r="G184" s="5">
        <v>0.94989999999999997</v>
      </c>
      <c r="H184" s="5">
        <v>0.59299999999999997</v>
      </c>
      <c r="I184" s="5">
        <v>2.2629999999999999</v>
      </c>
      <c r="J184" s="5">
        <v>1.9335</v>
      </c>
      <c r="K184" s="5">
        <v>9.3849999999999989E-2</v>
      </c>
      <c r="L184" s="5">
        <v>6.2029999999999994</v>
      </c>
      <c r="M184" s="5">
        <v>0.78549999999999998</v>
      </c>
      <c r="N184" s="5">
        <v>0.40239999999999998</v>
      </c>
      <c r="O184" s="5">
        <v>0.30805000000000005</v>
      </c>
      <c r="P184" s="5">
        <v>0.42496149999999994</v>
      </c>
      <c r="Q184" s="5">
        <v>0.17554999999999998</v>
      </c>
      <c r="R184" s="5">
        <v>0.1144</v>
      </c>
      <c r="S184" s="5">
        <v>18.495000000000001</v>
      </c>
      <c r="T184" s="18">
        <f t="shared" si="3"/>
        <v>82</v>
      </c>
      <c r="U184" s="2">
        <f t="shared" ref="U184:AH184" si="181">IF(OR(F184=0,F184&lt;0.00001,F184&gt;100000),"",IF((IF(F184&gt;F$5,ABS(LOG(((F$5/SUM($F184:$S184))/(F$4/SUM($F$4:$S$4)))*4+2,2)),ABS(LOG(((F184/SUM($F184:$S184))/(F$4/SUM($F$4:$S$4)))*4+2,2)))-3)&gt;8,(IF(F184&gt;F$5,ABS(LOG(((F$5/SUM($F184:$S184))/(F$4/SUM($F$4:$S$4)))*4+2,2)),ABS(LOG(((F184/SUM($F184:$S184))/(F$4/SUM($F$4:$S$4)))*4+2,2)))-3)/7,IF(F184&gt;F$5,ABS(LOG(((F$5/SUM($F184:$S184))/(F$4/SUM($F$4:$S$4)))*4+2,2)),ABS(LOG(((F184/SUM($F184:$S184))/(F$4/SUM($F$4:$S$4)))*4+2,2)))-3))</f>
        <v>-0.52065014385556463</v>
      </c>
      <c r="V184" s="2">
        <f t="shared" si="181"/>
        <v>4.2195843561106576</v>
      </c>
      <c r="W184" s="2">
        <f t="shared" si="181"/>
        <v>5.2082116756796815</v>
      </c>
      <c r="X184" s="2">
        <f t="shared" si="181"/>
        <v>4.1510009772753262</v>
      </c>
      <c r="Y184" s="2">
        <f t="shared" si="181"/>
        <v>4.0770654569262712</v>
      </c>
      <c r="Z184" s="2">
        <f t="shared" si="181"/>
        <v>7.4192488962692575</v>
      </c>
      <c r="AA184" s="2">
        <f t="shared" si="181"/>
        <v>7.5871611881791274</v>
      </c>
      <c r="AB184" s="2">
        <f t="shared" si="181"/>
        <v>3.7059092931604383</v>
      </c>
      <c r="AC184" s="2">
        <f t="shared" si="181"/>
        <v>2.9218811123585491</v>
      </c>
      <c r="AD184" s="2">
        <f t="shared" si="181"/>
        <v>-0.89163257120347916</v>
      </c>
      <c r="AE184" s="2">
        <f t="shared" si="181"/>
        <v>-1.9999995533464436</v>
      </c>
      <c r="AF184" s="2">
        <f t="shared" si="181"/>
        <v>-1.9676935839671343</v>
      </c>
      <c r="AG184" s="2">
        <f t="shared" si="181"/>
        <v>-1.8252200405793659</v>
      </c>
      <c r="AH184" s="2">
        <f t="shared" si="181"/>
        <v>-0.13898178492451585</v>
      </c>
      <c r="AI184" s="18">
        <f t="shared" si="5"/>
        <v>82</v>
      </c>
      <c r="AJ184" s="2">
        <f t="shared" si="6"/>
        <v>1</v>
      </c>
    </row>
    <row r="185" spans="1:36" ht="10.5" customHeight="1" x14ac:dyDescent="0.25">
      <c r="A185" s="17">
        <v>177</v>
      </c>
      <c r="B185" s="2">
        <f t="shared" si="2"/>
        <v>6.3319400788484179</v>
      </c>
      <c r="C185" s="4">
        <v>2</v>
      </c>
      <c r="D185" s="4">
        <v>19.8117692482084</v>
      </c>
      <c r="E185" s="18">
        <v>84</v>
      </c>
      <c r="F185" s="5">
        <v>2.2249999999999999E-2</v>
      </c>
      <c r="G185" s="5">
        <v>0.54844999999999999</v>
      </c>
      <c r="H185" s="5">
        <v>0.23735000000000001</v>
      </c>
      <c r="I185" s="5">
        <v>1.5009999999999999</v>
      </c>
      <c r="J185" s="5">
        <v>0.48294999999999999</v>
      </c>
      <c r="K185" s="5">
        <v>0.14445</v>
      </c>
      <c r="L185" s="5">
        <v>2.4909999999999997</v>
      </c>
      <c r="M185" s="5">
        <v>0.95025000000000004</v>
      </c>
      <c r="N185" s="5">
        <v>3.786</v>
      </c>
      <c r="O185" s="5">
        <v>1.5790000000000002</v>
      </c>
      <c r="P185" s="5">
        <v>1.3720000000000001E-2</v>
      </c>
      <c r="Q185" s="5">
        <v>15.504999999999999</v>
      </c>
      <c r="R185" s="5">
        <v>0.20585000000000001</v>
      </c>
      <c r="S185" s="5">
        <v>45.145000000000003</v>
      </c>
      <c r="T185" s="18">
        <f t="shared" si="3"/>
        <v>84</v>
      </c>
      <c r="U185" s="2">
        <f t="shared" ref="U185:AH185" si="182">IF(OR(F185=0,F185&lt;0.00001,F185&gt;100000),"",IF((IF(F185&gt;F$5,ABS(LOG(((F$5/SUM($F185:$S185))/(F$4/SUM($F$4:$S$4)))*4+2,2)),ABS(LOG(((F185/SUM($F185:$S185))/(F$4/SUM($F$4:$S$4)))*4+2,2)))-3)&gt;8,(IF(F185&gt;F$5,ABS(LOG(((F$5/SUM($F185:$S185))/(F$4/SUM($F$4:$S$4)))*4+2,2)),ABS(LOG(((F185/SUM($F185:$S185))/(F$4/SUM($F$4:$S$4)))*4+2,2)))-3)/7,IF(F185&gt;F$5,ABS(LOG(((F$5/SUM($F185:$S185))/(F$4/SUM($F$4:$S$4)))*4+2,2)),ABS(LOG(((F185/SUM($F185:$S185))/(F$4/SUM($F$4:$S$4)))*4+2,2)))-3))</f>
        <v>-0.19864625238306965</v>
      </c>
      <c r="V185" s="2">
        <f t="shared" si="182"/>
        <v>2.3323828246717246</v>
      </c>
      <c r="W185" s="2">
        <f t="shared" si="182"/>
        <v>2.7820706886679156</v>
      </c>
      <c r="X185" s="2">
        <f t="shared" si="182"/>
        <v>2.4567369148924154</v>
      </c>
      <c r="Y185" s="2">
        <f t="shared" si="182"/>
        <v>1.0862527920398426</v>
      </c>
      <c r="Z185" s="2">
        <f t="shared" si="182"/>
        <v>6.8935705366127085</v>
      </c>
      <c r="AA185" s="2">
        <f t="shared" si="182"/>
        <v>5.1306275943382627</v>
      </c>
      <c r="AB185" s="2">
        <f t="shared" si="182"/>
        <v>2.854693525231851</v>
      </c>
      <c r="AC185" s="2">
        <f t="shared" si="182"/>
        <v>4.9702618829365566</v>
      </c>
      <c r="AD185" s="2">
        <f t="shared" si="182"/>
        <v>-0.12323940044419102</v>
      </c>
      <c r="AE185" s="2">
        <f t="shared" si="182"/>
        <v>-1.9999997985518616</v>
      </c>
      <c r="AF185" s="2">
        <f t="shared" si="182"/>
        <v>-1.072415417970928</v>
      </c>
      <c r="AG185" s="2">
        <f t="shared" si="182"/>
        <v>-1.8565780915986789</v>
      </c>
      <c r="AH185" s="2">
        <f t="shared" si="182"/>
        <v>-3.7165230243988656E-2</v>
      </c>
      <c r="AI185" s="18">
        <f t="shared" si="5"/>
        <v>84</v>
      </c>
      <c r="AJ185" s="2">
        <f t="shared" si="6"/>
        <v>1</v>
      </c>
    </row>
    <row r="186" spans="1:36" ht="10.5" customHeight="1" x14ac:dyDescent="0.25">
      <c r="A186" s="17">
        <v>178</v>
      </c>
      <c r="B186" s="2">
        <f t="shared" si="2"/>
        <v>7.0477767287522415</v>
      </c>
      <c r="C186" s="4">
        <v>2</v>
      </c>
      <c r="D186" s="4">
        <v>22.1110778754969</v>
      </c>
      <c r="E186" s="18">
        <v>86</v>
      </c>
      <c r="F186" s="5">
        <v>0.13070000000000001</v>
      </c>
      <c r="G186" s="5">
        <v>0.65484999999999993</v>
      </c>
      <c r="H186" s="5">
        <v>2.6768999999999998</v>
      </c>
      <c r="I186" s="5">
        <v>2.4660000000000002</v>
      </c>
      <c r="J186" s="5">
        <v>12.11</v>
      </c>
      <c r="K186" s="5">
        <v>0.30894999999999995</v>
      </c>
      <c r="L186" s="5">
        <v>3.7</v>
      </c>
      <c r="M186" s="5">
        <v>0.64029999999999998</v>
      </c>
      <c r="N186" s="5">
        <v>1.5790000000000002</v>
      </c>
      <c r="O186" s="5">
        <v>3.6644999999999999</v>
      </c>
      <c r="P186" s="5">
        <v>0.26588250000000002</v>
      </c>
      <c r="Q186" s="5">
        <v>18.93</v>
      </c>
      <c r="R186" s="5">
        <v>0.14385000000000001</v>
      </c>
      <c r="S186" s="5">
        <v>23.17</v>
      </c>
      <c r="T186" s="18">
        <f t="shared" si="3"/>
        <v>86</v>
      </c>
      <c r="U186" s="2">
        <f t="shared" ref="U186:AH186" si="183">IF(OR(F186=0,F186&lt;0.00001,F186&gt;100000),"",IF((IF(F186&gt;F$5,ABS(LOG(((F$5/SUM($F186:$S186))/(F$4/SUM($F$4:$S$4)))*4+2,2)),ABS(LOG(((F186/SUM($F186:$S186))/(F$4/SUM($F$4:$S$4)))*4+2,2)))-3)&gt;8,(IF(F186&gt;F$5,ABS(LOG(((F$5/SUM($F186:$S186))/(F$4/SUM($F$4:$S$4)))*4+2,2)),ABS(LOG(((F186/SUM($F186:$S186))/(F$4/SUM($F$4:$S$4)))*4+2,2)))-3)/7,IF(F186&gt;F$5,ABS(LOG(((F$5/SUM($F186:$S186))/(F$4/SUM($F$4:$S$4)))*4+2,2)),ABS(LOG(((F186/SUM($F186:$S186))/(F$4/SUM($F$4:$S$4)))*4+2,2)))-3))</f>
        <v>2.0045099335504712</v>
      </c>
      <c r="V186" s="2">
        <f t="shared" si="183"/>
        <v>2.6184942969938936</v>
      </c>
      <c r="W186" s="2">
        <f t="shared" si="183"/>
        <v>6.2726056690190646</v>
      </c>
      <c r="X186" s="2">
        <f t="shared" si="183"/>
        <v>3.1896254915146605</v>
      </c>
      <c r="Y186" s="2">
        <f t="shared" si="183"/>
        <v>5.6049295547980513</v>
      </c>
      <c r="Z186" s="2">
        <f t="shared" si="183"/>
        <v>1.1475020727178527</v>
      </c>
      <c r="AA186" s="2">
        <f t="shared" si="183"/>
        <v>5.7416514155771878</v>
      </c>
      <c r="AB186" s="2">
        <f t="shared" si="183"/>
        <v>2.3506925731369401</v>
      </c>
      <c r="AC186" s="2">
        <f t="shared" si="183"/>
        <v>3.767574803061609</v>
      </c>
      <c r="AD186" s="2">
        <f t="shared" si="183"/>
        <v>0.88624534593134641</v>
      </c>
      <c r="AE186" s="2">
        <f t="shared" si="183"/>
        <v>-1.999999792342235</v>
      </c>
      <c r="AF186" s="2">
        <f t="shared" si="183"/>
        <v>-0.9055569817128748</v>
      </c>
      <c r="AG186" s="2">
        <f t="shared" si="183"/>
        <v>-1.8952710505119215</v>
      </c>
      <c r="AH186" s="2">
        <f t="shared" si="183"/>
        <v>-0.65895531518755579</v>
      </c>
      <c r="AI186" s="18">
        <f t="shared" si="5"/>
        <v>86</v>
      </c>
      <c r="AJ186" s="2">
        <f t="shared" si="6"/>
        <v>1</v>
      </c>
    </row>
    <row r="187" spans="1:36" ht="10.5" customHeight="1" x14ac:dyDescent="0.25">
      <c r="A187" s="17">
        <v>179</v>
      </c>
      <c r="B187" s="2">
        <f t="shared" si="2"/>
        <v>4.2892531847929734</v>
      </c>
      <c r="C187" s="4">
        <v>2</v>
      </c>
      <c r="D187" s="4">
        <v>18.947717016766099</v>
      </c>
      <c r="E187" s="18">
        <v>88</v>
      </c>
      <c r="F187" s="5">
        <v>2.0299999999999999E-2</v>
      </c>
      <c r="G187" s="5">
        <v>0.30259999999999998</v>
      </c>
      <c r="H187" s="5">
        <v>0.13950000000000001</v>
      </c>
      <c r="I187" s="5">
        <v>0.93479999999999996</v>
      </c>
      <c r="J187" s="5">
        <v>0.54500000000000004</v>
      </c>
      <c r="K187" s="5">
        <v>2.1299999999999999E-2</v>
      </c>
      <c r="L187" s="5">
        <v>1.268</v>
      </c>
      <c r="M187" s="5">
        <v>0.59160000000000001</v>
      </c>
      <c r="N187" s="5">
        <v>8.6999999999999994E-2</v>
      </c>
      <c r="O187" s="5">
        <v>1.4770000000000001</v>
      </c>
      <c r="P187" s="5">
        <v>1.2999999999999999E-2</v>
      </c>
      <c r="Q187" s="5">
        <v>21.43</v>
      </c>
      <c r="R187" s="5">
        <v>0.15340000000000001</v>
      </c>
      <c r="S187" s="5">
        <v>23.89</v>
      </c>
      <c r="T187" s="18">
        <f t="shared" si="3"/>
        <v>88</v>
      </c>
      <c r="U187" s="2">
        <f t="shared" ref="U187:AH187" si="184">IF(OR(F187=0,F187&lt;0.00001,F187&gt;100000),"",IF((IF(F187&gt;F$5,ABS(LOG(((F$5/SUM($F187:$S187))/(F$4/SUM($F$4:$S$4)))*4+2,2)),ABS(LOG(((F187/SUM($F187:$S187))/(F$4/SUM($F$4:$S$4)))*4+2,2)))-3)&gt;8,(IF(F187&gt;F$5,ABS(LOG(((F$5/SUM($F187:$S187))/(F$4/SUM($F$4:$S$4)))*4+2,2)),ABS(LOG(((F187/SUM($F187:$S187))/(F$4/SUM($F$4:$S$4)))*4+2,2)))-3)/7,IF(F187&gt;F$5,ABS(LOG(((F$5/SUM($F187:$S187))/(F$4/SUM($F$4:$S$4)))*4+2,2)),ABS(LOG(((F187/SUM($F187:$S187))/(F$4/SUM($F$4:$S$4)))*4+2,2)))-3))</f>
        <v>8.2917433658734829E-2</v>
      </c>
      <c r="V187" s="2">
        <f t="shared" si="184"/>
        <v>2.0069298811992997</v>
      </c>
      <c r="W187" s="2">
        <f t="shared" si="184"/>
        <v>2.5386543823399323</v>
      </c>
      <c r="X187" s="2">
        <f t="shared" si="184"/>
        <v>2.2950292385375253</v>
      </c>
      <c r="Y187" s="2">
        <f t="shared" si="184"/>
        <v>1.7080457187550069</v>
      </c>
      <c r="Z187" s="2">
        <f t="shared" si="184"/>
        <v>4.6565598033455151</v>
      </c>
      <c r="AA187" s="2">
        <f t="shared" si="184"/>
        <v>4.6736260217065633</v>
      </c>
      <c r="AB187" s="2">
        <f t="shared" si="184"/>
        <v>2.6905445876701046</v>
      </c>
      <c r="AC187" s="2">
        <f t="shared" si="184"/>
        <v>0.34476794991624748</v>
      </c>
      <c r="AD187" s="2">
        <f t="shared" si="184"/>
        <v>0.19158560797265123</v>
      </c>
      <c r="AE187" s="2">
        <f t="shared" si="184"/>
        <v>-1.9999997124710078</v>
      </c>
      <c r="AF187" s="2">
        <f t="shared" si="184"/>
        <v>-0.52513190419397393</v>
      </c>
      <c r="AG187" s="2">
        <f t="shared" si="184"/>
        <v>-1.8479163887597623</v>
      </c>
      <c r="AH187" s="2">
        <f t="shared" si="184"/>
        <v>-0.32685423400858404</v>
      </c>
      <c r="AI187" s="18">
        <f t="shared" si="5"/>
        <v>88</v>
      </c>
      <c r="AJ187" s="2">
        <f t="shared" si="6"/>
        <v>1</v>
      </c>
    </row>
    <row r="188" spans="1:36" ht="10.5" customHeight="1" x14ac:dyDescent="0.25">
      <c r="A188" s="17">
        <v>180</v>
      </c>
      <c r="B188" s="2">
        <f t="shared" si="2"/>
        <v>5.7377853418740301</v>
      </c>
      <c r="C188" s="4">
        <v>2</v>
      </c>
      <c r="D188" s="4">
        <v>22.137769135694001</v>
      </c>
      <c r="E188" s="18">
        <v>90</v>
      </c>
      <c r="F188" s="5">
        <v>0.12574999999999997</v>
      </c>
      <c r="G188" s="5">
        <v>0.18777500000000003</v>
      </c>
      <c r="H188" s="5">
        <v>0.48762499999999998</v>
      </c>
      <c r="I188" s="5">
        <v>1.2361</v>
      </c>
      <c r="J188" s="5">
        <v>0.90997500000000009</v>
      </c>
      <c r="K188" s="5">
        <v>0.19177500000000003</v>
      </c>
      <c r="L188" s="5">
        <v>0.63552500000000001</v>
      </c>
      <c r="M188" s="5">
        <v>0.20850000000000002</v>
      </c>
      <c r="N188" s="5">
        <v>0.34692499999999998</v>
      </c>
      <c r="O188" s="5">
        <v>0.90947500000000003</v>
      </c>
      <c r="P188" s="5">
        <v>0.41790749999999999</v>
      </c>
      <c r="Q188" s="5">
        <v>9.4710000000000001</v>
      </c>
      <c r="R188" s="5">
        <v>0.46655000000000002</v>
      </c>
      <c r="S188" s="5">
        <v>50.272500000000001</v>
      </c>
      <c r="T188" s="18">
        <f t="shared" si="3"/>
        <v>90</v>
      </c>
      <c r="U188" s="2">
        <f t="shared" ref="U188:AH188" si="185">IF(OR(F188=0,F188&lt;0.00001,F188&gt;100000),"",IF((IF(F188&gt;F$5,ABS(LOG(((F$5/SUM($F188:$S188))/(F$4/SUM($F$4:$S$4)))*4+2,2)),ABS(LOG(((F188/SUM($F188:$S188))/(F$4/SUM($F$4:$S$4)))*4+2,2)))-3)&gt;8,(IF(F188&gt;F$5,ABS(LOG(((F$5/SUM($F188:$S188))/(F$4/SUM($F$4:$S$4)))*4+2,2)),ABS(LOG(((F188/SUM($F188:$S188))/(F$4/SUM($F$4:$S$4)))*4+2,2)))-3)/7,IF(F188&gt;F$5,ABS(LOG(((F$5/SUM($F188:$S188))/(F$4/SUM($F$4:$S$4)))*4+2,2)),ABS(LOG(((F188/SUM($F188:$S188))/(F$4/SUM($F$4:$S$4)))*4+2,2)))-3))</f>
        <v>2.0431291925260302</v>
      </c>
      <c r="V188" s="2">
        <f t="shared" si="185"/>
        <v>1.0402149437665562</v>
      </c>
      <c r="W188" s="2">
        <f t="shared" si="185"/>
        <v>3.9318909533318314</v>
      </c>
      <c r="X188" s="2">
        <f t="shared" si="185"/>
        <v>2.3239111776876289</v>
      </c>
      <c r="Y188" s="2">
        <f t="shared" si="185"/>
        <v>2.0499607490451028</v>
      </c>
      <c r="Z188" s="2">
        <f t="shared" si="185"/>
        <v>7.4421029799225948</v>
      </c>
      <c r="AA188" s="2">
        <f t="shared" si="185"/>
        <v>3.326645339310895</v>
      </c>
      <c r="AB188" s="2">
        <f t="shared" si="185"/>
        <v>0.95546086359698945</v>
      </c>
      <c r="AC188" s="2">
        <f t="shared" si="185"/>
        <v>1.761855705640726</v>
      </c>
      <c r="AD188" s="2">
        <f t="shared" si="185"/>
        <v>-0.56867931539998073</v>
      </c>
      <c r="AE188" s="2">
        <f t="shared" si="185"/>
        <v>-1.9999997779233671</v>
      </c>
      <c r="AF188" s="2">
        <f t="shared" si="185"/>
        <v>-1.315223102773833</v>
      </c>
      <c r="AG188" s="2">
        <f t="shared" si="185"/>
        <v>-1.6652574878970701</v>
      </c>
      <c r="AH188" s="2">
        <f t="shared" si="185"/>
        <v>0.18838442281882184</v>
      </c>
      <c r="AI188" s="18">
        <f t="shared" si="5"/>
        <v>90</v>
      </c>
      <c r="AJ188" s="2">
        <f t="shared" si="6"/>
        <v>1</v>
      </c>
    </row>
    <row r="189" spans="1:36" ht="10.5" customHeight="1" x14ac:dyDescent="0.25">
      <c r="A189" s="17">
        <v>181</v>
      </c>
      <c r="B189" s="2">
        <f t="shared" si="2"/>
        <v>5.4307917285541825</v>
      </c>
      <c r="C189" s="4">
        <v>2</v>
      </c>
      <c r="D189" s="4">
        <v>19.776633328147401</v>
      </c>
      <c r="E189" s="18">
        <v>92</v>
      </c>
      <c r="F189" s="5">
        <v>4.9920000000000006E-2</v>
      </c>
      <c r="G189" s="5">
        <v>2.504</v>
      </c>
      <c r="H189" s="5">
        <v>0.50095000000000001</v>
      </c>
      <c r="I189" s="5">
        <v>1.107075</v>
      </c>
      <c r="J189" s="5">
        <v>2.4975000000000001</v>
      </c>
      <c r="K189" s="5">
        <v>0.32759999999999995</v>
      </c>
      <c r="L189" s="5">
        <v>4.1849999999999996</v>
      </c>
      <c r="M189" s="5">
        <v>1.1831749999999999</v>
      </c>
      <c r="N189" s="5">
        <v>0.88839999999999986</v>
      </c>
      <c r="O189" s="5">
        <v>4.7740000000000009</v>
      </c>
      <c r="P189" s="5">
        <v>0.6365225000000001</v>
      </c>
      <c r="Q189" s="5">
        <v>23.682499999999997</v>
      </c>
      <c r="R189" s="5">
        <v>4.3674999999999999E-2</v>
      </c>
      <c r="S189" s="5">
        <v>129.00749999999999</v>
      </c>
      <c r="T189" s="18">
        <f t="shared" si="3"/>
        <v>92</v>
      </c>
      <c r="U189" s="2">
        <f t="shared" ref="U189:AH189" si="186">IF(OR(F189=0,F189&lt;0.00001,F189&gt;100000),"",IF((IF(F189&gt;F$5,ABS(LOG(((F$5/SUM($F189:$S189))/(F$4/SUM($F$4:$S$4)))*4+2,2)),ABS(LOG(((F189/SUM($F189:$S189))/(F$4/SUM($F$4:$S$4)))*4+2,2)))-3)&gt;8,(IF(F189&gt;F$5,ABS(LOG(((F$5/SUM($F189:$S189))/(F$4/SUM($F$4:$S$4)))*4+2,2)),ABS(LOG(((F189/SUM($F189:$S189))/(F$4/SUM($F$4:$S$4)))*4+2,2)))-3)/7,IF(F189&gt;F$5,ABS(LOG(((F$5/SUM($F189:$S189))/(F$4/SUM($F$4:$S$4)))*4+2,2)),ABS(LOG(((F189/SUM($F189:$S189))/(F$4/SUM($F$4:$S$4)))*4+2,2)))-3))</f>
        <v>-0.25043874651410558</v>
      </c>
      <c r="V189" s="2">
        <f t="shared" si="186"/>
        <v>3.2491935951057416</v>
      </c>
      <c r="W189" s="2">
        <f t="shared" si="186"/>
        <v>2.6269326749471578</v>
      </c>
      <c r="X189" s="2">
        <f t="shared" si="186"/>
        <v>0.91634568773853786</v>
      </c>
      <c r="Y189" s="2">
        <f t="shared" si="186"/>
        <v>2.1223866832089406</v>
      </c>
      <c r="Z189" s="2">
        <f t="shared" si="186"/>
        <v>6.836079974582951</v>
      </c>
      <c r="AA189" s="2">
        <f t="shared" si="186"/>
        <v>4.6443135663853656</v>
      </c>
      <c r="AB189" s="2">
        <f t="shared" si="186"/>
        <v>1.9759800897684316</v>
      </c>
      <c r="AC189" s="2">
        <f t="shared" si="186"/>
        <v>1.7405241285460082</v>
      </c>
      <c r="AD189" s="2">
        <f t="shared" si="186"/>
        <v>0.14512906157450001</v>
      </c>
      <c r="AE189" s="2">
        <f t="shared" si="186"/>
        <v>-1.9999999146520013</v>
      </c>
      <c r="AF189" s="2">
        <f t="shared" si="186"/>
        <v>-1.3366453082033709</v>
      </c>
      <c r="AG189" s="2">
        <f t="shared" si="186"/>
        <v>-1.9865084665739716</v>
      </c>
      <c r="AH189" s="2">
        <f t="shared" si="186"/>
        <v>0.17278461885539587</v>
      </c>
      <c r="AI189" s="18">
        <f t="shared" si="5"/>
        <v>92</v>
      </c>
      <c r="AJ189" s="2">
        <f t="shared" si="6"/>
        <v>1</v>
      </c>
    </row>
    <row r="190" spans="1:36" ht="10.5" customHeight="1" x14ac:dyDescent="0.25">
      <c r="A190" s="17">
        <v>182</v>
      </c>
      <c r="B190" s="2">
        <f t="shared" si="2"/>
        <v>5.2981445026129173</v>
      </c>
      <c r="C190" s="4">
        <v>2</v>
      </c>
      <c r="D190" s="4">
        <v>23.672065484848599</v>
      </c>
      <c r="E190" s="18">
        <v>94</v>
      </c>
      <c r="F190" s="5">
        <v>1.4420000000000001E-2</v>
      </c>
      <c r="G190" s="5">
        <v>6.225E-2</v>
      </c>
      <c r="H190" s="5">
        <v>0.1792</v>
      </c>
      <c r="I190" s="5">
        <v>1.8864999999999998</v>
      </c>
      <c r="J190" s="5">
        <v>0.94304999999999994</v>
      </c>
      <c r="K190" s="5">
        <v>6.9250000000000006E-2</v>
      </c>
      <c r="L190" s="5">
        <v>0.19059999999999999</v>
      </c>
      <c r="M190" s="5">
        <v>0.17125000000000001</v>
      </c>
      <c r="N190" s="5">
        <v>6.3700000000000007E-2</v>
      </c>
      <c r="O190" s="5">
        <v>0.88670000000000004</v>
      </c>
      <c r="P190" s="5">
        <v>1.2740000000000001E-2</v>
      </c>
      <c r="Q190" s="5">
        <v>2.1639999999999997</v>
      </c>
      <c r="R190" s="5">
        <v>0.33615</v>
      </c>
      <c r="S190" s="5">
        <v>8.1559999999999988</v>
      </c>
      <c r="T190" s="18">
        <f t="shared" si="3"/>
        <v>94</v>
      </c>
      <c r="U190" s="2">
        <f t="shared" ref="U190:AH190" si="187">IF(OR(F190=0,F190&lt;0.00001,F190&gt;100000),"",IF((IF(F190&gt;F$5,ABS(LOG(((F$5/SUM($F190:$S190))/(F$4/SUM($F$4:$S$4)))*4+2,2)),ABS(LOG(((F190/SUM($F190:$S190))/(F$4/SUM($F$4:$S$4)))*4+2,2)))-3)&gt;8,(IF(F190&gt;F$5,ABS(LOG(((F$5/SUM($F190:$S190))/(F$4/SUM($F$4:$S$4)))*4+2,2)),ABS(LOG(((F190/SUM($F190:$S190))/(F$4/SUM($F$4:$S$4)))*4+2,2)))-3)/7,IF(F190&gt;F$5,ABS(LOG(((F$5/SUM($F190:$S190))/(F$4/SUM($F$4:$S$4)))*4+2,2)),ABS(LOG(((F190/SUM($F190:$S190))/(F$4/SUM($F$4:$S$4)))*4+2,2)))-3))</f>
        <v>1.125595894691382</v>
      </c>
      <c r="V190" s="2">
        <f t="shared" si="187"/>
        <v>1.5141113399047237</v>
      </c>
      <c r="W190" s="2">
        <f t="shared" si="187"/>
        <v>4.6004055212717416</v>
      </c>
      <c r="X190" s="2">
        <f t="shared" si="187"/>
        <v>4.9929012166260582</v>
      </c>
      <c r="Y190" s="2">
        <f t="shared" si="187"/>
        <v>4.1536356587433714</v>
      </c>
      <c r="Z190" s="2">
        <f t="shared" si="187"/>
        <v>1.1562026060087491</v>
      </c>
      <c r="AA190" s="2">
        <f t="shared" si="187"/>
        <v>3.7024134944993667</v>
      </c>
      <c r="AB190" s="2">
        <f t="shared" si="187"/>
        <v>2.6525277459918595</v>
      </c>
      <c r="AC190" s="2">
        <f t="shared" si="187"/>
        <v>1.4646981329912379</v>
      </c>
      <c r="AD190" s="2">
        <f t="shared" si="187"/>
        <v>1.0355753741297598</v>
      </c>
      <c r="AE190" s="2">
        <f t="shared" si="187"/>
        <v>-1.9999990335764819</v>
      </c>
      <c r="AF190" s="2">
        <f t="shared" si="187"/>
        <v>-1.318323140436656</v>
      </c>
      <c r="AG190" s="2">
        <f t="shared" si="187"/>
        <v>-1.1369896348559387</v>
      </c>
      <c r="AH190" s="2">
        <f t="shared" si="187"/>
        <v>-0.18772754799249602</v>
      </c>
      <c r="AI190" s="18">
        <f t="shared" si="5"/>
        <v>94</v>
      </c>
      <c r="AJ190" s="2">
        <f t="shared" si="6"/>
        <v>1</v>
      </c>
    </row>
    <row r="191" spans="1:36" ht="10.5" customHeight="1" x14ac:dyDescent="0.25">
      <c r="A191" s="17">
        <v>183</v>
      </c>
      <c r="B191" s="2">
        <f t="shared" si="2"/>
        <v>8.2997612225134176</v>
      </c>
      <c r="C191" s="4">
        <v>2</v>
      </c>
      <c r="D191" s="4">
        <v>17.395406532438599</v>
      </c>
      <c r="E191" s="18">
        <v>96</v>
      </c>
      <c r="F191" s="5">
        <v>1E-3</v>
      </c>
      <c r="G191" s="5">
        <v>0.3009</v>
      </c>
      <c r="H191" s="5">
        <v>0.53149999999999997</v>
      </c>
      <c r="I191" s="5">
        <v>1.7330000000000001</v>
      </c>
      <c r="J191" s="5">
        <v>1.734</v>
      </c>
      <c r="K191" s="5">
        <v>1.0999999999999999E-2</v>
      </c>
      <c r="L191" s="5">
        <v>2.5369999999999999</v>
      </c>
      <c r="M191" s="5">
        <v>0.63139999999999996</v>
      </c>
      <c r="N191" s="5">
        <v>4.3819999999999997</v>
      </c>
      <c r="O191" s="5">
        <v>0.43490000000000001</v>
      </c>
      <c r="P191" s="5">
        <v>7.1599999999999995E-4</v>
      </c>
      <c r="Q191" s="5">
        <v>24.11</v>
      </c>
      <c r="R191" s="5">
        <v>9.1200000000000003E-2</v>
      </c>
      <c r="S191" s="5">
        <v>32.200000000000003</v>
      </c>
      <c r="T191" s="18">
        <f t="shared" si="3"/>
        <v>96</v>
      </c>
      <c r="U191" s="2">
        <f t="shared" ref="U191:AH191" si="188">IF(OR(F191=0,F191&lt;0.00001,F191&gt;100000),"",IF((IF(F191&gt;F$5,ABS(LOG(((F$5/SUM($F191:$S191))/(F$4/SUM($F$4:$S$4)))*4+2,2)),ABS(LOG(((F191/SUM($F191:$S191))/(F$4/SUM($F$4:$S$4)))*4+2,2)))-3)&gt;8,(IF(F191&gt;F$5,ABS(LOG(((F$5/SUM($F191:$S191))/(F$4/SUM($F$4:$S$4)))*4+2,2)),ABS(LOG(((F191/SUM($F191:$S191))/(F$4/SUM($F$4:$S$4)))*4+2,2)))-3)/7,IF(F191&gt;F$5,ABS(LOG(((F$5/SUM($F191:$S191))/(F$4/SUM($F$4:$S$4)))*4+2,2)),ABS(LOG(((F191/SUM($F191:$S191))/(F$4/SUM($F$4:$S$4)))*4+2,2)))-3))</f>
        <v>-1.8389890640047066</v>
      </c>
      <c r="V191" s="2">
        <f t="shared" si="188"/>
        <v>1.5972093904905602</v>
      </c>
      <c r="W191" s="2">
        <f t="shared" si="188"/>
        <v>3.994452518217841</v>
      </c>
      <c r="X191" s="2">
        <f t="shared" si="188"/>
        <v>2.7321055116954813</v>
      </c>
      <c r="Y191" s="2">
        <f t="shared" si="188"/>
        <v>2.8794739669601155</v>
      </c>
      <c r="Z191" s="2">
        <f t="shared" si="188"/>
        <v>3.2927531592736026</v>
      </c>
      <c r="AA191" s="2">
        <f t="shared" si="188"/>
        <v>5.2362267167918883</v>
      </c>
      <c r="AB191" s="2">
        <f t="shared" si="188"/>
        <v>2.3658546584879527</v>
      </c>
      <c r="AC191" s="2">
        <f t="shared" si="188"/>
        <v>5.259007037999945</v>
      </c>
      <c r="AD191" s="2">
        <f t="shared" si="188"/>
        <v>-1.1697350266639941</v>
      </c>
      <c r="AE191" s="2">
        <f t="shared" si="188"/>
        <v>-1.9999997870756732</v>
      </c>
      <c r="AF191" s="2">
        <f t="shared" si="188"/>
        <v>-0.68812287674107075</v>
      </c>
      <c r="AG191" s="2">
        <f t="shared" si="188"/>
        <v>-1.9310602547240943</v>
      </c>
      <c r="AH191" s="2">
        <f t="shared" si="188"/>
        <v>-0.32871586821169707</v>
      </c>
      <c r="AI191" s="18">
        <f t="shared" si="5"/>
        <v>96</v>
      </c>
      <c r="AJ191" s="2">
        <f t="shared" si="6"/>
        <v>1</v>
      </c>
    </row>
    <row r="192" spans="1:36" ht="10.5" customHeight="1" x14ac:dyDescent="0.25">
      <c r="A192" s="17">
        <v>184</v>
      </c>
      <c r="B192" s="2">
        <f t="shared" si="2"/>
        <v>5.1335299774489078</v>
      </c>
      <c r="C192" s="4">
        <v>2</v>
      </c>
      <c r="D192" s="4">
        <v>23.794150670357102</v>
      </c>
      <c r="E192" s="18">
        <v>97</v>
      </c>
      <c r="F192" s="5">
        <v>0.1028</v>
      </c>
      <c r="G192" s="5">
        <v>0.41310000000000002</v>
      </c>
      <c r="H192" s="5">
        <v>1.5509999999999999</v>
      </c>
      <c r="I192" s="5">
        <v>2.33</v>
      </c>
      <c r="J192" s="5">
        <v>3.39</v>
      </c>
      <c r="K192" s="5">
        <v>14.55</v>
      </c>
      <c r="L192" s="5">
        <v>6.16</v>
      </c>
      <c r="M192" s="5">
        <v>1.61</v>
      </c>
      <c r="N192" s="5">
        <v>0.13120000000000001</v>
      </c>
      <c r="O192" s="5">
        <v>6.2E-2</v>
      </c>
      <c r="P192" s="5">
        <v>6.0399999999999998E-5</v>
      </c>
      <c r="Q192" s="5">
        <v>25.2</v>
      </c>
      <c r="R192" s="5">
        <v>0.29220000000000002</v>
      </c>
      <c r="S192" s="5">
        <v>54.03</v>
      </c>
      <c r="T192" s="18">
        <f t="shared" si="3"/>
        <v>97</v>
      </c>
      <c r="U192" s="2">
        <f t="shared" ref="U192:AH192" si="189">IF(OR(F192=0,F192&lt;0.00001,F192&gt;100000),"",IF((IF(F192&gt;F$5,ABS(LOG(((F$5/SUM($F192:$S192))/(F$4/SUM($F$4:$S$4)))*4+2,2)),ABS(LOG(((F192/SUM($F192:$S192))/(F$4/SUM($F$4:$S$4)))*4+2,2)))-3)&gt;8,(IF(F192&gt;F$5,ABS(LOG(((F$5/SUM($F192:$S192))/(F$4/SUM($F$4:$S$4)))*4+2,2)),ABS(LOG(((F192/SUM($F192:$S192))/(F$4/SUM($F$4:$S$4)))*4+2,2)))-3)/7,IF(F192&gt;F$5,ABS(LOG(((F$5/SUM($F192:$S192))/(F$4/SUM($F$4:$S$4)))*4+2,2)),ABS(LOG(((F192/SUM($F192:$S192))/(F$4/SUM($F$4:$S$4)))*4+2,2)))-3))</f>
        <v>1.1030964135270747</v>
      </c>
      <c r="V192" s="2">
        <f t="shared" si="189"/>
        <v>1.3970657829807696</v>
      </c>
      <c r="W192" s="2">
        <f t="shared" si="189"/>
        <v>4.852421798387673</v>
      </c>
      <c r="X192" s="2">
        <f t="shared" si="189"/>
        <v>2.4925687517657185</v>
      </c>
      <c r="Y192" s="2">
        <f t="shared" si="189"/>
        <v>3.1608735338797445</v>
      </c>
      <c r="Z192" s="2">
        <f t="shared" si="189"/>
        <v>1.3355132743909015</v>
      </c>
      <c r="AA192" s="2">
        <f t="shared" si="189"/>
        <v>5.8359421793274038</v>
      </c>
      <c r="AB192" s="2">
        <f t="shared" si="189"/>
        <v>3.0131272160216165</v>
      </c>
      <c r="AC192" s="2">
        <f t="shared" si="189"/>
        <v>-5.5121794874481544E-2</v>
      </c>
      <c r="AD192" s="2">
        <f t="shared" si="189"/>
        <v>-1.9032229351240668</v>
      </c>
      <c r="AE192" s="2">
        <f t="shared" si="189"/>
        <v>-1.9999998668066601</v>
      </c>
      <c r="AF192" s="2">
        <f t="shared" si="189"/>
        <v>-1.0222531997887854</v>
      </c>
      <c r="AG192" s="2">
        <f t="shared" si="189"/>
        <v>-1.8649945647832336</v>
      </c>
      <c r="AH192" s="2">
        <f t="shared" si="189"/>
        <v>-0.2804132601856022</v>
      </c>
      <c r="AI192" s="18">
        <f t="shared" si="5"/>
        <v>97</v>
      </c>
      <c r="AJ192" s="2">
        <f t="shared" si="6"/>
        <v>1</v>
      </c>
    </row>
    <row r="193" spans="1:36" ht="10.5" customHeight="1" x14ac:dyDescent="0.25">
      <c r="A193" s="17">
        <v>185</v>
      </c>
      <c r="B193" s="2">
        <f t="shared" si="2"/>
        <v>5.4617245029286634</v>
      </c>
      <c r="C193" s="4">
        <v>2</v>
      </c>
      <c r="D193" s="4">
        <v>23.336325280638299</v>
      </c>
      <c r="E193" s="18">
        <v>98</v>
      </c>
      <c r="F193" s="5">
        <v>0.371</v>
      </c>
      <c r="G193" s="5">
        <v>0.16120000000000001</v>
      </c>
      <c r="H193" s="5">
        <v>1.512</v>
      </c>
      <c r="I193" s="5">
        <v>2.9430000000000001</v>
      </c>
      <c r="J193" s="5">
        <v>4.4779999999999998</v>
      </c>
      <c r="K193" s="5">
        <v>11.6</v>
      </c>
      <c r="L193" s="5">
        <v>7.4489999999999998</v>
      </c>
      <c r="M193" s="5">
        <v>1.014</v>
      </c>
      <c r="N193" s="5">
        <v>0.26900000000000002</v>
      </c>
      <c r="O193" s="5">
        <v>9.0899999999999995E-2</v>
      </c>
      <c r="P193" s="5">
        <v>3.5799999999999997E-4</v>
      </c>
      <c r="Q193" s="5">
        <v>34.86</v>
      </c>
      <c r="R193" s="5">
        <v>1.3819999999999999</v>
      </c>
      <c r="S193" s="5">
        <v>29.06</v>
      </c>
      <c r="T193" s="18">
        <f t="shared" si="3"/>
        <v>98</v>
      </c>
      <c r="U193" s="2">
        <f t="shared" ref="U193:AH193" si="190">IF(OR(F193=0,F193&lt;0.00001,F193&gt;100000),"",IF((IF(F193&gt;F$5,ABS(LOG(((F$5/SUM($F193:$S193))/(F$4/SUM($F$4:$S$4)))*4+2,2)),ABS(LOG(((F193/SUM($F193:$S193))/(F$4/SUM($F$4:$S$4)))*4+2,2)))-3)&gt;8,(IF(F193&gt;F$5,ABS(LOG(((F$5/SUM($F193:$S193))/(F$4/SUM($F$4:$S$4)))*4+2,2)),ABS(LOG(((F193/SUM($F193:$S193))/(F$4/SUM($F$4:$S$4)))*4+2,2)))-3)/7,IF(F193&gt;F$5,ABS(LOG(((F$5/SUM($F193:$S193))/(F$4/SUM($F$4:$S$4)))*4+2,2)),ABS(LOG(((F193/SUM($F193:$S193))/(F$4/SUM($F$4:$S$4)))*4+2,2)))-3))</f>
        <v>3.0273866284283564</v>
      </c>
      <c r="V193" s="2">
        <f t="shared" si="190"/>
        <v>0.40394960631167498</v>
      </c>
      <c r="W193" s="2">
        <f t="shared" si="190"/>
        <v>5.0205792594214671</v>
      </c>
      <c r="X193" s="2">
        <f t="shared" si="190"/>
        <v>3.0155588067443873</v>
      </c>
      <c r="Y193" s="2">
        <f t="shared" si="190"/>
        <v>3.7547931385762947</v>
      </c>
      <c r="Z193" s="2">
        <f t="shared" si="190"/>
        <v>1.3649717380358837</v>
      </c>
      <c r="AA193" s="2">
        <f t="shared" si="190"/>
        <v>6.314552113787153</v>
      </c>
      <c r="AB193" s="2">
        <f t="shared" si="190"/>
        <v>2.5691183081974538</v>
      </c>
      <c r="AC193" s="2">
        <f t="shared" si="190"/>
        <v>0.95264830417529867</v>
      </c>
      <c r="AD193" s="2">
        <f t="shared" si="190"/>
        <v>-1.8399076015037883</v>
      </c>
      <c r="AE193" s="2">
        <f t="shared" si="190"/>
        <v>-1.9999998463332651</v>
      </c>
      <c r="AF193" s="2">
        <f t="shared" si="190"/>
        <v>-0.65113813862025172</v>
      </c>
      <c r="AG193" s="2">
        <f t="shared" si="190"/>
        <v>-1.3814985765551826</v>
      </c>
      <c r="AH193" s="2">
        <f t="shared" si="190"/>
        <v>-0.72313380727988452</v>
      </c>
      <c r="AI193" s="18">
        <f t="shared" si="5"/>
        <v>98</v>
      </c>
      <c r="AJ193" s="2">
        <f t="shared" si="6"/>
        <v>1</v>
      </c>
    </row>
    <row r="194" spans="1:36" ht="10.5" customHeight="1" x14ac:dyDescent="0.25">
      <c r="A194" s="17">
        <v>186</v>
      </c>
      <c r="B194" s="2">
        <f t="shared" si="2"/>
        <v>6.2364152088174842</v>
      </c>
      <c r="C194" s="4">
        <v>2</v>
      </c>
      <c r="D194" s="4">
        <v>21.914007950301801</v>
      </c>
      <c r="E194" s="18">
        <v>100</v>
      </c>
      <c r="F194" s="5">
        <v>0.1492</v>
      </c>
      <c r="G194" s="5">
        <v>8.6900000000000005E-2</v>
      </c>
      <c r="H194" s="5">
        <v>0.5696</v>
      </c>
      <c r="I194" s="5">
        <v>1.6259999999999999</v>
      </c>
      <c r="J194" s="5">
        <v>0.49509999999999998</v>
      </c>
      <c r="K194" s="5">
        <v>0.2928</v>
      </c>
      <c r="L194" s="5">
        <v>1.589</v>
      </c>
      <c r="M194" s="5">
        <v>0.39290000000000003</v>
      </c>
      <c r="N194" s="5">
        <v>5.4999999999999997E-3</v>
      </c>
      <c r="O194" s="5">
        <v>0.59360000000000002</v>
      </c>
      <c r="P194" s="5">
        <v>1.72E-2</v>
      </c>
      <c r="Q194" s="5">
        <v>2.899</v>
      </c>
      <c r="R194" s="5">
        <v>0.59740000000000004</v>
      </c>
      <c r="S194" s="5">
        <v>11.36</v>
      </c>
      <c r="T194" s="18">
        <f t="shared" si="3"/>
        <v>100</v>
      </c>
      <c r="U194" s="2">
        <f t="shared" ref="U194:AH194" si="191">IF(OR(F194=0,F194&lt;0.00001,F194&gt;100000),"",IF((IF(F194&gt;F$5,ABS(LOG(((F$5/SUM($F194:$S194))/(F$4/SUM($F$4:$S$4)))*4+2,2)),ABS(LOG(((F194/SUM($F194:$S194))/(F$4/SUM($F$4:$S$4)))*4+2,2)))-3)&gt;8,(IF(F194&gt;F$5,ABS(LOG(((F$5/SUM($F194:$S194))/(F$4/SUM($F$4:$S$4)))*4+2,2)),ABS(LOG(((F194/SUM($F194:$S194))/(F$4/SUM($F$4:$S$4)))*4+2,2)))-3)/7,IF(F194&gt;F$5,ABS(LOG(((F$5/SUM($F194:$S194))/(F$4/SUM($F$4:$S$4)))*4+2,2)),ABS(LOG(((F194/SUM($F194:$S194))/(F$4/SUM($F$4:$S$4)))*4+2,2)))-3))</f>
        <v>3.8957093953026982</v>
      </c>
      <c r="V194" s="2">
        <f t="shared" si="191"/>
        <v>1.5428053730416691</v>
      </c>
      <c r="W194" s="2">
        <f t="shared" si="191"/>
        <v>5.8104145156624192</v>
      </c>
      <c r="X194" s="2">
        <f t="shared" si="191"/>
        <v>4.3352587957160607</v>
      </c>
      <c r="Y194" s="2">
        <f t="shared" si="191"/>
        <v>2.8062552597427128</v>
      </c>
      <c r="Z194" s="2">
        <f t="shared" si="191"/>
        <v>1.3889554258841978</v>
      </c>
      <c r="AA194" s="2">
        <f t="shared" si="191"/>
        <v>6.2886921545934129</v>
      </c>
      <c r="AB194" s="2">
        <f t="shared" si="191"/>
        <v>3.3773199665391713</v>
      </c>
      <c r="AC194" s="2">
        <f t="shared" si="191"/>
        <v>-1.2910059454288081</v>
      </c>
      <c r="AD194" s="2">
        <f t="shared" si="191"/>
        <v>0.17908469545189298</v>
      </c>
      <c r="AE194" s="2">
        <f t="shared" si="191"/>
        <v>-1.9999992924706127</v>
      </c>
      <c r="AF194" s="2">
        <f t="shared" si="191"/>
        <v>-1.3288071414849572</v>
      </c>
      <c r="AG194" s="2">
        <f t="shared" si="191"/>
        <v>-0.95359612532238724</v>
      </c>
      <c r="AH194" s="2">
        <f t="shared" si="191"/>
        <v>-0.16752752780826574</v>
      </c>
      <c r="AI194" s="18">
        <f t="shared" si="5"/>
        <v>100</v>
      </c>
      <c r="AJ194" s="2">
        <f t="shared" si="6"/>
        <v>1</v>
      </c>
    </row>
    <row r="195" spans="1:36" ht="10.5" customHeight="1" x14ac:dyDescent="0.25">
      <c r="A195" s="17">
        <v>187</v>
      </c>
      <c r="B195" s="2">
        <f t="shared" si="2"/>
        <v>8.097494871861846</v>
      </c>
      <c r="C195" s="4">
        <v>2</v>
      </c>
      <c r="D195" s="4">
        <v>22.675770180132901</v>
      </c>
      <c r="E195" s="18">
        <v>102</v>
      </c>
      <c r="F195" s="5">
        <v>0.25009999999999999</v>
      </c>
      <c r="G195" s="5">
        <v>0.28870000000000001</v>
      </c>
      <c r="H195" s="5">
        <v>1.52</v>
      </c>
      <c r="I195" s="5">
        <v>2.536</v>
      </c>
      <c r="J195" s="5">
        <v>7.0119999999999996</v>
      </c>
      <c r="K195" s="5">
        <v>7.6239999999999997</v>
      </c>
      <c r="L195" s="5">
        <v>11.23</v>
      </c>
      <c r="M195" s="5">
        <v>3.1680000000000001</v>
      </c>
      <c r="N195" s="5">
        <v>1.1160000000000001</v>
      </c>
      <c r="O195" s="5">
        <v>7.4859999999999998</v>
      </c>
      <c r="P195" s="5">
        <v>1.6799999999999999E-4</v>
      </c>
      <c r="Q195" s="5">
        <v>16.8</v>
      </c>
      <c r="R195" s="5">
        <v>0.18729999999999999</v>
      </c>
      <c r="S195" s="5">
        <v>8.0519999999999996</v>
      </c>
      <c r="T195" s="18">
        <f t="shared" si="3"/>
        <v>102</v>
      </c>
      <c r="U195" s="2">
        <f t="shared" ref="U195:AH195" si="192">IF(OR(F195=0,F195&lt;0.00001,F195&gt;100000),"",IF((IF(F195&gt;F$5,ABS(LOG(((F$5/SUM($F195:$S195))/(F$4/SUM($F$4:$S$4)))*4+2,2)),ABS(LOG(((F195/SUM($F195:$S195))/(F$4/SUM($F$4:$S$4)))*4+2,2)))-3)&gt;8,(IF(F195&gt;F$5,ABS(LOG(((F$5/SUM($F195:$S195))/(F$4/SUM($F$4:$S$4)))*4+2,2)),ABS(LOG(((F195/SUM($F195:$S195))/(F$4/SUM($F$4:$S$4)))*4+2,2)))-3)/7,IF(F195&gt;F$5,ABS(LOG(((F$5/SUM($F195:$S195))/(F$4/SUM($F$4:$S$4)))*4+2,2)),ABS(LOG(((F195/SUM($F195:$S195))/(F$4/SUM($F$4:$S$4)))*4+2,2)))-3))</f>
        <v>2.9614559634355997</v>
      </c>
      <c r="V195" s="2">
        <f t="shared" si="192"/>
        <v>1.5702606289360252</v>
      </c>
      <c r="W195" s="2">
        <f t="shared" si="192"/>
        <v>5.5257362156850398</v>
      </c>
      <c r="X195" s="2">
        <f t="shared" si="192"/>
        <v>3.2936282548400264</v>
      </c>
      <c r="Y195" s="2">
        <f t="shared" si="192"/>
        <v>4.8878774093990947</v>
      </c>
      <c r="Z195" s="2">
        <f t="shared" si="192"/>
        <v>1.4365013516097975</v>
      </c>
      <c r="AA195" s="2">
        <f t="shared" si="192"/>
        <v>7.4052299778917003</v>
      </c>
      <c r="AB195" s="2">
        <f t="shared" si="192"/>
        <v>4.6656684806099431</v>
      </c>
      <c r="AC195" s="2">
        <f t="shared" si="192"/>
        <v>3.3426162199380913</v>
      </c>
      <c r="AD195" s="2">
        <f t="shared" si="192"/>
        <v>1.875425253106318</v>
      </c>
      <c r="AE195" s="2">
        <f t="shared" si="192"/>
        <v>-1.9999997825546563</v>
      </c>
      <c r="AF195" s="2">
        <f t="shared" si="192"/>
        <v>-0.96082547394385598</v>
      </c>
      <c r="AG195" s="2">
        <f t="shared" si="192"/>
        <v>-1.8590183505256102</v>
      </c>
      <c r="AH195" s="2">
        <f t="shared" si="192"/>
        <v>-1.3603215276277438</v>
      </c>
      <c r="AI195" s="18">
        <f t="shared" si="5"/>
        <v>102</v>
      </c>
      <c r="AJ195" s="2">
        <f t="shared" si="6"/>
        <v>1</v>
      </c>
    </row>
    <row r="196" spans="1:36" ht="10.5" customHeight="1" x14ac:dyDescent="0.25">
      <c r="A196" s="17">
        <v>188</v>
      </c>
      <c r="B196" s="2">
        <f t="shared" si="2"/>
        <v>7.24049244108358</v>
      </c>
      <c r="C196" s="4">
        <v>2</v>
      </c>
      <c r="D196" s="4">
        <v>22.750710892765799</v>
      </c>
      <c r="E196" s="18">
        <v>104</v>
      </c>
      <c r="F196" s="5">
        <v>0.30740000000000001</v>
      </c>
      <c r="G196" s="5">
        <v>1.196</v>
      </c>
      <c r="H196" s="5">
        <v>1.139</v>
      </c>
      <c r="I196" s="5">
        <v>3.298</v>
      </c>
      <c r="J196" s="5">
        <v>15.25</v>
      </c>
      <c r="K196" s="5">
        <v>3.95</v>
      </c>
      <c r="L196" s="5">
        <v>11.59</v>
      </c>
      <c r="M196" s="5">
        <v>3.5939999999999999</v>
      </c>
      <c r="N196" s="5">
        <v>0.91979999999999995</v>
      </c>
      <c r="O196" s="5">
        <v>4.4160000000000004</v>
      </c>
      <c r="P196" s="5">
        <v>4.3300000000000001E-4</v>
      </c>
      <c r="Q196" s="5">
        <v>8.52</v>
      </c>
      <c r="R196" s="5">
        <v>7.5700000000000003E-2</v>
      </c>
      <c r="S196" s="5">
        <v>51.7</v>
      </c>
      <c r="T196" s="18">
        <f t="shared" si="3"/>
        <v>104</v>
      </c>
      <c r="U196" s="2">
        <f t="shared" ref="U196:AH196" si="193">IF(OR(F196=0,F196&lt;0.00001,F196&gt;100000),"",IF((IF(F196&gt;F$5,ABS(LOG(((F$5/SUM($F196:$S196))/(F$4/SUM($F$4:$S$4)))*4+2,2)),ABS(LOG(((F196/SUM($F196:$S196))/(F$4/SUM($F$4:$S$4)))*4+2,2)))-3)&gt;8,(IF(F196&gt;F$5,ABS(LOG(((F$5/SUM($F196:$S196))/(F$4/SUM($F$4:$S$4)))*4+2,2)),ABS(LOG(((F196/SUM($F196:$S196))/(F$4/SUM($F$4:$S$4)))*4+2,2)))-3)/7,IF(F196&gt;F$5,ABS(LOG(((F$5/SUM($F196:$S196))/(F$4/SUM($F$4:$S$4)))*4+2,2)),ABS(LOG(((F196/SUM($F196:$S196))/(F$4/SUM($F$4:$S$4)))*4+2,2)))-3))</f>
        <v>2.6166147939530635</v>
      </c>
      <c r="V196" s="2">
        <f t="shared" si="193"/>
        <v>2.8880933903023509</v>
      </c>
      <c r="W196" s="2">
        <f t="shared" si="193"/>
        <v>4.4626051700844158</v>
      </c>
      <c r="X196" s="2">
        <f t="shared" si="193"/>
        <v>3.0249821095967482</v>
      </c>
      <c r="Y196" s="2">
        <f t="shared" si="193"/>
        <v>5.3499964938605054</v>
      </c>
      <c r="Z196" s="2">
        <f t="shared" si="193"/>
        <v>1.3428964928273701</v>
      </c>
      <c r="AA196" s="2">
        <f t="shared" si="193"/>
        <v>6.7964428040679383</v>
      </c>
      <c r="AB196" s="2">
        <f t="shared" si="193"/>
        <v>4.1977662904345907</v>
      </c>
      <c r="AC196" s="2">
        <f t="shared" si="193"/>
        <v>2.4402758444559289</v>
      </c>
      <c r="AD196" s="2">
        <f t="shared" si="193"/>
        <v>0.61402357399290119</v>
      </c>
      <c r="AE196" s="2">
        <f t="shared" si="193"/>
        <v>-1.9999998619468367</v>
      </c>
      <c r="AF196" s="2">
        <f t="shared" si="193"/>
        <v>-1.5780861096228302</v>
      </c>
      <c r="AG196" s="2">
        <f t="shared" si="193"/>
        <v>-1.9624896201990545</v>
      </c>
      <c r="AH196" s="2">
        <f t="shared" si="193"/>
        <v>-0.28868571526491715</v>
      </c>
      <c r="AI196" s="18">
        <f t="shared" si="5"/>
        <v>104</v>
      </c>
      <c r="AJ196" s="2">
        <f t="shared" si="6"/>
        <v>1</v>
      </c>
    </row>
    <row r="197" spans="1:36" ht="10.5" customHeight="1" x14ac:dyDescent="0.25">
      <c r="A197" s="17">
        <v>189</v>
      </c>
      <c r="B197" s="2">
        <f t="shared" si="2"/>
        <v>6.1138308595004416</v>
      </c>
      <c r="C197" s="4">
        <v>2</v>
      </c>
      <c r="D197" s="4">
        <v>21.6176864192723</v>
      </c>
      <c r="E197" s="18">
        <v>106</v>
      </c>
      <c r="F197" s="5">
        <v>0.28949999999999998</v>
      </c>
      <c r="G197" s="5">
        <v>4.3299999999999998E-2</v>
      </c>
      <c r="H197" s="5">
        <v>1.224</v>
      </c>
      <c r="I197" s="5">
        <v>1.2809999999999999</v>
      </c>
      <c r="J197" s="5">
        <v>0.86680000000000001</v>
      </c>
      <c r="K197" s="5">
        <v>0.18060000000000001</v>
      </c>
      <c r="L197" s="5">
        <v>5.0010000000000003</v>
      </c>
      <c r="M197" s="5">
        <v>0.6492</v>
      </c>
      <c r="N197" s="5">
        <v>2.3199999999999998E-2</v>
      </c>
      <c r="O197" s="5">
        <v>0.47639999999999999</v>
      </c>
      <c r="P197" s="5">
        <v>3.5000000000000001E-3</v>
      </c>
      <c r="Q197" s="5">
        <v>26.44</v>
      </c>
      <c r="R197" s="5">
        <v>6.6900000000000001E-2</v>
      </c>
      <c r="S197" s="5">
        <v>28.29</v>
      </c>
      <c r="T197" s="18">
        <f t="shared" si="3"/>
        <v>106</v>
      </c>
      <c r="U197" s="2">
        <f t="shared" ref="U197:AH197" si="194">IF(OR(F197=0,F197&lt;0.00001,F197&gt;100000),"",IF((IF(F197&gt;F$5,ABS(LOG(((F$5/SUM($F197:$S197))/(F$4/SUM($F$4:$S$4)))*4+2,2)),ABS(LOG(((F197/SUM($F197:$S197))/(F$4/SUM($F$4:$S$4)))*4+2,2)))-3)&gt;8,(IF(F197&gt;F$5,ABS(LOG(((F$5/SUM($F197:$S197))/(F$4/SUM($F$4:$S$4)))*4+2,2)),ABS(LOG(((F197/SUM($F197:$S197))/(F$4/SUM($F$4:$S$4)))*4+2,2)))-3)/7,IF(F197&gt;F$5,ABS(LOG(((F$5/SUM($F197:$S197))/(F$4/SUM($F$4:$S$4)))*4+2,2)),ABS(LOG(((F197/SUM($F197:$S197))/(F$4/SUM($F$4:$S$4)))*4+2,2)))-3))</f>
        <v>3.2179307593202342</v>
      </c>
      <c r="V197" s="2">
        <f t="shared" si="194"/>
        <v>-0.57087449093635811</v>
      </c>
      <c r="W197" s="2">
        <f t="shared" si="194"/>
        <v>5.2679962680089094</v>
      </c>
      <c r="X197" s="2">
        <f t="shared" si="194"/>
        <v>2.3945501721133828</v>
      </c>
      <c r="Y197" s="2">
        <f t="shared" si="194"/>
        <v>2.0055183323270924</v>
      </c>
      <c r="Z197" s="2">
        <f t="shared" si="194"/>
        <v>7.3783625215068067</v>
      </c>
      <c r="AA197" s="2">
        <f t="shared" si="194"/>
        <v>6.2938229718748318</v>
      </c>
      <c r="AB197" s="2">
        <f t="shared" si="194"/>
        <v>2.4837058090906661</v>
      </c>
      <c r="AC197" s="2">
        <f t="shared" si="194"/>
        <v>-1.1096222934289857</v>
      </c>
      <c r="AD197" s="2">
        <f t="shared" si="194"/>
        <v>-1.0716982347574546</v>
      </c>
      <c r="AE197" s="2">
        <f t="shared" si="194"/>
        <v>-1.9999997743885822</v>
      </c>
      <c r="AF197" s="2">
        <f t="shared" si="194"/>
        <v>-0.55490495922008831</v>
      </c>
      <c r="AG197" s="2">
        <f t="shared" si="194"/>
        <v>-1.9461331552544956</v>
      </c>
      <c r="AH197" s="2">
        <f t="shared" si="194"/>
        <v>-0.39875818748973391</v>
      </c>
      <c r="AI197" s="18">
        <f t="shared" si="5"/>
        <v>106</v>
      </c>
      <c r="AJ197" s="2">
        <f t="shared" si="6"/>
        <v>1</v>
      </c>
    </row>
    <row r="198" spans="1:36" ht="10.5" customHeight="1" x14ac:dyDescent="0.25">
      <c r="A198" s="17">
        <v>190</v>
      </c>
      <c r="B198" s="2">
        <f t="shared" si="2"/>
        <v>5.7640432407798654</v>
      </c>
      <c r="C198" s="4">
        <v>2</v>
      </c>
      <c r="D198" s="4">
        <v>21.244958821032501</v>
      </c>
      <c r="E198" s="18">
        <v>108</v>
      </c>
      <c r="F198" s="5">
        <v>0.2024</v>
      </c>
      <c r="G198" s="5">
        <v>1.196</v>
      </c>
      <c r="H198" s="5">
        <v>1.242</v>
      </c>
      <c r="I198" s="5">
        <v>5.6269999999999998</v>
      </c>
      <c r="J198" s="5">
        <v>0.49</v>
      </c>
      <c r="K198" s="5">
        <v>1.4910000000000001</v>
      </c>
      <c r="L198" s="5">
        <v>10.67</v>
      </c>
      <c r="M198" s="5">
        <v>2.109</v>
      </c>
      <c r="N198" s="5">
        <v>1.29E-2</v>
      </c>
      <c r="O198" s="5">
        <v>8.8999999999999996E-2</v>
      </c>
      <c r="P198" s="5">
        <v>3.3800000000000002E-3</v>
      </c>
      <c r="Q198" s="5">
        <v>6.2949999999999999</v>
      </c>
      <c r="R198" s="5">
        <v>0.89739999999999998</v>
      </c>
      <c r="S198" s="5">
        <v>3.08</v>
      </c>
      <c r="T198" s="18">
        <f t="shared" si="3"/>
        <v>108</v>
      </c>
      <c r="U198" s="2">
        <f t="shared" ref="U198:AH198" si="195">IF(OR(F198=0,F198&lt;0.00001,F198&gt;100000),"",IF((IF(F198&gt;F$5,ABS(LOG(((F$5/SUM($F198:$S198))/(F$4/SUM($F$4:$S$4)))*4+2,2)),ABS(LOG(((F198/SUM($F198:$S198))/(F$4/SUM($F$4:$S$4)))*4+2,2)))-3)&gt;8,(IF(F198&gt;F$5,ABS(LOG(((F$5/SUM($F198:$S198))/(F$4/SUM($F$4:$S$4)))*4+2,2)),ABS(LOG(((F198/SUM($F198:$S198))/(F$4/SUM($F$4:$S$4)))*4+2,2)))-3)/7,IF(F198&gt;F$5,ABS(LOG(((F$5/SUM($F198:$S198))/(F$4/SUM($F$4:$S$4)))*4+2,2)),ABS(LOG(((F198/SUM($F198:$S198))/(F$4/SUM($F$4:$S$4)))*4+2,2)))-3))</f>
        <v>3.6480580541076835</v>
      </c>
      <c r="V198" s="2">
        <f t="shared" si="195"/>
        <v>4.5196717465005181</v>
      </c>
      <c r="W198" s="2">
        <f t="shared" si="195"/>
        <v>6.2411572386938214</v>
      </c>
      <c r="X198" s="2">
        <f t="shared" si="195"/>
        <v>5.4245046409323212</v>
      </c>
      <c r="Y198" s="2">
        <f t="shared" si="195"/>
        <v>2.1313373713529282</v>
      </c>
      <c r="Z198" s="2">
        <f t="shared" si="195"/>
        <v>1.5807486173025587</v>
      </c>
      <c r="AA198" s="2">
        <f t="shared" si="195"/>
        <v>1.1914739526609464</v>
      </c>
      <c r="AB198" s="2">
        <f t="shared" si="195"/>
        <v>5.0849417503096177</v>
      </c>
      <c r="AC198" s="2">
        <f t="shared" si="195"/>
        <v>-1.0579395643521676</v>
      </c>
      <c r="AD198" s="2">
        <f t="shared" si="195"/>
        <v>-1.5913610706076402</v>
      </c>
      <c r="AE198" s="2">
        <f t="shared" si="195"/>
        <v>-1.9999995621143425</v>
      </c>
      <c r="AF198" s="2">
        <f t="shared" si="195"/>
        <v>-1.1551277350357481</v>
      </c>
      <c r="AG198" s="2">
        <f t="shared" si="195"/>
        <v>-1.0068936936979258</v>
      </c>
      <c r="AH198" s="2">
        <f t="shared" si="195"/>
        <v>-1.4841753667799209</v>
      </c>
      <c r="AI198" s="18">
        <f t="shared" si="5"/>
        <v>108</v>
      </c>
      <c r="AJ198" s="2">
        <f t="shared" si="6"/>
        <v>1</v>
      </c>
    </row>
    <row r="199" spans="1:36" ht="10.5" customHeight="1" x14ac:dyDescent="0.25">
      <c r="A199" s="17">
        <v>191</v>
      </c>
      <c r="B199" s="2">
        <f t="shared" si="2"/>
        <v>8.7115885789767589</v>
      </c>
      <c r="C199" s="4">
        <v>2</v>
      </c>
      <c r="D199" s="4">
        <v>24.517735858746601</v>
      </c>
      <c r="E199" s="18">
        <v>110</v>
      </c>
      <c r="F199" s="5">
        <v>1.552</v>
      </c>
      <c r="G199" s="5">
        <v>1.9470000000000001</v>
      </c>
      <c r="H199" s="5">
        <v>0.82130000000000003</v>
      </c>
      <c r="I199" s="5">
        <v>2.2599999999999998</v>
      </c>
      <c r="J199" s="5">
        <v>2.1179999999999999</v>
      </c>
      <c r="K199" s="5">
        <v>0.1663</v>
      </c>
      <c r="L199" s="5">
        <v>3.8029999999999999</v>
      </c>
      <c r="M199" s="5">
        <v>1.532</v>
      </c>
      <c r="N199" s="5">
        <v>0.38550000000000001</v>
      </c>
      <c r="O199" s="5">
        <v>6.8689999999999998</v>
      </c>
      <c r="P199" s="5">
        <v>1.06E-2</v>
      </c>
      <c r="Q199" s="5">
        <v>5.9429999999999996</v>
      </c>
      <c r="R199" s="5">
        <v>0.44600000000000001</v>
      </c>
      <c r="S199" s="5">
        <v>45.69</v>
      </c>
      <c r="T199" s="18">
        <f t="shared" si="3"/>
        <v>110</v>
      </c>
      <c r="U199" s="2">
        <f t="shared" ref="U199:AH199" si="196">IF(OR(F199=0,F199&lt;0.00001,F199&gt;100000),"",IF((IF(F199&gt;F$5,ABS(LOG(((F$5/SUM($F199:$S199))/(F$4/SUM($F$4:$S$4)))*4+2,2)),ABS(LOG(((F199/SUM($F199:$S199))/(F$4/SUM($F$4:$S$4)))*4+2,2)))-3)&gt;8,(IF(F199&gt;F$5,ABS(LOG(((F$5/SUM($F199:$S199))/(F$4/SUM($F$4:$S$4)))*4+2,2)),ABS(LOG(((F199/SUM($F199:$S199))/(F$4/SUM($F$4:$S$4)))*4+2,2)))-3)/7,IF(F199&gt;F$5,ABS(LOG(((F$5/SUM($F199:$S199))/(F$4/SUM($F$4:$S$4)))*4+2,2)),ABS(LOG(((F199/SUM($F199:$S199))/(F$4/SUM($F$4:$S$4)))*4+2,2)))-3))</f>
        <v>5.4277142167809647</v>
      </c>
      <c r="V199" s="2">
        <f t="shared" si="196"/>
        <v>4.089703110758852</v>
      </c>
      <c r="W199" s="2">
        <f t="shared" si="196"/>
        <v>4.5170026567198605</v>
      </c>
      <c r="X199" s="2">
        <f t="shared" si="196"/>
        <v>3.0070805272535424</v>
      </c>
      <c r="Y199" s="2">
        <f t="shared" si="196"/>
        <v>3.0636830505002566</v>
      </c>
      <c r="Z199" s="2">
        <f t="shared" si="196"/>
        <v>7.0780352810859295</v>
      </c>
      <c r="AA199" s="2">
        <f t="shared" si="196"/>
        <v>5.7191826340983383</v>
      </c>
      <c r="AB199" s="2">
        <f t="shared" si="196"/>
        <v>3.5066849266751285</v>
      </c>
      <c r="AC199" s="2">
        <f t="shared" si="196"/>
        <v>1.7554372518934169</v>
      </c>
      <c r="AD199" s="2">
        <f t="shared" si="196"/>
        <v>1.641396200831287</v>
      </c>
      <c r="AE199" s="2">
        <f t="shared" si="196"/>
        <v>-1.9999998011031994</v>
      </c>
      <c r="AF199" s="2">
        <f t="shared" si="196"/>
        <v>-1.576273800127004</v>
      </c>
      <c r="AG199" s="2">
        <f t="shared" si="196"/>
        <v>-1.7088779105940126</v>
      </c>
      <c r="AH199" s="2">
        <f t="shared" si="196"/>
        <v>-3.796526412902379E-2</v>
      </c>
      <c r="AI199" s="18">
        <f t="shared" si="5"/>
        <v>110</v>
      </c>
      <c r="AJ199" s="2">
        <f t="shared" si="6"/>
        <v>1</v>
      </c>
    </row>
    <row r="200" spans="1:36" ht="10.5" customHeight="1" x14ac:dyDescent="0.25">
      <c r="A200" s="17">
        <v>192</v>
      </c>
      <c r="B200" s="2">
        <f t="shared" si="2"/>
        <v>7.7449883311006138</v>
      </c>
      <c r="C200" s="4">
        <v>2</v>
      </c>
      <c r="D200" s="4">
        <v>27.79547422005</v>
      </c>
      <c r="E200" s="18">
        <v>112</v>
      </c>
      <c r="F200" s="5">
        <v>0.51019999999999999</v>
      </c>
      <c r="G200" s="5">
        <v>5.6099999999999997E-2</v>
      </c>
      <c r="H200" s="5">
        <v>8.8215000000000003</v>
      </c>
      <c r="I200" s="5">
        <v>6.81</v>
      </c>
      <c r="J200" s="5">
        <v>21.880000000000003</v>
      </c>
      <c r="K200" s="5">
        <v>6.7012999999999998</v>
      </c>
      <c r="L200" s="5">
        <v>4.4809999999999999</v>
      </c>
      <c r="M200" s="5">
        <v>3.1725000000000003</v>
      </c>
      <c r="N200" s="5">
        <v>14.172500000000001</v>
      </c>
      <c r="O200" s="5">
        <v>10.8125</v>
      </c>
      <c r="P200" s="5">
        <v>3.5779999999999999E-2</v>
      </c>
      <c r="Q200" s="5">
        <v>7.4468499999999995</v>
      </c>
      <c r="R200" s="5">
        <v>4.6545000000000005</v>
      </c>
      <c r="S200" s="5">
        <v>52.74</v>
      </c>
      <c r="T200" s="18">
        <f t="shared" si="3"/>
        <v>112</v>
      </c>
      <c r="U200" s="2">
        <f t="shared" ref="U200:AH200" si="197">IF(OR(F200=0,F200&lt;0.00001,F200&gt;100000),"",IF((IF(F200&gt;F$5,ABS(LOG(((F$5/SUM($F200:$S200))/(F$4/SUM($F$4:$S$4)))*4+2,2)),ABS(LOG(((F200/SUM($F200:$S200))/(F$4/SUM($F$4:$S$4)))*4+2,2)))-3)&gt;8,(IF(F200&gt;F$5,ABS(LOG(((F$5/SUM($F200:$S200))/(F$4/SUM($F$4:$S$4)))*4+2,2)),ABS(LOG(((F200/SUM($F200:$S200))/(F$4/SUM($F$4:$S$4)))*4+2,2)))-3)/7,IF(F200&gt;F$5,ABS(LOG(((F$5/SUM($F200:$S200))/(F$4/SUM($F$4:$S$4)))*4+2,2)),ABS(LOG(((F200/SUM($F200:$S200))/(F$4/SUM($F$4:$S$4)))*4+2,2)))-3))</f>
        <v>2.9108803492762902</v>
      </c>
      <c r="V200" s="2">
        <f t="shared" si="197"/>
        <v>-1.0004769202442521</v>
      </c>
      <c r="W200" s="2">
        <f t="shared" si="197"/>
        <v>6.976863478811282</v>
      </c>
      <c r="X200" s="2">
        <f t="shared" si="197"/>
        <v>3.6300574553538816</v>
      </c>
      <c r="Y200" s="2">
        <f t="shared" si="197"/>
        <v>5.4448216711291888</v>
      </c>
      <c r="Z200" s="2">
        <f t="shared" si="197"/>
        <v>1.2821494406640659</v>
      </c>
      <c r="AA200" s="2">
        <f t="shared" si="197"/>
        <v>5.0080461874946351</v>
      </c>
      <c r="AB200" s="2">
        <f t="shared" si="197"/>
        <v>3.6025948945165744</v>
      </c>
      <c r="AC200" s="2">
        <f t="shared" si="197"/>
        <v>5.8985198574047768</v>
      </c>
      <c r="AD200" s="2">
        <f t="shared" si="197"/>
        <v>1.3699699703751342</v>
      </c>
      <c r="AE200" s="2">
        <f t="shared" si="197"/>
        <v>-1.9999998972020459</v>
      </c>
      <c r="AF200" s="2">
        <f t="shared" si="197"/>
        <v>-1.7118291315997127</v>
      </c>
      <c r="AG200" s="2">
        <f t="shared" si="197"/>
        <v>-0.85856179535811217</v>
      </c>
      <c r="AH200" s="2">
        <f t="shared" si="197"/>
        <v>-0.55226772065580976</v>
      </c>
      <c r="AI200" s="18">
        <f t="shared" si="5"/>
        <v>112</v>
      </c>
      <c r="AJ200" s="2">
        <f t="shared" si="6"/>
        <v>2.0795474220050001</v>
      </c>
    </row>
    <row r="201" spans="1:36" ht="10.5" customHeight="1" x14ac:dyDescent="0.25">
      <c r="A201" s="17">
        <v>193</v>
      </c>
      <c r="B201" s="2">
        <f t="shared" si="2"/>
        <v>7.6133935450507586</v>
      </c>
      <c r="C201" s="4">
        <v>2</v>
      </c>
      <c r="D201" s="4">
        <v>23.644522503398999</v>
      </c>
      <c r="E201" s="18">
        <v>114</v>
      </c>
      <c r="F201" s="5">
        <v>1.25E-3</v>
      </c>
      <c r="G201" s="5">
        <v>0.73009999999999997</v>
      </c>
      <c r="H201" s="5">
        <v>0.62380000000000002</v>
      </c>
      <c r="I201" s="5">
        <v>1.78</v>
      </c>
      <c r="J201" s="5">
        <v>0.68179999999999996</v>
      </c>
      <c r="K201" s="5">
        <v>0.1217</v>
      </c>
      <c r="L201" s="5">
        <v>3.536</v>
      </c>
      <c r="M201" s="5">
        <v>1.2230000000000001</v>
      </c>
      <c r="N201" s="5">
        <v>4.5300000000000002E-3</v>
      </c>
      <c r="O201" s="5">
        <v>0.61529999999999996</v>
      </c>
      <c r="P201" s="5">
        <v>3.7500000000000001E-4</v>
      </c>
      <c r="Q201" s="5">
        <v>0.85780000000000001</v>
      </c>
      <c r="R201" s="5">
        <v>0.46310000000000001</v>
      </c>
      <c r="S201" s="5">
        <v>17.86</v>
      </c>
      <c r="T201" s="18">
        <f t="shared" si="3"/>
        <v>114</v>
      </c>
      <c r="U201" s="2">
        <f t="shared" ref="U201:AH201" si="198">IF(OR(F201=0,F201&lt;0.00001,F201&gt;100000),"",IF((IF(F201&gt;F$5,ABS(LOG(((F$5/SUM($F201:$S201))/(F$4/SUM($F$4:$S$4)))*4+2,2)),ABS(LOG(((F201/SUM($F201:$S201))/(F$4/SUM($F$4:$S$4)))*4+2,2)))-3)&gt;8,(IF(F201&gt;F$5,ABS(LOG(((F$5/SUM($F201:$S201))/(F$4/SUM($F$4:$S$4)))*4+2,2)),ABS(LOG(((F201/SUM($F201:$S201))/(F$4/SUM($F$4:$S$4)))*4+2,2)))-3)/7,IF(F201&gt;F$5,ABS(LOG(((F$5/SUM($F201:$S201))/(F$4/SUM($F$4:$S$4)))*4+2,2)),ABS(LOG(((F201/SUM($F201:$S201))/(F$4/SUM($F$4:$S$4)))*4+2,2)))-3))</f>
        <v>-1.5608844505362844</v>
      </c>
      <c r="V201" s="2">
        <f t="shared" si="198"/>
        <v>4.0430261986285574</v>
      </c>
      <c r="W201" s="2">
        <f t="shared" si="198"/>
        <v>5.4801432202119233</v>
      </c>
      <c r="X201" s="2">
        <f t="shared" si="198"/>
        <v>4.0073654655003867</v>
      </c>
      <c r="Y201" s="2">
        <f t="shared" si="198"/>
        <v>2.8048679670702796</v>
      </c>
      <c r="Z201" s="2">
        <f t="shared" si="198"/>
        <v>7.9940226991922181</v>
      </c>
      <c r="AA201" s="2">
        <f t="shared" si="198"/>
        <v>6.9778671984322944</v>
      </c>
      <c r="AB201" s="2">
        <f t="shared" si="198"/>
        <v>4.5329739700874825</v>
      </c>
      <c r="AC201" s="2">
        <f t="shared" si="198"/>
        <v>-1.5361556984940812</v>
      </c>
      <c r="AD201" s="2">
        <f t="shared" si="198"/>
        <v>-0.13075275882174786</v>
      </c>
      <c r="AE201" s="2">
        <f t="shared" si="198"/>
        <v>-1.9999994867282784</v>
      </c>
      <c r="AF201" s="2">
        <f t="shared" si="198"/>
        <v>-1.8273087452626189</v>
      </c>
      <c r="AG201" s="2">
        <f t="shared" si="198"/>
        <v>-1.3227203694847447</v>
      </c>
      <c r="AH201" s="2">
        <f t="shared" si="198"/>
        <v>-2.8621180116711553E-2</v>
      </c>
      <c r="AI201" s="18">
        <f t="shared" si="5"/>
        <v>114</v>
      </c>
      <c r="AJ201" s="2">
        <f t="shared" si="6"/>
        <v>1</v>
      </c>
    </row>
    <row r="202" spans="1:36" ht="10.5" customHeight="1" x14ac:dyDescent="0.25">
      <c r="A202" s="17">
        <v>194</v>
      </c>
      <c r="B202" s="2">
        <f t="shared" si="2"/>
        <v>7.0429206547317804</v>
      </c>
      <c r="C202" s="4">
        <v>2</v>
      </c>
      <c r="D202" s="4">
        <v>22.0912350708163</v>
      </c>
      <c r="E202" s="18">
        <v>116</v>
      </c>
      <c r="F202" s="5">
        <v>2.58E-2</v>
      </c>
      <c r="G202" s="5">
        <v>0.24590000000000001</v>
      </c>
      <c r="H202" s="5">
        <v>0.32500000000000001</v>
      </c>
      <c r="I202" s="5">
        <v>0.32279999999999998</v>
      </c>
      <c r="J202" s="5">
        <v>0.79810000000000003</v>
      </c>
      <c r="K202" s="5">
        <v>0.1033</v>
      </c>
      <c r="L202" s="5">
        <v>0.79930000000000001</v>
      </c>
      <c r="M202" s="5">
        <v>0.4738</v>
      </c>
      <c r="N202" s="5">
        <v>0.2044</v>
      </c>
      <c r="O202" s="5">
        <v>2.82</v>
      </c>
      <c r="P202" s="5">
        <v>8.5700000000000001E-4</v>
      </c>
      <c r="Q202" s="5">
        <v>5.7279999999999998</v>
      </c>
      <c r="R202" s="5">
        <v>5.1799999999999999E-2</v>
      </c>
      <c r="S202" s="5">
        <v>20.7</v>
      </c>
      <c r="T202" s="18">
        <f t="shared" si="3"/>
        <v>116</v>
      </c>
      <c r="U202" s="2">
        <f t="shared" ref="U202:AH202" si="199">IF(OR(F202=0,F202&lt;0.00001,F202&gt;100000),"",IF((IF(F202&gt;F$5,ABS(LOG(((F$5/SUM($F202:$S202))/(F$4/SUM($F$4:$S$4)))*4+2,2)),ABS(LOG(((F202/SUM($F202:$S202))/(F$4/SUM($F$4:$S$4)))*4+2,2)))-3)&gt;8,(IF(F202&gt;F$5,ABS(LOG(((F$5/SUM($F202:$S202))/(F$4/SUM($F$4:$S$4)))*4+2,2)),ABS(LOG(((F202/SUM($F202:$S202))/(F$4/SUM($F$4:$S$4)))*4+2,2)))-3)/7,IF(F202&gt;F$5,ABS(LOG(((F$5/SUM($F202:$S202))/(F$4/SUM($F$4:$S$4)))*4+2,2)),ABS(LOG(((F202/SUM($F202:$S202))/(F$4/SUM($F$4:$S$4)))*4+2,2)))-3))</f>
        <v>0.89132833723220006</v>
      </c>
      <c r="V202" s="2">
        <f t="shared" si="199"/>
        <v>2.3305722145599201</v>
      </c>
      <c r="W202" s="2">
        <f t="shared" si="199"/>
        <v>4.3551961539317166</v>
      </c>
      <c r="X202" s="2">
        <f t="shared" si="199"/>
        <v>1.4646487507362211</v>
      </c>
      <c r="Y202" s="2">
        <f t="shared" si="199"/>
        <v>2.8369797442624476</v>
      </c>
      <c r="Z202" s="2">
        <f t="shared" si="199"/>
        <v>7.5640941619933173</v>
      </c>
      <c r="AA202" s="2">
        <f t="shared" si="199"/>
        <v>4.6501980669993772</v>
      </c>
      <c r="AB202" s="2">
        <f t="shared" si="199"/>
        <v>3.0010731893394684</v>
      </c>
      <c r="AC202" s="2">
        <f t="shared" si="199"/>
        <v>1.9962458069583136</v>
      </c>
      <c r="AD202" s="2">
        <f t="shared" si="199"/>
        <v>1.5399480769352181</v>
      </c>
      <c r="AE202" s="2">
        <f t="shared" si="199"/>
        <v>-1.9999995512874691</v>
      </c>
      <c r="AF202" s="2">
        <f t="shared" si="199"/>
        <v>-1.1989984030853902</v>
      </c>
      <c r="AG202" s="2">
        <f t="shared" si="199"/>
        <v>-1.9178620823061399</v>
      </c>
      <c r="AH202" s="2">
        <f t="shared" si="199"/>
        <v>-1.4467042208698988E-2</v>
      </c>
      <c r="AI202" s="18">
        <f t="shared" si="5"/>
        <v>116</v>
      </c>
      <c r="AJ202" s="2">
        <f t="shared" si="6"/>
        <v>1</v>
      </c>
    </row>
    <row r="203" spans="1:36" ht="10.5" customHeight="1" x14ac:dyDescent="0.25">
      <c r="A203" s="17">
        <v>195</v>
      </c>
      <c r="B203" s="2">
        <f t="shared" si="2"/>
        <v>9.440586351521457</v>
      </c>
      <c r="C203" s="4">
        <v>2</v>
      </c>
      <c r="D203" s="4">
        <v>20.875919357581999</v>
      </c>
      <c r="E203" s="18">
        <v>118</v>
      </c>
      <c r="F203" s="5">
        <v>0.37659999999999999</v>
      </c>
      <c r="G203" s="5">
        <v>1.5685</v>
      </c>
      <c r="H203" s="5">
        <v>0.72340000000000004</v>
      </c>
      <c r="I203" s="5">
        <v>1.0217499999999999</v>
      </c>
      <c r="J203" s="5">
        <v>7.7174999999999994</v>
      </c>
      <c r="K203" s="5">
        <v>0.35604999999999998</v>
      </c>
      <c r="L203" s="5">
        <v>3.5470000000000002</v>
      </c>
      <c r="M203" s="5">
        <v>1.9495</v>
      </c>
      <c r="N203" s="5">
        <v>10.690000000000001</v>
      </c>
      <c r="O203" s="5">
        <v>10.907499999999999</v>
      </c>
      <c r="P203" s="5">
        <v>6.9200000000000008E-3</v>
      </c>
      <c r="Q203" s="5">
        <v>24.215</v>
      </c>
      <c r="R203" s="5">
        <v>4.5499999999999999E-2</v>
      </c>
      <c r="S203" s="5">
        <v>27.89</v>
      </c>
      <c r="T203" s="18">
        <f t="shared" si="3"/>
        <v>118</v>
      </c>
      <c r="U203" s="2">
        <f t="shared" ref="U203:AH203" si="200">IF(OR(F203=0,F203&lt;0.00001,F203&gt;100000),"",IF((IF(F203&gt;F$5,ABS(LOG(((F$5/SUM($F203:$S203))/(F$4/SUM($F$4:$S$4)))*4+2,2)),ABS(LOG(((F203/SUM($F203:$S203))/(F$4/SUM($F$4:$S$4)))*4+2,2)))-3)&gt;8,(IF(F203&gt;F$5,ABS(LOG(((F$5/SUM($F203:$S203))/(F$4/SUM($F$4:$S$4)))*4+2,2)),ABS(LOG(((F203/SUM($F203:$S203))/(F$4/SUM($F$4:$S$4)))*4+2,2)))-3)/7,IF(F203&gt;F$5,ABS(LOG(((F$5/SUM($F203:$S203))/(F$4/SUM($F$4:$S$4)))*4+2,2)),ABS(LOG(((F203/SUM($F203:$S203))/(F$4/SUM($F$4:$S$4)))*4+2,2)))-3))</f>
        <v>3.1111380585323829</v>
      </c>
      <c r="V203" s="2">
        <f t="shared" si="200"/>
        <v>3.4816438051990231</v>
      </c>
      <c r="W203" s="2">
        <f t="shared" si="200"/>
        <v>4.0327475561104213</v>
      </c>
      <c r="X203" s="2">
        <f t="shared" si="200"/>
        <v>1.6302054565117272</v>
      </c>
      <c r="Y203" s="2">
        <f t="shared" si="200"/>
        <v>4.5928367375056594</v>
      </c>
      <c r="Z203" s="2">
        <f t="shared" si="200"/>
        <v>7.8676940573538747</v>
      </c>
      <c r="AA203" s="2">
        <f t="shared" si="200"/>
        <v>5.3133742607627283</v>
      </c>
      <c r="AB203" s="2">
        <f t="shared" si="200"/>
        <v>3.5459948598163793</v>
      </c>
      <c r="AC203" s="2">
        <f t="shared" si="200"/>
        <v>6.1354706089882853</v>
      </c>
      <c r="AD203" s="2">
        <f t="shared" si="200"/>
        <v>1.9753013917698201</v>
      </c>
      <c r="AE203" s="2">
        <f t="shared" si="200"/>
        <v>-1.9999998392839478</v>
      </c>
      <c r="AF203" s="2">
        <f t="shared" si="200"/>
        <v>-0.913230892869759</v>
      </c>
      <c r="AG203" s="2">
        <f t="shared" si="200"/>
        <v>-1.9736508864118956</v>
      </c>
      <c r="AH203" s="2">
        <f t="shared" si="200"/>
        <v>-0.71994672827940054</v>
      </c>
      <c r="AI203" s="18">
        <f t="shared" si="5"/>
        <v>118</v>
      </c>
      <c r="AJ203" s="2">
        <f t="shared" si="6"/>
        <v>1</v>
      </c>
    </row>
    <row r="204" spans="1:36" ht="10.5" customHeight="1" x14ac:dyDescent="0.25">
      <c r="A204" s="17">
        <v>196</v>
      </c>
      <c r="B204" s="2">
        <f t="shared" si="2"/>
        <v>5.3246921957105622</v>
      </c>
      <c r="C204" s="4">
        <v>2</v>
      </c>
      <c r="D204" s="4">
        <v>24.363456681660399</v>
      </c>
      <c r="E204" s="18">
        <v>120</v>
      </c>
      <c r="F204" s="5">
        <v>9.5049999999999996E-2</v>
      </c>
      <c r="G204" s="5">
        <v>0.31264999999999998</v>
      </c>
      <c r="H204" s="5">
        <v>1.3628499999999999</v>
      </c>
      <c r="I204" s="5">
        <v>1.6178499999999998</v>
      </c>
      <c r="J204" s="5">
        <v>1.4599500000000001</v>
      </c>
      <c r="K204" s="5">
        <v>1.4240999999999999</v>
      </c>
      <c r="L204" s="5">
        <v>0.86624999999999996</v>
      </c>
      <c r="M204" s="5">
        <v>0.65425</v>
      </c>
      <c r="N204" s="5">
        <v>0.41584999999999994</v>
      </c>
      <c r="O204" s="5">
        <v>1.83</v>
      </c>
      <c r="P204" s="5">
        <v>5.8449999999999995E-3</v>
      </c>
      <c r="Q204" s="5">
        <v>21.59</v>
      </c>
      <c r="R204" s="5">
        <v>0.10325000000000001</v>
      </c>
      <c r="S204" s="5">
        <v>26.895000000000003</v>
      </c>
      <c r="T204" s="18">
        <f t="shared" si="3"/>
        <v>120</v>
      </c>
      <c r="U204" s="2">
        <f t="shared" ref="U204:AH204" si="201">IF(OR(F204=0,F204&lt;0.00001,F204&gt;100000),"",IF((IF(F204&gt;F$5,ABS(LOG(((F$5/SUM($F204:$S204))/(F$4/SUM($F$4:$S$4)))*4+2,2)),ABS(LOG(((F204/SUM($F204:$S204))/(F$4/SUM($F$4:$S$4)))*4+2,2)))-3)&gt;8,(IF(F204&gt;F$5,ABS(LOG(((F$5/SUM($F204:$S204))/(F$4/SUM($F$4:$S$4)))*4+2,2)),ABS(LOG(((F204/SUM($F204:$S204))/(F$4/SUM($F$4:$S$4)))*4+2,2)))-3)/7,IF(F204&gt;F$5,ABS(LOG(((F$5/SUM($F204:$S204))/(F$4/SUM($F$4:$S$4)))*4+2,2)),ABS(LOG(((F204/SUM($F204:$S204))/(F$4/SUM($F$4:$S$4)))*4+2,2)))-3))</f>
        <v>1.8226492066940612</v>
      </c>
      <c r="V204" s="2">
        <f t="shared" si="201"/>
        <v>1.8595958256513931</v>
      </c>
      <c r="W204" s="2">
        <f t="shared" si="201"/>
        <v>5.5663319939786113</v>
      </c>
      <c r="X204" s="2">
        <f t="shared" si="201"/>
        <v>2.8568188111739907</v>
      </c>
      <c r="Y204" s="2">
        <f t="shared" si="201"/>
        <v>2.8605305169757331</v>
      </c>
      <c r="Z204" s="2">
        <f t="shared" si="201"/>
        <v>1.4648178081988692</v>
      </c>
      <c r="AA204" s="2">
        <f t="shared" si="201"/>
        <v>3.9288076384872443</v>
      </c>
      <c r="AB204" s="2">
        <f t="shared" si="201"/>
        <v>2.6333221475413149</v>
      </c>
      <c r="AC204" s="2">
        <f t="shared" si="201"/>
        <v>2.1635139225805169</v>
      </c>
      <c r="AD204" s="2">
        <f t="shared" si="201"/>
        <v>0.27375092194629014</v>
      </c>
      <c r="AE204" s="2">
        <f t="shared" si="201"/>
        <v>-1.9999997505221874</v>
      </c>
      <c r="AF204" s="2">
        <f t="shared" si="201"/>
        <v>-0.64633615142784029</v>
      </c>
      <c r="AG204" s="2">
        <f t="shared" si="201"/>
        <v>-1.9092475973807446</v>
      </c>
      <c r="AH204" s="2">
        <f t="shared" si="201"/>
        <v>-0.35001429095879688</v>
      </c>
      <c r="AI204" s="18">
        <f t="shared" si="5"/>
        <v>120</v>
      </c>
      <c r="AJ204" s="2">
        <f t="shared" si="6"/>
        <v>1</v>
      </c>
    </row>
    <row r="205" spans="1:36" ht="10.5" customHeight="1" x14ac:dyDescent="0.25">
      <c r="A205" s="17">
        <v>197</v>
      </c>
      <c r="B205" s="2">
        <f t="shared" si="2"/>
        <v>5.5908235043796592</v>
      </c>
      <c r="C205" s="4">
        <v>2</v>
      </c>
      <c r="D205" s="4">
        <v>25.897144975037101</v>
      </c>
      <c r="E205" s="18">
        <v>122</v>
      </c>
      <c r="F205" s="5">
        <v>5.6799999999999998E-5</v>
      </c>
      <c r="G205" s="5">
        <v>0.58579999999999999</v>
      </c>
      <c r="H205" s="5">
        <v>2.41</v>
      </c>
      <c r="I205" s="5">
        <v>1.472</v>
      </c>
      <c r="J205" s="5">
        <v>0.56530000000000002</v>
      </c>
      <c r="K205" s="5">
        <v>2.3199999999999998</v>
      </c>
      <c r="L205" s="5">
        <v>1.008</v>
      </c>
      <c r="M205" s="5">
        <v>0.27239999999999998</v>
      </c>
      <c r="N205" s="5">
        <v>3.2799999999999999E-3</v>
      </c>
      <c r="O205" s="5">
        <v>1.111</v>
      </c>
      <c r="P205" s="5">
        <v>2.1099999999999999E-3</v>
      </c>
      <c r="Q205" s="5">
        <v>14.26</v>
      </c>
      <c r="R205" s="5">
        <v>0.51990000000000003</v>
      </c>
      <c r="S205" s="5">
        <v>3.444</v>
      </c>
      <c r="T205" s="18">
        <f t="shared" si="3"/>
        <v>122</v>
      </c>
      <c r="U205" s="2">
        <f t="shared" ref="U205:AH205" si="202">IF(OR(F205=0,F205&lt;0.00001,F205&gt;100000),"",IF((IF(F205&gt;F$5,ABS(LOG(((F$5/SUM($F205:$S205))/(F$4/SUM($F$4:$S$4)))*4+2,2)),ABS(LOG(((F205/SUM($F205:$S205))/(F$4/SUM($F$4:$S$4)))*4+2,2)))-3)&gt;8,(IF(F205&gt;F$5,ABS(LOG(((F$5/SUM($F205:$S205))/(F$4/SUM($F$4:$S$4)))*4+2,2)),ABS(LOG(((F205/SUM($F205:$S205))/(F$4/SUM($F$4:$S$4)))*4+2,2)))-3)/7,IF(F205&gt;F$5,ABS(LOG(((F$5/SUM($F205:$S205))/(F$4/SUM($F$4:$S$4)))*4+2,2)),ABS(LOG(((F205/SUM($F205:$S205))/(F$4/SUM($F$4:$S$4)))*4+2,2)))-3))</f>
        <v>-1.9764328322836597</v>
      </c>
      <c r="V205" s="2">
        <f t="shared" si="202"/>
        <v>3.757039658705124</v>
      </c>
      <c r="W205" s="2">
        <f t="shared" si="202"/>
        <v>7.4508011932028317</v>
      </c>
      <c r="X205" s="2">
        <f t="shared" si="202"/>
        <v>3.7642732095397529</v>
      </c>
      <c r="Y205" s="2">
        <f t="shared" si="202"/>
        <v>2.5708154799451881</v>
      </c>
      <c r="Z205" s="2">
        <f t="shared" si="202"/>
        <v>1.6173145441479253</v>
      </c>
      <c r="AA205" s="2">
        <f t="shared" si="202"/>
        <v>5.2010390619524784</v>
      </c>
      <c r="AB205" s="2">
        <f t="shared" si="202"/>
        <v>2.4452950185366706</v>
      </c>
      <c r="AC205" s="2">
        <f t="shared" si="202"/>
        <v>-1.6441660297183243</v>
      </c>
      <c r="AD205" s="2">
        <f t="shared" si="202"/>
        <v>0.55605563048739581</v>
      </c>
      <c r="AE205" s="2">
        <f t="shared" si="202"/>
        <v>-1.9999994770971219</v>
      </c>
      <c r="AF205" s="2">
        <f t="shared" si="202"/>
        <v>-0.3430234279826383</v>
      </c>
      <c r="AG205" s="2">
        <f t="shared" si="202"/>
        <v>-1.247058106923179</v>
      </c>
      <c r="AH205" s="2">
        <f t="shared" si="202"/>
        <v>-1.3456388848084357</v>
      </c>
      <c r="AI205" s="18">
        <f t="shared" si="5"/>
        <v>122</v>
      </c>
      <c r="AJ205" s="2">
        <f t="shared" si="6"/>
        <v>1</v>
      </c>
    </row>
    <row r="206" spans="1:36" ht="10.5" customHeight="1" x14ac:dyDescent="0.25">
      <c r="A206" s="17">
        <v>198</v>
      </c>
      <c r="B206" s="2">
        <f t="shared" si="2"/>
        <v>6.7656565422712935</v>
      </c>
      <c r="C206" s="4">
        <v>2</v>
      </c>
      <c r="D206" s="4">
        <v>24.268386889182398</v>
      </c>
      <c r="E206" s="18">
        <v>124</v>
      </c>
      <c r="F206" s="5">
        <v>0.40129999999999999</v>
      </c>
      <c r="G206" s="5">
        <v>0.69389999999999996</v>
      </c>
      <c r="H206" s="5">
        <v>0.51890000000000003</v>
      </c>
      <c r="I206" s="5">
        <v>0.33489999999999998</v>
      </c>
      <c r="J206" s="5">
        <v>0.39169999999999999</v>
      </c>
      <c r="K206" s="5">
        <v>0.24540000000000001</v>
      </c>
      <c r="L206" s="5">
        <v>0.68189999999999995</v>
      </c>
      <c r="M206" s="5">
        <v>0.60680000000000001</v>
      </c>
      <c r="N206" s="5">
        <v>1.9900000000000001E-4</v>
      </c>
      <c r="O206" s="5">
        <v>4.1710000000000003</v>
      </c>
      <c r="P206" s="5">
        <v>1.84E-5</v>
      </c>
      <c r="Q206" s="5">
        <v>2.9529999999999998</v>
      </c>
      <c r="R206" s="5">
        <v>0.17610000000000001</v>
      </c>
      <c r="S206" s="5">
        <v>25.7</v>
      </c>
      <c r="T206" s="18">
        <f t="shared" si="3"/>
        <v>124</v>
      </c>
      <c r="U206" s="2">
        <f t="shared" ref="U206:AH206" si="203">IF(OR(F206=0,F206&lt;0.00001,F206&gt;100000),"",IF((IF(F206&gt;F$5,ABS(LOG(((F$5/SUM($F206:$S206))/(F$4/SUM($F$4:$S$4)))*4+2,2)),ABS(LOG(((F206/SUM($F206:$S206))/(F$4/SUM($F$4:$S$4)))*4+2,2)))-3)&gt;8,(IF(F206&gt;F$5,ABS(LOG(((F$5/SUM($F206:$S206))/(F$4/SUM($F$4:$S$4)))*4+2,2)),ABS(LOG(((F206/SUM($F206:$S206))/(F$4/SUM($F$4:$S$4)))*4+2,2)))-3)/7,IF(F206&gt;F$5,ABS(LOG(((F$5/SUM($F206:$S206))/(F$4/SUM($F$4:$S$4)))*4+2,2)),ABS(LOG(((F206/SUM($F206:$S206))/(F$4/SUM($F$4:$S$4)))*4+2,2)))-3))</f>
        <v>4.4801408759683099</v>
      </c>
      <c r="V206" s="2">
        <f t="shared" si="203"/>
        <v>3.6057973828117351</v>
      </c>
      <c r="W206" s="2">
        <f t="shared" si="203"/>
        <v>4.8472490670062909</v>
      </c>
      <c r="X206" s="2">
        <f t="shared" si="203"/>
        <v>1.3516738436579638</v>
      </c>
      <c r="Y206" s="2">
        <f t="shared" si="203"/>
        <v>1.6967456226644728</v>
      </c>
      <c r="Z206" s="2">
        <f t="shared" si="203"/>
        <v>1.2333675753601838</v>
      </c>
      <c r="AA206" s="2">
        <f t="shared" si="203"/>
        <v>4.2478775883347248</v>
      </c>
      <c r="AB206" s="2">
        <f t="shared" si="203"/>
        <v>3.1749288538513287</v>
      </c>
      <c r="AC206" s="2">
        <f t="shared" si="203"/>
        <v>-1.9815446084701169</v>
      </c>
      <c r="AD206" s="2">
        <f t="shared" si="203"/>
        <v>1.8973544476457942</v>
      </c>
      <c r="AE206" s="2">
        <f t="shared" si="203"/>
        <v>-1.9999996033204319</v>
      </c>
      <c r="AF206" s="2">
        <f t="shared" si="203"/>
        <v>-1.5795853799273216</v>
      </c>
      <c r="AG206" s="2">
        <f t="shared" si="203"/>
        <v>-1.7660227603390881</v>
      </c>
      <c r="AH206" s="2">
        <f t="shared" si="203"/>
        <v>8.709668007386373E-2</v>
      </c>
      <c r="AI206" s="18">
        <f t="shared" si="5"/>
        <v>124</v>
      </c>
      <c r="AJ206" s="2">
        <f t="shared" si="6"/>
        <v>1</v>
      </c>
    </row>
    <row r="207" spans="1:36" ht="10.5" customHeight="1" x14ac:dyDescent="0.25">
      <c r="A207" s="17">
        <v>199</v>
      </c>
      <c r="B207" s="2">
        <f t="shared" si="2"/>
        <v>5.6392896995277777</v>
      </c>
      <c r="C207" s="4">
        <v>2</v>
      </c>
      <c r="D207" s="4">
        <v>26.477117770155999</v>
      </c>
      <c r="E207" s="18">
        <v>126</v>
      </c>
      <c r="F207" s="5">
        <v>1.3100000000000001E-2</v>
      </c>
      <c r="G207" s="5">
        <v>8.5000000000000006E-5</v>
      </c>
      <c r="H207" s="5">
        <v>1.135</v>
      </c>
      <c r="I207" s="5">
        <v>2.7770000000000001</v>
      </c>
      <c r="J207" s="5">
        <v>3.569</v>
      </c>
      <c r="K207" s="5">
        <v>0.13850000000000001</v>
      </c>
      <c r="L207" s="5">
        <v>1.7809999999999999</v>
      </c>
      <c r="M207" s="5">
        <v>0.36830000000000002</v>
      </c>
      <c r="N207" s="5">
        <v>0.69679999999999997</v>
      </c>
      <c r="O207" s="5">
        <v>9.9770000000000003</v>
      </c>
      <c r="P207" s="5">
        <v>11.95</v>
      </c>
      <c r="Q207" s="5">
        <v>15.11</v>
      </c>
      <c r="R207" s="5">
        <v>7.0200000000000002E-3</v>
      </c>
      <c r="S207" s="5">
        <v>34.450000000000003</v>
      </c>
      <c r="T207" s="18">
        <f t="shared" si="3"/>
        <v>126</v>
      </c>
      <c r="U207" s="2">
        <f t="shared" ref="U207:AH207" si="204">IF(OR(F207=0,F207&lt;0.00001,F207&gt;100000),"",IF((IF(F207&gt;F$5,ABS(LOG(((F$5/SUM($F207:$S207))/(F$4/SUM($F$4:$S$4)))*4+2,2)),ABS(LOG(((F207/SUM($F207:$S207))/(F$4/SUM($F$4:$S$4)))*4+2,2)))-3)&gt;8,(IF(F207&gt;F$5,ABS(LOG(((F$5/SUM($F207:$S207))/(F$4/SUM($F$4:$S$4)))*4+2,2)),ABS(LOG(((F207/SUM($F207:$S207))/(F$4/SUM($F$4:$S$4)))*4+2,2)))-3)/7,IF(F207&gt;F$5,ABS(LOG(((F$5/SUM($F207:$S207))/(F$4/SUM($F$4:$S$4)))*4+2,2)),ABS(LOG(((F207/SUM($F207:$S207))/(F$4/SUM($F$4:$S$4)))*4+2,2)))-3))</f>
        <v>-0.80071750166283184</v>
      </c>
      <c r="V207" s="2">
        <f t="shared" si="204"/>
        <v>-1.996213026030754</v>
      </c>
      <c r="W207" s="2">
        <f t="shared" si="204"/>
        <v>4.8241194894117889</v>
      </c>
      <c r="X207" s="2">
        <f t="shared" si="204"/>
        <v>3.1435676370167629</v>
      </c>
      <c r="Y207" s="2">
        <f t="shared" si="204"/>
        <v>3.6452786124366705</v>
      </c>
      <c r="Z207" s="2">
        <f t="shared" si="204"/>
        <v>6.6584923684852235</v>
      </c>
      <c r="AA207" s="2">
        <f t="shared" si="204"/>
        <v>4.4776063459905666</v>
      </c>
      <c r="AB207" s="2">
        <f t="shared" si="204"/>
        <v>1.4046862455944309</v>
      </c>
      <c r="AC207" s="2">
        <f t="shared" si="204"/>
        <v>2.4113636540124368</v>
      </c>
      <c r="AD207" s="2">
        <f t="shared" si="204"/>
        <v>1.996212499820845</v>
      </c>
      <c r="AE207" s="2">
        <f t="shared" si="204"/>
        <v>-1.9999998215553714</v>
      </c>
      <c r="AF207" s="2">
        <f t="shared" si="204"/>
        <v>-1.1691593229442203</v>
      </c>
      <c r="AG207" s="2">
        <f t="shared" si="204"/>
        <v>-1.9954519712801448</v>
      </c>
      <c r="AH207" s="2">
        <f t="shared" si="204"/>
        <v>-0.43483642823231472</v>
      </c>
      <c r="AI207" s="18">
        <f t="shared" si="5"/>
        <v>126</v>
      </c>
      <c r="AJ207" s="2">
        <f t="shared" si="6"/>
        <v>1</v>
      </c>
    </row>
    <row r="208" spans="1:36" ht="10.5" customHeight="1" x14ac:dyDescent="0.25">
      <c r="A208" s="17">
        <v>200</v>
      </c>
      <c r="B208" s="2">
        <f t="shared" si="2"/>
        <v>7.1775555801318927</v>
      </c>
      <c r="C208" s="4">
        <v>2</v>
      </c>
      <c r="D208" s="4">
        <v>28.539281108596299</v>
      </c>
      <c r="E208" s="18">
        <v>128</v>
      </c>
      <c r="F208" s="5">
        <v>0.95530000000000004</v>
      </c>
      <c r="G208" s="5">
        <v>0.30909999999999999</v>
      </c>
      <c r="H208" s="5">
        <v>39.47</v>
      </c>
      <c r="I208" s="5">
        <v>17.93</v>
      </c>
      <c r="J208" s="5">
        <v>21.88</v>
      </c>
      <c r="K208" s="5">
        <v>16.68</v>
      </c>
      <c r="L208" s="5">
        <v>15.79</v>
      </c>
      <c r="M208" s="5">
        <v>7.7309999999999999</v>
      </c>
      <c r="N208" s="5">
        <v>0.96760000000000002</v>
      </c>
      <c r="O208" s="5">
        <v>3.8919999999999999</v>
      </c>
      <c r="P208" s="5">
        <v>163.4</v>
      </c>
      <c r="Q208" s="5">
        <v>115.6</v>
      </c>
      <c r="R208" s="5">
        <v>1.6100000000000001E-3</v>
      </c>
      <c r="S208" s="5">
        <v>6.4109999999999996</v>
      </c>
      <c r="T208" s="18">
        <f t="shared" si="3"/>
        <v>128</v>
      </c>
      <c r="U208" s="2">
        <f t="shared" ref="U208:AH208" si="205">IF(OR(F208=0,F208&lt;0.00001,F208&gt;100000),"",IF((IF(F208&gt;F$5,ABS(LOG(((F$5/SUM($F208:$S208))/(F$4/SUM($F$4:$S$4)))*4+2,2)),ABS(LOG(((F208/SUM($F208:$S208))/(F$4/SUM($F$4:$S$4)))*4+2,2)))-3)&gt;8,(IF(F208&gt;F$5,ABS(LOG(((F$5/SUM($F208:$S208))/(F$4/SUM($F$4:$S$4)))*4+2,2)),ABS(LOG(((F208/SUM($F208:$S208))/(F$4/SUM($F$4:$S$4)))*4+2,2)))-3)/7,IF(F208&gt;F$5,ABS(LOG(((F$5/SUM($F208:$S208))/(F$4/SUM($F$4:$S$4)))*4+2,2)),ABS(LOG(((F208/SUM($F208:$S208))/(F$4/SUM($F$4:$S$4)))*4+2,2)))-3))</f>
        <v>2.3112461079048314</v>
      </c>
      <c r="V208" s="2">
        <f t="shared" si="205"/>
        <v>-0.46084665485291465</v>
      </c>
      <c r="W208" s="2">
        <f t="shared" si="205"/>
        <v>7.6071909387384373</v>
      </c>
      <c r="X208" s="2">
        <f t="shared" si="205"/>
        <v>3.4992135631121126</v>
      </c>
      <c r="Y208" s="2">
        <f t="shared" si="205"/>
        <v>3.9300573541972685</v>
      </c>
      <c r="Z208" s="2">
        <f t="shared" si="205"/>
        <v>7.4460810179836283</v>
      </c>
      <c r="AA208" s="2">
        <f t="shared" si="205"/>
        <v>5.2928246666862755</v>
      </c>
      <c r="AB208" s="2">
        <f t="shared" si="205"/>
        <v>3.3628038281524324</v>
      </c>
      <c r="AC208" s="2">
        <f t="shared" si="205"/>
        <v>0.72601045642213169</v>
      </c>
      <c r="AD208" s="2">
        <f t="shared" si="205"/>
        <v>-0.88647060521523446</v>
      </c>
      <c r="AE208" s="2">
        <f t="shared" si="205"/>
        <v>-1.999999964411239</v>
      </c>
      <c r="AF208" s="2">
        <f t="shared" si="205"/>
        <v>-0.87026373046257843</v>
      </c>
      <c r="AG208" s="2">
        <f t="shared" si="205"/>
        <v>-1.9997916590228664</v>
      </c>
      <c r="AH208" s="2">
        <f t="shared" si="205"/>
        <v>-1.8987374836891266</v>
      </c>
      <c r="AI208" s="18">
        <f t="shared" si="5"/>
        <v>128</v>
      </c>
      <c r="AJ208" s="2">
        <f t="shared" si="6"/>
        <v>2.15392811085963</v>
      </c>
    </row>
    <row r="209" spans="1:36" ht="10.5" customHeight="1" x14ac:dyDescent="0.25">
      <c r="A209" s="17">
        <v>201</v>
      </c>
      <c r="B209" s="2">
        <f t="shared" si="2"/>
        <v>7.3495871566283659</v>
      </c>
      <c r="C209" s="4">
        <v>2</v>
      </c>
      <c r="D209" s="4">
        <v>25.3515330844419</v>
      </c>
      <c r="E209" s="18">
        <v>130</v>
      </c>
      <c r="F209" s="5">
        <v>1.8839999999999999</v>
      </c>
      <c r="G209" s="5">
        <v>0.61319999999999997</v>
      </c>
      <c r="H209" s="5">
        <v>2.5720000000000001</v>
      </c>
      <c r="I209" s="5">
        <v>0.8</v>
      </c>
      <c r="J209" s="5">
        <v>6.2460000000000004</v>
      </c>
      <c r="K209" s="5">
        <v>1.232</v>
      </c>
      <c r="L209" s="5">
        <v>2.0179999999999998</v>
      </c>
      <c r="M209" s="5">
        <v>1.458</v>
      </c>
      <c r="N209" s="5">
        <v>0.63990000000000002</v>
      </c>
      <c r="O209" s="5">
        <v>122.4</v>
      </c>
      <c r="P209" s="5">
        <v>1.2200000000000001E-2</v>
      </c>
      <c r="Q209" s="5">
        <v>6.3579999999999997</v>
      </c>
      <c r="R209" s="5">
        <v>3.8899999999999997E-5</v>
      </c>
      <c r="S209" s="5">
        <v>13.07</v>
      </c>
      <c r="T209" s="18">
        <f t="shared" si="3"/>
        <v>130</v>
      </c>
      <c r="U209" s="2">
        <f t="shared" ref="U209:AH209" si="206">IF(OR(F209=0,F209&lt;0.00001,F209&gt;100000),"",IF((IF(F209&gt;F$5,ABS(LOG(((F$5/SUM($F209:$S209))/(F$4/SUM($F$4:$S$4)))*4+2,2)),ABS(LOG(((F209/SUM($F209:$S209))/(F$4/SUM($F$4:$S$4)))*4+2,2)))-3)&gt;8,(IF(F209&gt;F$5,ABS(LOG(((F$5/SUM($F209:$S209))/(F$4/SUM($F$4:$S$4)))*4+2,2)),ABS(LOG(((F209/SUM($F209:$S209))/(F$4/SUM($F$4:$S$4)))*4+2,2)))-3)/7,IF(F209&gt;F$5,ABS(LOG(((F$5/SUM($F209:$S209))/(F$4/SUM($F$4:$S$4)))*4+2,2)),ABS(LOG(((F209/SUM($F209:$S209))/(F$4/SUM($F$4:$S$4)))*4+2,2)))-3))</f>
        <v>4.5988395429737796</v>
      </c>
      <c r="V209" s="2">
        <f t="shared" si="206"/>
        <v>1.4272030809032215</v>
      </c>
      <c r="W209" s="2">
        <f t="shared" si="206"/>
        <v>5.0439442473179597</v>
      </c>
      <c r="X209" s="2">
        <f t="shared" si="206"/>
        <v>0.606847852126708</v>
      </c>
      <c r="Y209" s="2">
        <f t="shared" si="206"/>
        <v>3.4973123582860959</v>
      </c>
      <c r="Z209" s="2">
        <f t="shared" si="206"/>
        <v>1.2588910685597887</v>
      </c>
      <c r="AA209" s="2">
        <f t="shared" si="206"/>
        <v>3.7108168734104412</v>
      </c>
      <c r="AB209" s="2">
        <f t="shared" si="206"/>
        <v>2.3600901005391801</v>
      </c>
      <c r="AC209" s="2">
        <f t="shared" si="206"/>
        <v>1.40366344298043</v>
      </c>
      <c r="AD209" s="2">
        <f t="shared" si="206"/>
        <v>3.9708013723266156</v>
      </c>
      <c r="AE209" s="2">
        <f t="shared" si="206"/>
        <v>-1.9999999081776483</v>
      </c>
      <c r="AF209" s="2">
        <f t="shared" si="206"/>
        <v>-1.7752065373397257</v>
      </c>
      <c r="AG209" s="2">
        <f t="shared" si="206"/>
        <v>-1.9999870113690581</v>
      </c>
      <c r="AH209" s="2">
        <f t="shared" si="206"/>
        <v>-1.5327584100806269</v>
      </c>
      <c r="AI209" s="18">
        <f t="shared" si="5"/>
        <v>130</v>
      </c>
      <c r="AJ209" s="2">
        <f t="shared" si="6"/>
        <v>1</v>
      </c>
    </row>
    <row r="210" spans="1:36" ht="10.5" customHeight="1" x14ac:dyDescent="0.25">
      <c r="A210" s="17">
        <v>202</v>
      </c>
      <c r="B210" s="2">
        <f t="shared" si="2"/>
        <v>6.9911931290028377</v>
      </c>
      <c r="C210" s="4">
        <v>2</v>
      </c>
      <c r="D210" s="4">
        <v>26.748995197801101</v>
      </c>
      <c r="E210" s="18">
        <v>132</v>
      </c>
      <c r="F210" s="5">
        <v>0.72729999999999995</v>
      </c>
      <c r="G210" s="5">
        <v>7.2709999999999999</v>
      </c>
      <c r="H210" s="5">
        <v>2.4249999999999998</v>
      </c>
      <c r="I210" s="5">
        <v>3.8170000000000002</v>
      </c>
      <c r="J210" s="5">
        <v>32.67</v>
      </c>
      <c r="K210" s="5">
        <v>0.69259999999999999</v>
      </c>
      <c r="L210" s="5">
        <v>10.67</v>
      </c>
      <c r="M210" s="5">
        <v>3.8849999999999998</v>
      </c>
      <c r="N210" s="5">
        <v>22.31</v>
      </c>
      <c r="O210" s="5">
        <v>119.9</v>
      </c>
      <c r="P210" s="5">
        <v>1.0800000000000001E-2</v>
      </c>
      <c r="Q210" s="5">
        <v>5.0599999999999999E-2</v>
      </c>
      <c r="R210" s="5">
        <v>1.5100000000000001E-2</v>
      </c>
      <c r="S210" s="5">
        <v>279.89999999999998</v>
      </c>
      <c r="T210" s="18">
        <f t="shared" si="3"/>
        <v>132</v>
      </c>
      <c r="U210" s="2">
        <f t="shared" ref="U210:AH210" si="207">IF(OR(F210=0,F210&lt;0.00001,F210&gt;100000),"",IF((IF(F210&gt;F$5,ABS(LOG(((F$5/SUM($F210:$S210))/(F$4/SUM($F$4:$S$4)))*4+2,2)),ABS(LOG(((F210/SUM($F210:$S210))/(F$4/SUM($F$4:$S$4)))*4+2,2)))-3)&gt;8,(IF(F210&gt;F$5,ABS(LOG(((F$5/SUM($F210:$S210))/(F$4/SUM($F$4:$S$4)))*4+2,2)),ABS(LOG(((F210/SUM($F210:$S210))/(F$4/SUM($F$4:$S$4)))*4+2,2)))-3)/7,IF(F210&gt;F$5,ABS(LOG(((F$5/SUM($F210:$S210))/(F$4/SUM($F$4:$S$4)))*4+2,2)),ABS(LOG(((F210/SUM($F210:$S210))/(F$4/SUM($F$4:$S$4)))*4+2,2)))-3))</f>
        <v>1.7202808211263116</v>
      </c>
      <c r="V210" s="2">
        <f t="shared" si="207"/>
        <v>2.7637851462105516</v>
      </c>
      <c r="W210" s="2">
        <f t="shared" si="207"/>
        <v>3.3789012489270176</v>
      </c>
      <c r="X210" s="2">
        <f t="shared" si="207"/>
        <v>1.1683797561211788</v>
      </c>
      <c r="Y210" s="2">
        <f t="shared" si="207"/>
        <v>4.2665816623563835</v>
      </c>
      <c r="Z210" s="2">
        <f t="shared" si="207"/>
        <v>6.4184608344053178</v>
      </c>
      <c r="AA210" s="2">
        <f t="shared" si="207"/>
        <v>4.4973683825666022</v>
      </c>
      <c r="AB210" s="2">
        <f t="shared" si="207"/>
        <v>2.1796307389053835</v>
      </c>
      <c r="AC210" s="2">
        <f t="shared" si="207"/>
        <v>4.7929754126001116</v>
      </c>
      <c r="AD210" s="2">
        <f t="shared" si="207"/>
        <v>2.4127323948681489</v>
      </c>
      <c r="AE210" s="2">
        <f t="shared" si="207"/>
        <v>-1.9999999697991604</v>
      </c>
      <c r="AF210" s="2">
        <f t="shared" si="207"/>
        <v>-1.9993634060970744</v>
      </c>
      <c r="AG210" s="2">
        <f t="shared" si="207"/>
        <v>-1.9983426516742344</v>
      </c>
      <c r="AH210" s="2">
        <f t="shared" si="207"/>
        <v>-0.11483908352778327</v>
      </c>
      <c r="AI210" s="18">
        <f t="shared" si="5"/>
        <v>132</v>
      </c>
      <c r="AJ210" s="2">
        <f t="shared" si="6"/>
        <v>1</v>
      </c>
    </row>
    <row r="211" spans="1:36" ht="10.5" customHeight="1" x14ac:dyDescent="0.25">
      <c r="A211" s="17">
        <v>203</v>
      </c>
      <c r="B211" s="2">
        <f t="shared" si="2"/>
        <v>6.9785312347719275</v>
      </c>
      <c r="C211" s="4">
        <v>2</v>
      </c>
      <c r="D211" s="4">
        <v>34.5882691322456</v>
      </c>
      <c r="E211" s="18">
        <v>134</v>
      </c>
      <c r="F211" s="5">
        <v>40.1</v>
      </c>
      <c r="G211" s="5">
        <v>87.06</v>
      </c>
      <c r="H211" s="5">
        <v>83.88</v>
      </c>
      <c r="I211" s="5">
        <v>62.52</v>
      </c>
      <c r="J211" s="5">
        <v>309.39999999999998</v>
      </c>
      <c r="K211" s="5">
        <v>1.6240000000000001</v>
      </c>
      <c r="L211" s="5">
        <v>27.85</v>
      </c>
      <c r="M211" s="5">
        <v>2.8290000000000002</v>
      </c>
      <c r="N211" s="5">
        <v>7.7499999999999999E-2</v>
      </c>
      <c r="O211" s="5">
        <v>0.38669999999999999</v>
      </c>
      <c r="P211" s="5"/>
      <c r="Q211" s="5">
        <v>157</v>
      </c>
      <c r="R211" s="5">
        <v>7.3499999999999998E-3</v>
      </c>
      <c r="S211" s="5">
        <v>9.6890000000000001</v>
      </c>
      <c r="T211" s="18">
        <f t="shared" si="3"/>
        <v>134</v>
      </c>
      <c r="U211" s="2">
        <f t="shared" ref="U211:AH211" si="208">IF(OR(F211=0,F211&lt;0.00001,F211&gt;100000),"",IF((IF(F211&gt;F$5,ABS(LOG(((F$5/SUM($F211:$S211))/(F$4/SUM($F$4:$S$4)))*4+2,2)),ABS(LOG(((F211/SUM($F211:$S211))/(F$4/SUM($F$4:$S$4)))*4+2,2)))-3)&gt;8,(IF(F211&gt;F$5,ABS(LOG(((F$5/SUM($F211:$S211))/(F$4/SUM($F$4:$S$4)))*4+2,2)),ABS(LOG(((F211/SUM($F211:$S211))/(F$4/SUM($F$4:$S$4)))*4+2,2)))-3)/7,IF(F211&gt;F$5,ABS(LOG(((F$5/SUM($F211:$S211))/(F$4/SUM($F$4:$S$4)))*4+2,2)),ABS(LOG(((F211/SUM($F211:$S211))/(F$4/SUM($F$4:$S$4)))*4+2,2)))-3))</f>
        <v>2.4418619697453732</v>
      </c>
      <c r="V211" s="2">
        <f t="shared" si="208"/>
        <v>2.1041860048186738</v>
      </c>
      <c r="W211" s="2">
        <f t="shared" si="208"/>
        <v>6.6993087760466388</v>
      </c>
      <c r="X211" s="2">
        <f t="shared" si="208"/>
        <v>4.3578499599024134</v>
      </c>
      <c r="Y211" s="2">
        <f t="shared" si="208"/>
        <v>6.8024730837795691</v>
      </c>
      <c r="Z211" s="2">
        <f t="shared" si="208"/>
        <v>6.5191992210817364</v>
      </c>
      <c r="AA211" s="2">
        <f t="shared" si="208"/>
        <v>5.1834705722437171</v>
      </c>
      <c r="AB211" s="2">
        <f t="shared" si="208"/>
        <v>1.1239719527392138</v>
      </c>
      <c r="AC211" s="2">
        <f t="shared" si="208"/>
        <v>-1.6939673837406848</v>
      </c>
      <c r="AD211" s="2">
        <f t="shared" si="208"/>
        <v>-1.9149284872682848</v>
      </c>
      <c r="AE211" s="2" t="str">
        <f t="shared" si="208"/>
        <v/>
      </c>
      <c r="AF211" s="2">
        <f t="shared" si="208"/>
        <v>-1.1142647753092709</v>
      </c>
      <c r="AG211" s="2">
        <f t="shared" si="208"/>
        <v>-1.9995004133357663</v>
      </c>
      <c r="AH211" s="2">
        <f t="shared" si="208"/>
        <v>-1.9190331279997337</v>
      </c>
      <c r="AI211" s="18">
        <f t="shared" si="5"/>
        <v>134</v>
      </c>
      <c r="AJ211" s="2">
        <f t="shared" si="6"/>
        <v>1.8854242950080815</v>
      </c>
    </row>
    <row r="212" spans="1:36" ht="10.5" customHeight="1" x14ac:dyDescent="0.25">
      <c r="A212" s="17">
        <v>204</v>
      </c>
      <c r="B212" s="2">
        <f t="shared" si="2"/>
        <v>5.3618962978314482</v>
      </c>
      <c r="C212" s="4">
        <v>2</v>
      </c>
      <c r="D212" s="4">
        <v>24.190024933582698</v>
      </c>
      <c r="E212" s="18">
        <v>136</v>
      </c>
      <c r="F212" s="5">
        <v>0.15140000000000001</v>
      </c>
      <c r="G212" s="5"/>
      <c r="H212" s="5">
        <v>1.4079999999999999</v>
      </c>
      <c r="I212" s="5">
        <v>0.35089999999999999</v>
      </c>
      <c r="J212" s="5">
        <v>1.101</v>
      </c>
      <c r="K212" s="5">
        <v>0.77539999999999998</v>
      </c>
      <c r="L212" s="5">
        <v>0.80700000000000005</v>
      </c>
      <c r="M212" s="5">
        <v>0.59740000000000004</v>
      </c>
      <c r="N212" s="5">
        <v>1.23E-3</v>
      </c>
      <c r="O212" s="5">
        <v>1.07E-3</v>
      </c>
      <c r="P212" s="5"/>
      <c r="Q212" s="5">
        <v>4.8040000000000003</v>
      </c>
      <c r="R212" s="5">
        <v>6.0400000000000002E-2</v>
      </c>
      <c r="S212" s="5">
        <v>0.64139999999999997</v>
      </c>
      <c r="T212" s="18">
        <f t="shared" si="3"/>
        <v>136</v>
      </c>
      <c r="U212" s="2">
        <f t="shared" ref="U212:AH212" si="209">IF(OR(F212=0,F212&lt;0.00001,F212&gt;100000),"",IF((IF(F212&gt;F$5,ABS(LOG(((F$5/SUM($F212:$S212))/(F$4/SUM($F$4:$S$4)))*4+2,2)),ABS(LOG(((F212/SUM($F212:$S212))/(F$4/SUM($F$4:$S$4)))*4+2,2)))-3)&gt;8,(IF(F212&gt;F$5,ABS(LOG(((F$5/SUM($F212:$S212))/(F$4/SUM($F$4:$S$4)))*4+2,2)),ABS(LOG(((F212/SUM($F212:$S212))/(F$4/SUM($F$4:$S$4)))*4+2,2)))-3)/7,IF(F212&gt;F$5,ABS(LOG(((F$5/SUM($F212:$S212))/(F$4/SUM($F$4:$S$4)))*4+2,2)),ABS(LOG(((F212/SUM($F212:$S212))/(F$4/SUM($F$4:$S$4)))*4+2,2)))-3))</f>
        <v>4.8552327004871225</v>
      </c>
      <c r="V212" s="2" t="str">
        <f t="shared" si="209"/>
        <v/>
      </c>
      <c r="W212" s="2">
        <f t="shared" si="209"/>
        <v>1.151611283312387</v>
      </c>
      <c r="X212" s="2">
        <f t="shared" si="209"/>
        <v>3.098158425389026</v>
      </c>
      <c r="Y212" s="2">
        <f t="shared" si="209"/>
        <v>4.8694895582835134</v>
      </c>
      <c r="Z212" s="2">
        <f t="shared" si="209"/>
        <v>1.7253854641338362</v>
      </c>
      <c r="AA212" s="2">
        <f t="shared" si="209"/>
        <v>6.2616298258883525</v>
      </c>
      <c r="AB212" s="2">
        <f t="shared" si="209"/>
        <v>4.9091046897401442</v>
      </c>
      <c r="AC212" s="2">
        <f t="shared" si="209"/>
        <v>-1.6503394899340065</v>
      </c>
      <c r="AD212" s="2">
        <f t="shared" si="209"/>
        <v>-1.9823763240687358</v>
      </c>
      <c r="AE212" s="2" t="str">
        <f t="shared" si="209"/>
        <v/>
      </c>
      <c r="AF212" s="2">
        <f t="shared" si="209"/>
        <v>-0.46550147356693694</v>
      </c>
      <c r="AG212" s="2">
        <f t="shared" si="209"/>
        <v>-1.7272145571268607</v>
      </c>
      <c r="AH212" s="2">
        <f t="shared" si="209"/>
        <v>-1.6444667707990475</v>
      </c>
      <c r="AI212" s="18">
        <f t="shared" si="5"/>
        <v>136</v>
      </c>
      <c r="AJ212" s="2">
        <f t="shared" si="6"/>
        <v>1</v>
      </c>
    </row>
    <row r="213" spans="1:36" ht="10.5" customHeight="1" x14ac:dyDescent="0.25">
      <c r="A213" s="17">
        <v>205</v>
      </c>
      <c r="B213" s="2">
        <f t="shared" si="2"/>
        <v>9.565250168513348</v>
      </c>
      <c r="C213" s="4">
        <v>2</v>
      </c>
      <c r="D213" s="4">
        <v>25.902752404278498</v>
      </c>
      <c r="E213" s="18">
        <v>138</v>
      </c>
      <c r="F213" s="5">
        <v>2.508</v>
      </c>
      <c r="G213" s="5">
        <v>1.5299999999999999E-2</v>
      </c>
      <c r="H213" s="5">
        <v>3.5190000000000001</v>
      </c>
      <c r="I213" s="5">
        <v>1.7709999999999999</v>
      </c>
      <c r="J213" s="5">
        <v>4.8230000000000004</v>
      </c>
      <c r="K213" s="5">
        <v>0.3352</v>
      </c>
      <c r="L213" s="5">
        <v>0.98750000000000004</v>
      </c>
      <c r="M213" s="5">
        <v>1.264</v>
      </c>
      <c r="N213" s="5">
        <v>0.83309999999999995</v>
      </c>
      <c r="O213" s="5">
        <v>2.1429999999999998</v>
      </c>
      <c r="P213" s="5"/>
      <c r="Q213" s="5">
        <v>6.7750000000000004</v>
      </c>
      <c r="R213" s="5"/>
      <c r="S213" s="5">
        <v>7.5659999999999998</v>
      </c>
      <c r="T213" s="18">
        <f t="shared" si="3"/>
        <v>138</v>
      </c>
      <c r="U213" s="2">
        <f t="shared" ref="U213:AH213" si="210">IF(OR(F213=0,F213&lt;0.00001,F213&gt;100000),"",IF((IF(F213&gt;F$5,ABS(LOG(((F$5/SUM($F213:$S213))/(F$4/SUM($F$4:$S$4)))*4+2,2)),ABS(LOG(((F213/SUM($F213:$S213))/(F$4/SUM($F$4:$S$4)))*4+2,2)))-3)&gt;8,(IF(F213&gt;F$5,ABS(LOG(((F$5/SUM($F213:$S213))/(F$4/SUM($F$4:$S$4)))*4+2,2)),ABS(LOG(((F213/SUM($F213:$S213))/(F$4/SUM($F$4:$S$4)))*4+2,2)))-3)/7,IF(F213&gt;F$5,ABS(LOG(((F$5/SUM($F213:$S213))/(F$4/SUM($F$4:$S$4)))*4+2,2)),ABS(LOG(((F213/SUM($F213:$S213))/(F$4/SUM($F$4:$S$4)))*4+2,2)))-3))</f>
        <v>6.9644559102396428</v>
      </c>
      <c r="V213" s="2">
        <f t="shared" si="210"/>
        <v>-0.86786949993904283</v>
      </c>
      <c r="W213" s="2">
        <f t="shared" si="210"/>
        <v>7.7783742400460394</v>
      </c>
      <c r="X213" s="2">
        <f t="shared" si="210"/>
        <v>3.8120393573184712</v>
      </c>
      <c r="Y213" s="2">
        <f t="shared" si="210"/>
        <v>5.3921132242954588</v>
      </c>
      <c r="Z213" s="2">
        <f t="shared" si="210"/>
        <v>1.3233667716900013</v>
      </c>
      <c r="AA213" s="2">
        <f t="shared" si="210"/>
        <v>4.9550921450215339</v>
      </c>
      <c r="AB213" s="2">
        <f t="shared" si="210"/>
        <v>4.3908576012243792</v>
      </c>
      <c r="AC213" s="2">
        <f t="shared" si="210"/>
        <v>3.9560208852181313</v>
      </c>
      <c r="AD213" s="2">
        <f t="shared" si="210"/>
        <v>1.1848703681360311</v>
      </c>
      <c r="AE213" s="2" t="str">
        <f t="shared" si="210"/>
        <v/>
      </c>
      <c r="AF213" s="2">
        <f t="shared" si="210"/>
        <v>-1.0895856477286507</v>
      </c>
      <c r="AG213" s="2" t="str">
        <f t="shared" si="210"/>
        <v/>
      </c>
      <c r="AH213" s="2">
        <f t="shared" si="210"/>
        <v>-0.94071785604537839</v>
      </c>
      <c r="AI213" s="18">
        <f t="shared" si="5"/>
        <v>138</v>
      </c>
      <c r="AJ213" s="2">
        <f t="shared" si="6"/>
        <v>1</v>
      </c>
    </row>
    <row r="214" spans="1:36" ht="10.5" customHeight="1" x14ac:dyDescent="0.25">
      <c r="A214" s="17">
        <v>206</v>
      </c>
      <c r="B214" s="2">
        <f t="shared" si="2"/>
        <v>5.4141341612110052</v>
      </c>
      <c r="C214" s="4">
        <v>2</v>
      </c>
      <c r="D214" s="4">
        <v>27.642266723220299</v>
      </c>
      <c r="E214" s="18">
        <v>140</v>
      </c>
      <c r="F214" s="5">
        <v>1.5049999999999999</v>
      </c>
      <c r="G214" s="5">
        <v>0.2011</v>
      </c>
      <c r="H214" s="5">
        <v>2.4689999999999999</v>
      </c>
      <c r="I214" s="5">
        <v>1.722</v>
      </c>
      <c r="J214" s="5">
        <v>10.68</v>
      </c>
      <c r="K214" s="5">
        <v>0.83360000000000001</v>
      </c>
      <c r="L214" s="5">
        <v>2.5449999999999999</v>
      </c>
      <c r="M214" s="5">
        <v>0.90329999999999999</v>
      </c>
      <c r="N214" s="5">
        <v>3.7040000000000002</v>
      </c>
      <c r="O214" s="5">
        <v>4.6749999999999998</v>
      </c>
      <c r="P214" s="5">
        <v>1.06E-2</v>
      </c>
      <c r="Q214" s="5">
        <v>51.75</v>
      </c>
      <c r="R214" s="5">
        <v>4.3400000000000001E-2</v>
      </c>
      <c r="S214" s="5">
        <v>257.60000000000002</v>
      </c>
      <c r="T214" s="18">
        <f t="shared" si="3"/>
        <v>140</v>
      </c>
      <c r="U214" s="2">
        <f t="shared" ref="U214:AH214" si="211">IF(OR(F214=0,F214&lt;0.00001,F214&gt;100000),"",IF((IF(F214&gt;F$5,ABS(LOG(((F$5/SUM($F214:$S214))/(F$4/SUM($F$4:$S$4)))*4+2,2)),ABS(LOG(((F214/SUM($F214:$S214))/(F$4/SUM($F$4:$S$4)))*4+2,2)))-3)&gt;8,(IF(F214&gt;F$5,ABS(LOG(((F$5/SUM($F214:$S214))/(F$4/SUM($F$4:$S$4)))*4+2,2)),ABS(LOG(((F214/SUM($F214:$S214))/(F$4/SUM($F$4:$S$4)))*4+2,2)))-3)/7,IF(F214&gt;F$5,ABS(LOG(((F$5/SUM($F214:$S214))/(F$4/SUM($F$4:$S$4)))*4+2,2)),ABS(LOG(((F214/SUM($F214:$S214))/(F$4/SUM($F$4:$S$4)))*4+2,2)))-3))</f>
        <v>3.2113342815630883</v>
      </c>
      <c r="V214" s="2">
        <f t="shared" si="211"/>
        <v>-0.67504265398563978</v>
      </c>
      <c r="W214" s="2">
        <f t="shared" si="211"/>
        <v>3.9102127834058313</v>
      </c>
      <c r="X214" s="2">
        <f t="shared" si="211"/>
        <v>0.62193252755391715</v>
      </c>
      <c r="Y214" s="2">
        <f t="shared" si="211"/>
        <v>3.1909823183095511</v>
      </c>
      <c r="Z214" s="2">
        <f t="shared" si="211"/>
        <v>7.2002978555597767</v>
      </c>
      <c r="AA214" s="2">
        <f t="shared" si="211"/>
        <v>2.9763339125624322</v>
      </c>
      <c r="AB214" s="2">
        <f t="shared" si="211"/>
        <v>0.74280887680042529</v>
      </c>
      <c r="AC214" s="2">
        <f t="shared" si="211"/>
        <v>2.7598993627284276</v>
      </c>
      <c r="AD214" s="2">
        <f t="shared" si="211"/>
        <v>-0.5688456160524864</v>
      </c>
      <c r="AE214" s="2">
        <f t="shared" si="211"/>
        <v>-1.9999999568050995</v>
      </c>
      <c r="AF214" s="2">
        <f t="shared" si="211"/>
        <v>-1.2813947275141453</v>
      </c>
      <c r="AG214" s="2">
        <f t="shared" si="211"/>
        <v>-1.9931991142236811</v>
      </c>
      <c r="AH214" s="2">
        <f t="shared" si="211"/>
        <v>0.18461273815839796</v>
      </c>
      <c r="AI214" s="18">
        <f t="shared" si="5"/>
        <v>140</v>
      </c>
      <c r="AJ214" s="2">
        <f t="shared" si="6"/>
        <v>2.0642266723220297</v>
      </c>
    </row>
    <row r="215" spans="1:36" ht="10.5" customHeight="1" x14ac:dyDescent="0.25">
      <c r="A215" s="17">
        <v>207</v>
      </c>
      <c r="B215" s="2">
        <f t="shared" si="2"/>
        <v>8.8824088074615233</v>
      </c>
      <c r="C215" s="4">
        <v>2</v>
      </c>
      <c r="D215" s="4">
        <v>23.653051822098099</v>
      </c>
      <c r="E215" s="18">
        <v>142</v>
      </c>
      <c r="F215" s="5">
        <v>0.58040000000000003</v>
      </c>
      <c r="G215" s="5">
        <v>2.387</v>
      </c>
      <c r="H215" s="5">
        <v>3.996</v>
      </c>
      <c r="I215" s="5">
        <v>1.59</v>
      </c>
      <c r="J215" s="5">
        <v>3.4940000000000002</v>
      </c>
      <c r="K215" s="5">
        <v>0.52059999999999995</v>
      </c>
      <c r="L215" s="5">
        <v>2.8769999999999998</v>
      </c>
      <c r="M215" s="5">
        <v>2.1579999999999999</v>
      </c>
      <c r="N215" s="5">
        <v>0.8972</v>
      </c>
      <c r="O215" s="5">
        <v>53.42</v>
      </c>
      <c r="P215" s="5"/>
      <c r="Q215" s="5">
        <v>6.09</v>
      </c>
      <c r="R215" s="5">
        <v>0.16009999999999999</v>
      </c>
      <c r="S215" s="5">
        <v>62.66</v>
      </c>
      <c r="T215" s="18">
        <f t="shared" si="3"/>
        <v>142</v>
      </c>
      <c r="U215" s="2">
        <f t="shared" ref="U215:AH215" si="212">IF(OR(F215=0,F215&lt;0.00001,F215&gt;100000),"",IF((IF(F215&gt;F$5,ABS(LOG(((F$5/SUM($F215:$S215))/(F$4/SUM($F$4:$S$4)))*4+2,2)),ABS(LOG(((F215/SUM($F215:$S215))/(F$4/SUM($F$4:$S$4)))*4+2,2)))-3)&gt;8,(IF(F215&gt;F$5,ABS(LOG(((F$5/SUM($F215:$S215))/(F$4/SUM($F$4:$S$4)))*4+2,2)),ABS(LOG(((F215/SUM($F215:$S215))/(F$4/SUM($F$4:$S$4)))*4+2,2)))-3)/7,IF(F215&gt;F$5,ABS(LOG(((F$5/SUM($F215:$S215))/(F$4/SUM($F$4:$S$4)))*4+2,2)),ABS(LOG(((F215/SUM($F215:$S215))/(F$4/SUM($F$4:$S$4)))*4+2,2)))-3))</f>
        <v>3.1055416161479314</v>
      </c>
      <c r="V215" s="2">
        <f t="shared" si="212"/>
        <v>3.4582195162182465</v>
      </c>
      <c r="W215" s="2">
        <f t="shared" si="212"/>
        <v>5.8527091908613134</v>
      </c>
      <c r="X215" s="2">
        <f t="shared" si="212"/>
        <v>1.6377509068618012</v>
      </c>
      <c r="Y215" s="2">
        <f t="shared" si="212"/>
        <v>2.8554954151602114</v>
      </c>
      <c r="Z215" s="2">
        <f t="shared" si="212"/>
        <v>7.7861014235033732</v>
      </c>
      <c r="AA215" s="2">
        <f t="shared" si="212"/>
        <v>4.3897717016780726</v>
      </c>
      <c r="AB215" s="2">
        <f t="shared" si="212"/>
        <v>3.0750400808399547</v>
      </c>
      <c r="AC215" s="2">
        <f t="shared" si="212"/>
        <v>2.0177953834167202</v>
      </c>
      <c r="AD215" s="2">
        <f t="shared" si="212"/>
        <v>3.5734317305795491</v>
      </c>
      <c r="AE215" s="2" t="str">
        <f t="shared" si="212"/>
        <v/>
      </c>
      <c r="AF215" s="2">
        <f t="shared" si="212"/>
        <v>-1.7579311401717146</v>
      </c>
      <c r="AG215" s="2">
        <f t="shared" si="212"/>
        <v>-1.9407635056336043</v>
      </c>
      <c r="AH215" s="2">
        <f t="shared" si="212"/>
        <v>-0.37982672030631193</v>
      </c>
      <c r="AI215" s="18">
        <f t="shared" si="5"/>
        <v>142</v>
      </c>
      <c r="AJ215" s="2">
        <f t="shared" si="6"/>
        <v>1</v>
      </c>
    </row>
    <row r="216" spans="1:36" ht="10.5" customHeight="1" x14ac:dyDescent="0.25">
      <c r="A216" s="17">
        <v>208</v>
      </c>
      <c r="B216" s="2">
        <f t="shared" si="2"/>
        <v>5.70543441257335</v>
      </c>
      <c r="C216" s="4">
        <v>2</v>
      </c>
      <c r="D216" s="4">
        <v>29.176580025018001</v>
      </c>
      <c r="E216" s="18">
        <v>144</v>
      </c>
      <c r="F216" s="5">
        <v>3.4000000000000002E-2</v>
      </c>
      <c r="G216" s="5">
        <v>1.67E-3</v>
      </c>
      <c r="H216" s="5">
        <v>4.3090000000000002</v>
      </c>
      <c r="I216" s="5">
        <v>14.51</v>
      </c>
      <c r="J216" s="5">
        <v>20.190000000000001</v>
      </c>
      <c r="K216" s="5">
        <v>0.96899999999999997</v>
      </c>
      <c r="L216" s="5">
        <v>5.1319999999999997</v>
      </c>
      <c r="M216" s="5">
        <v>1.873</v>
      </c>
      <c r="N216" s="5">
        <v>1.7000000000000001E-2</v>
      </c>
      <c r="O216" s="5">
        <v>22.46</v>
      </c>
      <c r="P216" s="5">
        <v>8.8100000000000001E-3</v>
      </c>
      <c r="Q216" s="5">
        <v>16.11</v>
      </c>
      <c r="R216" s="5">
        <v>8.6359999999999992</v>
      </c>
      <c r="S216" s="5">
        <v>20.84</v>
      </c>
      <c r="T216" s="18">
        <f t="shared" si="3"/>
        <v>144</v>
      </c>
      <c r="U216" s="2">
        <f t="shared" ref="U216:AH216" si="213">IF(OR(F216=0,F216&lt;0.00001,F216&gt;100000),"",IF((IF(F216&gt;F$5,ABS(LOG(((F$5/SUM($F216:$S216))/(F$4/SUM($F$4:$S$4)))*4+2,2)),ABS(LOG(((F216/SUM($F216:$S216))/(F$4/SUM($F$4:$S$4)))*4+2,2)))-3)&gt;8,(IF(F216&gt;F$5,ABS(LOG(((F$5/SUM($F216:$S216))/(F$4/SUM($F$4:$S$4)))*4+2,2)),ABS(LOG(((F216/SUM($F216:$S216))/(F$4/SUM($F$4:$S$4)))*4+2,2)))-3)/7,IF(F216&gt;F$5,ABS(LOG(((F$5/SUM($F216:$S216))/(F$4/SUM($F$4:$S$4)))*4+2,2)),ABS(LOG(((F216/SUM($F216:$S216))/(F$4/SUM($F$4:$S$4)))*4+2,2)))-3))</f>
        <v>-0.2360663849365392</v>
      </c>
      <c r="V216" s="2">
        <f t="shared" si="213"/>
        <v>-1.9478897214647675</v>
      </c>
      <c r="W216" s="2">
        <f t="shared" si="213"/>
        <v>6.2511829516477491</v>
      </c>
      <c r="X216" s="2">
        <f t="shared" si="213"/>
        <v>5.00930495288838</v>
      </c>
      <c r="Y216" s="2">
        <f t="shared" si="213"/>
        <v>5.6339407222842031</v>
      </c>
      <c r="Z216" s="2">
        <f t="shared" si="213"/>
        <v>1.2818135926128011</v>
      </c>
      <c r="AA216" s="2">
        <f t="shared" si="213"/>
        <v>5.5065637818796205</v>
      </c>
      <c r="AB216" s="2">
        <f t="shared" si="213"/>
        <v>3.1593828595240963</v>
      </c>
      <c r="AC216" s="2">
        <f t="shared" si="213"/>
        <v>-1.5644924006451946</v>
      </c>
      <c r="AD216" s="2">
        <f t="shared" si="213"/>
        <v>2.6429120019885115</v>
      </c>
      <c r="AE216" s="2">
        <f t="shared" si="213"/>
        <v>-1.999999872903415</v>
      </c>
      <c r="AF216" s="2">
        <f t="shared" si="213"/>
        <v>-1.3297499846531369</v>
      </c>
      <c r="AG216" s="2">
        <f t="shared" si="213"/>
        <v>-8.6754418954320567E-2</v>
      </c>
      <c r="AH216" s="2">
        <f t="shared" si="213"/>
        <v>-1.117077155151436</v>
      </c>
      <c r="AI216" s="18">
        <f t="shared" si="5"/>
        <v>144</v>
      </c>
      <c r="AJ216" s="2">
        <f t="shared" si="6"/>
        <v>2.2176580025018002</v>
      </c>
    </row>
    <row r="217" spans="1:36" ht="10.5" customHeight="1" x14ac:dyDescent="0.25">
      <c r="A217" s="17">
        <v>209</v>
      </c>
      <c r="B217" s="2">
        <f t="shared" si="2"/>
        <v>2.3563492645524859</v>
      </c>
      <c r="C217" s="4">
        <v>2</v>
      </c>
      <c r="D217" s="4">
        <v>24.798173580426599</v>
      </c>
      <c r="E217" s="18">
        <v>146</v>
      </c>
      <c r="F217" s="5">
        <v>0.27550000000000002</v>
      </c>
      <c r="G217" s="5">
        <v>8.8800000000000007E-3</v>
      </c>
      <c r="H217" s="5">
        <v>8.1039999999999992</v>
      </c>
      <c r="I217" s="5">
        <v>1.099</v>
      </c>
      <c r="J217" s="5">
        <v>1.718</v>
      </c>
      <c r="K217" s="5">
        <v>1.3819999999999999</v>
      </c>
      <c r="L217" s="5">
        <v>1.411</v>
      </c>
      <c r="M217" s="5">
        <v>8.3629999999999995</v>
      </c>
      <c r="N217" s="5">
        <v>1.5389999999999999</v>
      </c>
      <c r="O217" s="5">
        <v>0.2218</v>
      </c>
      <c r="P217" s="5"/>
      <c r="Q217" s="5">
        <v>428.3</v>
      </c>
      <c r="R217" s="5">
        <v>1.9599999999999999E-3</v>
      </c>
      <c r="S217" s="5">
        <v>8.0779999999999994</v>
      </c>
      <c r="T217" s="18">
        <f t="shared" si="3"/>
        <v>146</v>
      </c>
      <c r="U217" s="2">
        <f t="shared" ref="U217:AH217" si="214">IF(OR(F217=0,F217&lt;0.00001,F217&gt;100000),"",IF((IF(F217&gt;F$5,ABS(LOG(((F$5/SUM($F217:$S217))/(F$4/SUM($F$4:$S$4)))*4+2,2)),ABS(LOG(((F217/SUM($F217:$S217))/(F$4/SUM($F$4:$S$4)))*4+2,2)))-3)&gt;8,(IF(F217&gt;F$5,ABS(LOG(((F$5/SUM($F217:$S217))/(F$4/SUM($F$4:$S$4)))*4+2,2)),ABS(LOG(((F217/SUM($F217:$S217))/(F$4/SUM($F$4:$S$4)))*4+2,2)))-3)/7,IF(F217&gt;F$5,ABS(LOG(((F$5/SUM($F217:$S217))/(F$4/SUM($F$4:$S$4)))*4+2,2)),ABS(LOG(((F217/SUM($F217:$S217))/(F$4/SUM($F$4:$S$4)))*4+2,2)))-3))</f>
        <v>0.54908926885694997</v>
      </c>
      <c r="V217" s="2">
        <f t="shared" si="214"/>
        <v>-1.9311520882881925</v>
      </c>
      <c r="W217" s="2">
        <f t="shared" si="214"/>
        <v>5.1673535338939018</v>
      </c>
      <c r="X217" s="2">
        <f t="shared" si="214"/>
        <v>-0.22612252498136476</v>
      </c>
      <c r="Y217" s="2">
        <f t="shared" si="214"/>
        <v>0.37931250202571709</v>
      </c>
      <c r="Z217" s="2">
        <f t="shared" si="214"/>
        <v>7.2823223606182168</v>
      </c>
      <c r="AA217" s="2">
        <f t="shared" si="214"/>
        <v>1.7470276397356947</v>
      </c>
      <c r="AB217" s="2">
        <f t="shared" si="214"/>
        <v>3.313413697096375</v>
      </c>
      <c r="AC217" s="2">
        <f t="shared" si="214"/>
        <v>1.1655757614575446</v>
      </c>
      <c r="AD217" s="2">
        <f t="shared" si="214"/>
        <v>-1.9170336990522969</v>
      </c>
      <c r="AE217" s="2" t="str">
        <f t="shared" si="214"/>
        <v/>
      </c>
      <c r="AF217" s="2">
        <f t="shared" si="214"/>
        <v>0.30135301177631924</v>
      </c>
      <c r="AG217" s="2">
        <f t="shared" si="214"/>
        <v>-1.999773623701635</v>
      </c>
      <c r="AH217" s="2">
        <f t="shared" si="214"/>
        <v>-1.8866017613070984</v>
      </c>
      <c r="AI217" s="18">
        <f t="shared" si="5"/>
        <v>146</v>
      </c>
      <c r="AJ217" s="2">
        <f t="shared" si="6"/>
        <v>1</v>
      </c>
    </row>
    <row r="218" spans="1:36" ht="10.5" customHeight="1" x14ac:dyDescent="0.25">
      <c r="A218" s="17">
        <v>210</v>
      </c>
      <c r="B218" s="2">
        <f t="shared" si="2"/>
        <v>7.62276605753895</v>
      </c>
      <c r="C218" s="4">
        <v>2</v>
      </c>
      <c r="D218" s="4">
        <v>30.7229670198912</v>
      </c>
      <c r="E218" s="18">
        <v>146</v>
      </c>
      <c r="F218" s="5">
        <v>3.03</v>
      </c>
      <c r="G218" s="5">
        <v>9.4599999999999997E-3</v>
      </c>
      <c r="H218" s="5">
        <v>86.43</v>
      </c>
      <c r="I218" s="5">
        <v>75.819999999999993</v>
      </c>
      <c r="J218" s="5">
        <v>105.2</v>
      </c>
      <c r="K218" s="5">
        <v>49.77</v>
      </c>
      <c r="L218" s="5">
        <v>84.51</v>
      </c>
      <c r="M218" s="5">
        <v>31.44</v>
      </c>
      <c r="N218" s="5">
        <v>11.97</v>
      </c>
      <c r="O218" s="5">
        <v>116.8</v>
      </c>
      <c r="P218" s="5">
        <v>0.56110000000000004</v>
      </c>
      <c r="Q218" s="5">
        <v>386.2</v>
      </c>
      <c r="R218" s="5">
        <v>0.13450000000000001</v>
      </c>
      <c r="S218" s="5">
        <v>14.11</v>
      </c>
      <c r="T218" s="18">
        <f t="shared" si="3"/>
        <v>146</v>
      </c>
      <c r="U218" s="2">
        <f t="shared" ref="U218:AH218" si="215">IF(OR(F218=0,F218&lt;0.00001,F218&gt;100000),"",IF((IF(F218&gt;F$5,ABS(LOG(((F$5/SUM($F218:$S218))/(F$4/SUM($F$4:$S$4)))*4+2,2)),ABS(LOG(((F218/SUM($F218:$S218))/(F$4/SUM($F$4:$S$4)))*4+2,2)))-3)&gt;8,(IF(F218&gt;F$5,ABS(LOG(((F$5/SUM($F218:$S218))/(F$4/SUM($F$4:$S$4)))*4+2,2)),ABS(LOG(((F218/SUM($F218:$S218))/(F$4/SUM($F$4:$S$4)))*4+2,2)))-3)/7,IF(F218&gt;F$5,ABS(LOG(((F$5/SUM($F218:$S218))/(F$4/SUM($F$4:$S$4)))*4+2,2)),ABS(LOG(((F218/SUM($F218:$S218))/(F$4/SUM($F$4:$S$4)))*4+2,2)))-3))</f>
        <v>2.1533007307216252</v>
      </c>
      <c r="V218" s="2">
        <f t="shared" si="215"/>
        <v>-1.9646248195923095</v>
      </c>
      <c r="W218" s="2">
        <f t="shared" si="215"/>
        <v>6.396071721007706</v>
      </c>
      <c r="X218" s="2">
        <f t="shared" si="215"/>
        <v>4.3323768007591283</v>
      </c>
      <c r="Y218" s="2">
        <f t="shared" si="215"/>
        <v>4.9505600743179574</v>
      </c>
      <c r="Z218" s="2">
        <f t="shared" si="215"/>
        <v>6.2160703725624433</v>
      </c>
      <c r="AA218" s="2">
        <f t="shared" si="215"/>
        <v>6.4749652213788771</v>
      </c>
      <c r="AB218" s="2">
        <f t="shared" si="215"/>
        <v>4.0723463323020122</v>
      </c>
      <c r="AC218" s="2">
        <f t="shared" si="215"/>
        <v>2.9336662876252246</v>
      </c>
      <c r="AD218" s="2">
        <f t="shared" si="215"/>
        <v>1.4825960617688105</v>
      </c>
      <c r="AE218" s="2">
        <f t="shared" si="215"/>
        <v>-1.9999999848573149</v>
      </c>
      <c r="AF218" s="2">
        <f t="shared" si="215"/>
        <v>-0.57293080302588617</v>
      </c>
      <c r="AG218" s="2">
        <f t="shared" si="215"/>
        <v>-1.992612795457807</v>
      </c>
      <c r="AH218" s="2">
        <f t="shared" si="215"/>
        <v>-1.9049640777766657</v>
      </c>
      <c r="AI218" s="18">
        <f t="shared" si="5"/>
        <v>146</v>
      </c>
      <c r="AJ218" s="2">
        <f t="shared" si="6"/>
        <v>3.6958683083765607</v>
      </c>
    </row>
    <row r="219" spans="1:36" ht="10.5" customHeight="1" x14ac:dyDescent="0.25">
      <c r="A219" s="17">
        <v>211</v>
      </c>
      <c r="B219" s="2">
        <f t="shared" si="2"/>
        <v>7.1724918216062479</v>
      </c>
      <c r="C219" s="4">
        <v>2</v>
      </c>
      <c r="D219" s="4">
        <v>26.578392347580952</v>
      </c>
      <c r="E219" s="18">
        <v>149</v>
      </c>
      <c r="F219" s="5">
        <v>3.3168500000000001</v>
      </c>
      <c r="G219" s="5">
        <v>1.0680704999999999</v>
      </c>
      <c r="H219" s="5">
        <v>4.1325000000000003</v>
      </c>
      <c r="I219" s="5">
        <v>3.5720000000000001</v>
      </c>
      <c r="J219" s="5">
        <v>5.5475000000000003</v>
      </c>
      <c r="K219" s="5">
        <v>1.6850000000000001</v>
      </c>
      <c r="L219" s="5">
        <v>2.6775000000000002</v>
      </c>
      <c r="M219" s="5">
        <v>1.8010000000000002</v>
      </c>
      <c r="N219" s="5">
        <v>0.48774999999999996</v>
      </c>
      <c r="O219" s="5">
        <v>1.8355000000000001</v>
      </c>
      <c r="P219" s="5">
        <v>5.1240000000000001E-2</v>
      </c>
      <c r="Q219" s="5">
        <v>50.635000000000005</v>
      </c>
      <c r="R219" s="5">
        <v>2.6905000000000002E-3</v>
      </c>
      <c r="S219" s="5">
        <v>14.935</v>
      </c>
      <c r="T219" s="18">
        <f t="shared" si="3"/>
        <v>149</v>
      </c>
      <c r="U219" s="2">
        <f t="shared" ref="U219:AH219" si="216">IF(OR(F219=0,F219&lt;0.00001,F219&gt;100000),"",IF((IF(F219&gt;F$5,ABS(LOG(((F$5/SUM($F219:$S219))/(F$4/SUM($F$4:$S$4)))*4+2,2)),ABS(LOG(((F219/SUM($F219:$S219))/(F$4/SUM($F$4:$S$4)))*4+2,2)))-3)&gt;8,(IF(F219&gt;F$5,ABS(LOG(((F$5/SUM($F219:$S219))/(F$4/SUM($F$4:$S$4)))*4+2,2)),ABS(LOG(((F219/SUM($F219:$S219))/(F$4/SUM($F$4:$S$4)))*4+2,2)))-3)/7,IF(F219&gt;F$5,ABS(LOG(((F$5/SUM($F219:$S219))/(F$4/SUM($F$4:$S$4)))*4+2,2)),ABS(LOG(((F219/SUM($F219:$S219))/(F$4/SUM($F$4:$S$4)))*4+2,2)))-3))</f>
        <v>5.4742494861968272</v>
      </c>
      <c r="V219" s="2">
        <f t="shared" si="216"/>
        <v>2.9311291966660544</v>
      </c>
      <c r="W219" s="2">
        <f t="shared" si="216"/>
        <v>6.5170714650504245</v>
      </c>
      <c r="X219" s="2">
        <f t="shared" si="216"/>
        <v>3.33893765712451</v>
      </c>
      <c r="Y219" s="2">
        <f t="shared" si="216"/>
        <v>4.1109796143983619</v>
      </c>
      <c r="Z219" s="2">
        <f t="shared" si="216"/>
        <v>1.3725616214380796</v>
      </c>
      <c r="AA219" s="2">
        <f t="shared" si="216"/>
        <v>4.8991379495070762</v>
      </c>
      <c r="AB219" s="2">
        <f t="shared" si="216"/>
        <v>3.4229385994320092</v>
      </c>
      <c r="AC219" s="2">
        <f t="shared" si="216"/>
        <v>1.7742831181176735</v>
      </c>
      <c r="AD219" s="2">
        <f t="shared" si="216"/>
        <v>-0.20977260655418384</v>
      </c>
      <c r="AE219" s="2">
        <f t="shared" si="216"/>
        <v>-1.9999998405668737</v>
      </c>
      <c r="AF219" s="2">
        <f t="shared" si="216"/>
        <v>-0.26380904406261063</v>
      </c>
      <c r="AG219" s="2">
        <f t="shared" si="216"/>
        <v>-1.9984410068202958</v>
      </c>
      <c r="AH219" s="2">
        <f t="shared" si="216"/>
        <v>-1.1853760427588975</v>
      </c>
      <c r="AI219" s="18">
        <f t="shared" si="5"/>
        <v>149</v>
      </c>
      <c r="AJ219" s="2">
        <f t="shared" si="6"/>
        <v>1</v>
      </c>
    </row>
    <row r="220" spans="1:36" ht="10.5" customHeight="1" x14ac:dyDescent="0.25">
      <c r="A220" s="17">
        <v>212</v>
      </c>
      <c r="B220" s="2">
        <f t="shared" si="2"/>
        <v>8.4677363739153559</v>
      </c>
      <c r="C220" s="4">
        <v>2</v>
      </c>
      <c r="D220" s="4">
        <v>26.619193759271699</v>
      </c>
      <c r="E220" s="18">
        <v>152</v>
      </c>
      <c r="F220" s="5">
        <v>0.15809999999999999</v>
      </c>
      <c r="G220" s="5">
        <v>2.4910000000000001</v>
      </c>
      <c r="H220" s="5">
        <v>2.698</v>
      </c>
      <c r="I220" s="5">
        <v>2.5960000000000001</v>
      </c>
      <c r="J220" s="5">
        <v>2.8039999999999998</v>
      </c>
      <c r="K220" s="5">
        <v>2.9529999999999998</v>
      </c>
      <c r="L220" s="5">
        <v>8.5530000000000008</v>
      </c>
      <c r="M220" s="5">
        <v>1.881</v>
      </c>
      <c r="N220" s="5">
        <v>2.9000000000000001E-2</v>
      </c>
      <c r="O220" s="5">
        <v>2.7029999999999998</v>
      </c>
      <c r="P220" s="5">
        <v>1.18E-4</v>
      </c>
      <c r="Q220" s="5">
        <v>1.36</v>
      </c>
      <c r="R220" s="5">
        <v>0.73909999999999998</v>
      </c>
      <c r="S220" s="5">
        <v>13.42</v>
      </c>
      <c r="T220" s="18">
        <f t="shared" si="3"/>
        <v>152</v>
      </c>
      <c r="U220" s="2">
        <f t="shared" ref="U220:AH220" si="217">IF(OR(F220=0,F220&lt;0.00001,F220&gt;100000),"",IF((IF(F220&gt;F$5,ABS(LOG(((F$5/SUM($F220:$S220))/(F$4/SUM($F$4:$S$4)))*4+2,2)),ABS(LOG(((F220/SUM($F220:$S220))/(F$4/SUM($F$4:$S$4)))*4+2,2)))-3)&gt;8,(IF(F220&gt;F$5,ABS(LOG(((F$5/SUM($F220:$S220))/(F$4/SUM($F$4:$S$4)))*4+2,2)),ABS(LOG(((F220/SUM($F220:$S220))/(F$4/SUM($F$4:$S$4)))*4+2,2)))-3)/7,IF(F220&gt;F$5,ABS(LOG(((F$5/SUM($F220:$S220))/(F$4/SUM($F$4:$S$4)))*4+2,2)),ABS(LOG(((F220/SUM($F220:$S220))/(F$4/SUM($F$4:$S$4)))*4+2,2)))-3))</f>
        <v>2.9660408796280926</v>
      </c>
      <c r="V220" s="2">
        <f t="shared" si="217"/>
        <v>5.2285243035845266</v>
      </c>
      <c r="W220" s="2">
        <f t="shared" si="217"/>
        <v>7.0149008985737513</v>
      </c>
      <c r="X220" s="2">
        <f t="shared" si="217"/>
        <v>3.9795563504360301</v>
      </c>
      <c r="Y220" s="2">
        <f t="shared" si="217"/>
        <v>4.2389375522737227</v>
      </c>
      <c r="Z220" s="2">
        <f t="shared" si="217"/>
        <v>1.5316840676304189</v>
      </c>
      <c r="AA220" s="2">
        <f t="shared" si="217"/>
        <v>7.6784113444274489</v>
      </c>
      <c r="AB220" s="2">
        <f t="shared" si="217"/>
        <v>4.5808695097599355</v>
      </c>
      <c r="AC220" s="2">
        <f t="shared" si="217"/>
        <v>-0.60369172392680737</v>
      </c>
      <c r="AD220" s="2">
        <f t="shared" si="217"/>
        <v>1.1436320095317143</v>
      </c>
      <c r="AE220" s="2">
        <f t="shared" si="217"/>
        <v>-1.9999996548897923</v>
      </c>
      <c r="AF220" s="2">
        <f t="shared" si="217"/>
        <v>-1.8166042230034556</v>
      </c>
      <c r="AG220" s="2">
        <f t="shared" si="217"/>
        <v>-1.2837418105066141</v>
      </c>
      <c r="AH220" s="2">
        <f t="shared" si="217"/>
        <v>-0.69200806207918308</v>
      </c>
      <c r="AI220" s="18">
        <f t="shared" si="5"/>
        <v>152</v>
      </c>
      <c r="AJ220" s="2">
        <f t="shared" si="6"/>
        <v>1</v>
      </c>
    </row>
    <row r="221" spans="1:36" ht="10.5" customHeight="1" x14ac:dyDescent="0.25">
      <c r="A221" s="17">
        <v>213</v>
      </c>
      <c r="B221" s="2">
        <f t="shared" si="2"/>
        <v>6.814524077467679</v>
      </c>
      <c r="C221" s="4">
        <v>2</v>
      </c>
      <c r="D221" s="4">
        <v>23.273613298117201</v>
      </c>
      <c r="E221" s="18">
        <v>155</v>
      </c>
      <c r="F221" s="5">
        <v>0.10539999999999999</v>
      </c>
      <c r="G221" s="5">
        <v>8.0699999999999994E-2</v>
      </c>
      <c r="H221" s="5">
        <v>0.67100000000000004</v>
      </c>
      <c r="I221" s="5">
        <v>1.6</v>
      </c>
      <c r="J221" s="5">
        <v>23.89</v>
      </c>
      <c r="K221" s="5">
        <v>0.19450000000000001</v>
      </c>
      <c r="L221" s="5">
        <v>1.843</v>
      </c>
      <c r="M221" s="5">
        <v>0.82430000000000003</v>
      </c>
      <c r="N221" s="5">
        <v>4.4139999999999997</v>
      </c>
      <c r="O221" s="5">
        <v>13.18</v>
      </c>
      <c r="P221" s="5">
        <v>6.3199999999999997E-4</v>
      </c>
      <c r="Q221" s="5">
        <v>43.37</v>
      </c>
      <c r="R221" s="5">
        <v>0.2923</v>
      </c>
      <c r="S221" s="5">
        <v>21.07</v>
      </c>
      <c r="T221" s="18">
        <f t="shared" si="3"/>
        <v>155</v>
      </c>
      <c r="U221" s="2">
        <f t="shared" ref="U221:AH221" si="218">IF(OR(F221=0,F221&lt;0.00001,F221&gt;100000),"",IF((IF(F221&gt;F$5,ABS(LOG(((F$5/SUM($F221:$S221))/(F$4/SUM($F$4:$S$4)))*4+2,2)),ABS(LOG(((F221/SUM($F221:$S221))/(F$4/SUM($F$4:$S$4)))*4+2,2)))-3)&gt;8,(IF(F221&gt;F$5,ABS(LOG(((F$5/SUM($F221:$S221))/(F$4/SUM($F$4:$S$4)))*4+2,2)),ABS(LOG(((F221/SUM($F221:$S221))/(F$4/SUM($F$4:$S$4)))*4+2,2)))-3)/7,IF(F221&gt;F$5,ABS(LOG(((F$5/SUM($F221:$S221))/(F$4/SUM($F$4:$S$4)))*4+2,2)),ABS(LOG(((F221/SUM($F221:$S221))/(F$4/SUM($F$4:$S$4)))*4+2,2)))-3))</f>
        <v>1.1152079519885856</v>
      </c>
      <c r="V221" s="2">
        <f t="shared" si="218"/>
        <v>-0.49716332717475042</v>
      </c>
      <c r="W221" s="2">
        <f t="shared" si="218"/>
        <v>3.6379990903152333</v>
      </c>
      <c r="X221" s="2">
        <f t="shared" si="218"/>
        <v>1.95834952457672</v>
      </c>
      <c r="Y221" s="2">
        <f t="shared" si="218"/>
        <v>5.9206528146949378</v>
      </c>
      <c r="Z221" s="2">
        <f t="shared" si="218"/>
        <v>6.7039754787278891</v>
      </c>
      <c r="AA221" s="2">
        <f t="shared" si="218"/>
        <v>4.0877733798956619</v>
      </c>
      <c r="AB221" s="2">
        <f t="shared" si="218"/>
        <v>2.0682617133415313</v>
      </c>
      <c r="AC221" s="2">
        <f t="shared" si="218"/>
        <v>4.576100641031724</v>
      </c>
      <c r="AD221" s="2">
        <f t="shared" si="218"/>
        <v>1.9563027923583034</v>
      </c>
      <c r="AE221" s="2">
        <f t="shared" si="218"/>
        <v>-1.9999998688528453</v>
      </c>
      <c r="AF221" s="2">
        <f t="shared" si="218"/>
        <v>-0.59797851130583535</v>
      </c>
      <c r="AG221" s="2">
        <f t="shared" si="218"/>
        <v>-1.866932375284212</v>
      </c>
      <c r="AH221" s="2">
        <f t="shared" si="218"/>
        <v>-1.0887899504283671</v>
      </c>
      <c r="AI221" s="18">
        <f t="shared" si="5"/>
        <v>155</v>
      </c>
      <c r="AJ221" s="2">
        <f t="shared" si="6"/>
        <v>1</v>
      </c>
    </row>
    <row r="222" spans="1:36" ht="10.5" customHeight="1" x14ac:dyDescent="0.25">
      <c r="A222" s="17">
        <v>214</v>
      </c>
      <c r="B222" s="2">
        <f t="shared" si="2"/>
        <v>7.8509903066044364</v>
      </c>
      <c r="C222" s="4">
        <v>2</v>
      </c>
      <c r="D222" s="4">
        <v>22.99491087509</v>
      </c>
      <c r="E222" s="18">
        <v>158</v>
      </c>
      <c r="F222" s="5">
        <v>0.42249999999999999</v>
      </c>
      <c r="G222" s="5">
        <v>0.33589999999999998</v>
      </c>
      <c r="H222" s="5">
        <v>2.8420000000000001</v>
      </c>
      <c r="I222" s="5">
        <v>1.6890000000000001</v>
      </c>
      <c r="J222" s="5">
        <v>1.9570000000000001</v>
      </c>
      <c r="K222" s="5">
        <v>0.30070000000000002</v>
      </c>
      <c r="L222" s="5">
        <v>3.95</v>
      </c>
      <c r="M222" s="5">
        <v>0.92830000000000001</v>
      </c>
      <c r="N222" s="5">
        <v>1.1200000000000001</v>
      </c>
      <c r="O222" s="5">
        <v>1.8959999999999999</v>
      </c>
      <c r="P222" s="5">
        <v>7.7200000000000003E-3</v>
      </c>
      <c r="Q222" s="5">
        <v>8.8089999999999993</v>
      </c>
      <c r="R222" s="5">
        <v>0.21729999999999999</v>
      </c>
      <c r="S222" s="5">
        <v>22.16</v>
      </c>
      <c r="T222" s="18">
        <f t="shared" si="3"/>
        <v>158</v>
      </c>
      <c r="U222" s="2">
        <f t="shared" ref="U222:AH222" si="219">IF(OR(F222=0,F222&lt;0.00001,F222&gt;100000),"",IF((IF(F222&gt;F$5,ABS(LOG(((F$5/SUM($F222:$S222))/(F$4/SUM($F$4:$S$4)))*4+2,2)),ABS(LOG(((F222/SUM($F222:$S222))/(F$4/SUM($F$4:$S$4)))*4+2,2)))-3)&gt;8,(IF(F222&gt;F$5,ABS(LOG(((F$5/SUM($F222:$S222))/(F$4/SUM($F$4:$S$4)))*4+2,2)),ABS(LOG(((F222/SUM($F222:$S222))/(F$4/SUM($F$4:$S$4)))*4+2,2)))-3)/7,IF(F222&gt;F$5,ABS(LOG(((F$5/SUM($F222:$S222))/(F$4/SUM($F$4:$S$4)))*4+2,2)),ABS(LOG(((F222/SUM($F222:$S222))/(F$4/SUM($F$4:$S$4)))*4+2,2)))-3))</f>
        <v>4.2188808778420173</v>
      </c>
      <c r="V222" s="2">
        <f t="shared" si="219"/>
        <v>2.2673219854964621</v>
      </c>
      <c r="W222" s="2">
        <f t="shared" si="219"/>
        <v>6.9521797684850757</v>
      </c>
      <c r="X222" s="2">
        <f t="shared" si="219"/>
        <v>3.2372896198719561</v>
      </c>
      <c r="Y222" s="2">
        <f t="shared" si="219"/>
        <v>3.5932032162861267</v>
      </c>
      <c r="Z222" s="2">
        <f t="shared" si="219"/>
        <v>1.2268590476137786</v>
      </c>
      <c r="AA222" s="2">
        <f t="shared" si="219"/>
        <v>6.4284039515368327</v>
      </c>
      <c r="AB222" s="2">
        <f t="shared" si="219"/>
        <v>3.4425822085098829</v>
      </c>
      <c r="AC222" s="2">
        <f t="shared" si="219"/>
        <v>3.865284702926151</v>
      </c>
      <c r="AD222" s="2">
        <f t="shared" si="219"/>
        <v>0.58412445924719547</v>
      </c>
      <c r="AE222" s="2">
        <f t="shared" si="219"/>
        <v>-1.9999996863412819</v>
      </c>
      <c r="AF222" s="2">
        <f t="shared" si="219"/>
        <v>-1.1536138371519244</v>
      </c>
      <c r="AG222" s="2">
        <f t="shared" si="219"/>
        <v>-1.7712801007245704</v>
      </c>
      <c r="AH222" s="2">
        <f t="shared" si="219"/>
        <v>-0.31513632238756895</v>
      </c>
      <c r="AI222" s="18">
        <f t="shared" si="5"/>
        <v>158</v>
      </c>
      <c r="AJ222" s="2">
        <f t="shared" si="6"/>
        <v>1</v>
      </c>
    </row>
    <row r="223" spans="1:36" ht="10.5" customHeight="1" x14ac:dyDescent="0.25">
      <c r="A223" s="17">
        <v>215</v>
      </c>
      <c r="B223" s="2">
        <f t="shared" si="2"/>
        <v>5.6654832002513116</v>
      </c>
      <c r="C223" s="4">
        <v>2</v>
      </c>
      <c r="D223" s="4">
        <v>25.2952224335965</v>
      </c>
      <c r="E223" s="18">
        <v>161</v>
      </c>
      <c r="F223" s="5">
        <v>0.93889999999999996</v>
      </c>
      <c r="G223" s="5">
        <v>3.19</v>
      </c>
      <c r="H223" s="5">
        <v>4.1829999999999998</v>
      </c>
      <c r="I223" s="5">
        <v>3.9119999999999999</v>
      </c>
      <c r="J223" s="5">
        <v>1.738</v>
      </c>
      <c r="K223" s="5">
        <v>0.47539999999999999</v>
      </c>
      <c r="L223" s="5">
        <v>13.32</v>
      </c>
      <c r="M223" s="5">
        <v>1.4059999999999999</v>
      </c>
      <c r="N223" s="5">
        <v>1.345</v>
      </c>
      <c r="O223" s="5">
        <v>4.0750000000000002</v>
      </c>
      <c r="P223" s="5">
        <v>2.3900000000000002E-3</v>
      </c>
      <c r="Q223" s="5">
        <v>220.1</v>
      </c>
      <c r="R223" s="5">
        <v>0.17560000000000001</v>
      </c>
      <c r="S223" s="5">
        <v>182</v>
      </c>
      <c r="T223" s="18">
        <f t="shared" si="3"/>
        <v>161</v>
      </c>
      <c r="U223" s="2">
        <f t="shared" ref="U223:AH223" si="220">IF(OR(F223=0,F223&lt;0.00001,F223&gt;100000),"",IF((IF(F223&gt;F$5,ABS(LOG(((F$5/SUM($F223:$S223))/(F$4/SUM($F$4:$S$4)))*4+2,2)),ABS(LOG(((F223/SUM($F223:$S223))/(F$4/SUM($F$4:$S$4)))*4+2,2)))-3)&gt;8,(IF(F223&gt;F$5,ABS(LOG(((F$5/SUM($F223:$S223))/(F$4/SUM($F$4:$S$4)))*4+2,2)),ABS(LOG(((F223/SUM($F223:$S223))/(F$4/SUM($F$4:$S$4)))*4+2,2)))-3)/7,IF(F223&gt;F$5,ABS(LOG(((F$5/SUM($F223:$S223))/(F$4/SUM($F$4:$S$4)))*4+2,2)),ABS(LOG(((F223/SUM($F223:$S223))/(F$4/SUM($F$4:$S$4)))*4+2,2)))-3))</f>
        <v>2.204195096212068</v>
      </c>
      <c r="V223" s="2">
        <f t="shared" si="220"/>
        <v>2.2860771789515422</v>
      </c>
      <c r="W223" s="2">
        <f t="shared" si="220"/>
        <v>4.2976752530488032</v>
      </c>
      <c r="X223" s="2">
        <f t="shared" si="220"/>
        <v>1.3333285696801704</v>
      </c>
      <c r="Y223" s="2">
        <f t="shared" si="220"/>
        <v>0.45467682686414301</v>
      </c>
      <c r="Z223" s="2">
        <f t="shared" si="220"/>
        <v>6.0257619699321694</v>
      </c>
      <c r="AA223" s="2">
        <f t="shared" si="220"/>
        <v>4.9618224284658421</v>
      </c>
      <c r="AB223" s="2">
        <f t="shared" si="220"/>
        <v>0.97633514228410956</v>
      </c>
      <c r="AC223" s="2">
        <f t="shared" si="220"/>
        <v>1.0609025594586416</v>
      </c>
      <c r="AD223" s="2">
        <f t="shared" si="220"/>
        <v>-0.89809401497780739</v>
      </c>
      <c r="AE223" s="2">
        <f t="shared" si="220"/>
        <v>-1.999999966516586</v>
      </c>
      <c r="AF223" s="2">
        <f t="shared" si="220"/>
        <v>-0.35455071397863591</v>
      </c>
      <c r="AG223" s="2">
        <f t="shared" si="220"/>
        <v>-1.978776200201416</v>
      </c>
      <c r="AH223" s="2">
        <f t="shared" si="220"/>
        <v>-0.44316306102172698</v>
      </c>
      <c r="AI223" s="18">
        <f t="shared" si="5"/>
        <v>161</v>
      </c>
      <c r="AJ223" s="2">
        <f t="shared" si="6"/>
        <v>1</v>
      </c>
    </row>
    <row r="224" spans="1:36" ht="10.5" customHeight="1" x14ac:dyDescent="0.25">
      <c r="A224" s="17">
        <v>216</v>
      </c>
      <c r="B224" s="2">
        <f t="shared" si="2"/>
        <v>5.7990790738847284</v>
      </c>
      <c r="C224" s="4">
        <v>2</v>
      </c>
      <c r="D224" s="4">
        <v>25.989724762519199</v>
      </c>
      <c r="E224" s="18">
        <v>162</v>
      </c>
      <c r="F224" s="5">
        <v>0.24249999999999999</v>
      </c>
      <c r="G224" s="5">
        <v>1.4179999999999999</v>
      </c>
      <c r="H224" s="5">
        <v>4.7939999999999996</v>
      </c>
      <c r="I224" s="5">
        <v>2.544</v>
      </c>
      <c r="J224" s="5">
        <v>1.097</v>
      </c>
      <c r="K224" s="5">
        <v>0.82320000000000004</v>
      </c>
      <c r="L224" s="5">
        <v>11.52</v>
      </c>
      <c r="M224" s="5">
        <v>0.70860000000000001</v>
      </c>
      <c r="N224" s="5">
        <v>0.53290000000000004</v>
      </c>
      <c r="O224" s="5">
        <v>2.3260000000000001</v>
      </c>
      <c r="P224" s="5">
        <v>3.49E-2</v>
      </c>
      <c r="Q224" s="5">
        <v>139.9</v>
      </c>
      <c r="R224" s="5">
        <v>1.1400000000000001E-4</v>
      </c>
      <c r="S224" s="5">
        <v>78.38</v>
      </c>
      <c r="T224" s="18">
        <f t="shared" si="3"/>
        <v>162</v>
      </c>
      <c r="U224" s="2">
        <f t="shared" ref="U224:AH224" si="221">IF(OR(F224=0,F224&lt;0.00001,F224&gt;100000),"",IF((IF(F224&gt;F$5,ABS(LOG(((F$5/SUM($F224:$S224))/(F$4/SUM($F$4:$S$4)))*4+2,2)),ABS(LOG(((F224/SUM($F224:$S224))/(F$4/SUM($F$4:$S$4)))*4+2,2)))-3)&gt;8,(IF(F224&gt;F$5,ABS(LOG(((F$5/SUM($F224:$S224))/(F$4/SUM($F$4:$S$4)))*4+2,2)),ABS(LOG(((F224/SUM($F224:$S224))/(F$4/SUM($F$4:$S$4)))*4+2,2)))-3)/7,IF(F224&gt;F$5,ABS(LOG(((F$5/SUM($F224:$S224))/(F$4/SUM($F$4:$S$4)))*4+2,2)),ABS(LOG(((F224/SUM($F224:$S224))/(F$4/SUM($F$4:$S$4)))*4+2,2)))-3))</f>
        <v>1.1780461398746107</v>
      </c>
      <c r="V224" s="2">
        <f t="shared" si="221"/>
        <v>1.9737392814566252</v>
      </c>
      <c r="W224" s="2">
        <f t="shared" si="221"/>
        <v>5.3233425783619914</v>
      </c>
      <c r="X224" s="2">
        <f t="shared" si="221"/>
        <v>1.5307380462006464</v>
      </c>
      <c r="Y224" s="2">
        <f t="shared" si="221"/>
        <v>0.59890503609754964</v>
      </c>
      <c r="Z224" s="2">
        <f t="shared" si="221"/>
        <v>7.652506455178214</v>
      </c>
      <c r="AA224" s="2">
        <f t="shared" si="221"/>
        <v>5.5866699715383099</v>
      </c>
      <c r="AB224" s="2">
        <f t="shared" si="221"/>
        <v>0.84614756724716722</v>
      </c>
      <c r="AC224" s="2">
        <f t="shared" si="221"/>
        <v>0.63307911552757856</v>
      </c>
      <c r="AD224" s="2">
        <f t="shared" si="221"/>
        <v>-0.8822915485640408</v>
      </c>
      <c r="AE224" s="2">
        <f t="shared" si="221"/>
        <v>-1.9999999401296062</v>
      </c>
      <c r="AF224" s="2">
        <f t="shared" si="221"/>
        <v>-0.2264063264506877</v>
      </c>
      <c r="AG224" s="2">
        <f t="shared" si="221"/>
        <v>-1.9999751812132704</v>
      </c>
      <c r="AH224" s="2">
        <f t="shared" si="221"/>
        <v>-0.6806767364795685</v>
      </c>
      <c r="AI224" s="18">
        <f t="shared" si="5"/>
        <v>162</v>
      </c>
      <c r="AJ224" s="2">
        <f t="shared" si="6"/>
        <v>1</v>
      </c>
    </row>
    <row r="225" spans="1:36" ht="10.5" customHeight="1" x14ac:dyDescent="0.25">
      <c r="A225" s="17">
        <v>217</v>
      </c>
      <c r="B225" s="2">
        <f t="shared" si="2"/>
        <v>3.5957129270369594</v>
      </c>
      <c r="C225" s="4">
        <v>2</v>
      </c>
      <c r="D225" s="4">
        <v>21.0525772570717</v>
      </c>
      <c r="E225" s="18">
        <v>164</v>
      </c>
      <c r="F225" s="5">
        <v>0.34325</v>
      </c>
      <c r="G225" s="5">
        <v>9.8900000000000002E-2</v>
      </c>
      <c r="H225" s="5">
        <v>1.7218</v>
      </c>
      <c r="I225" s="5">
        <v>8.1634499999999992</v>
      </c>
      <c r="J225" s="5">
        <v>3.6085000000000003</v>
      </c>
      <c r="K225" s="5">
        <v>3.2081</v>
      </c>
      <c r="L225" s="5">
        <v>1.9498499999999999</v>
      </c>
      <c r="M225" s="5">
        <v>0.52390000000000003</v>
      </c>
      <c r="N225" s="5">
        <v>1.2037499999999999</v>
      </c>
      <c r="O225" s="5">
        <v>0.39685000000000004</v>
      </c>
      <c r="P225" s="5">
        <v>1.6550000000000002E-3</v>
      </c>
      <c r="Q225" s="5">
        <v>102.41499999999999</v>
      </c>
      <c r="R225" s="5">
        <v>8.5800000000000001E-2</v>
      </c>
      <c r="S225" s="5">
        <v>30.564999999999998</v>
      </c>
      <c r="T225" s="18">
        <f t="shared" si="3"/>
        <v>164</v>
      </c>
      <c r="U225" s="2">
        <f t="shared" ref="U225:AH225" si="222">IF(OR(F225=0,F225&lt;0.00001,F225&gt;100000),"",IF((IF(F225&gt;F$5,ABS(LOG(((F$5/SUM($F225:$S225))/(F$4/SUM($F$4:$S$4)))*4+2,2)),ABS(LOG(((F225/SUM($F225:$S225))/(F$4/SUM($F$4:$S$4)))*4+2,2)))-3)&gt;8,(IF(F225&gt;F$5,ABS(LOG(((F$5/SUM($F225:$S225))/(F$4/SUM($F$4:$S$4)))*4+2,2)),ABS(LOG(((F225/SUM($F225:$S225))/(F$4/SUM($F$4:$S$4)))*4+2,2)))-3)/7,IF(F225&gt;F$5,ABS(LOG(((F$5/SUM($F225:$S225))/(F$4/SUM($F$4:$S$4)))*4+2,2)),ABS(LOG(((F225/SUM($F225:$S225))/(F$4/SUM($F$4:$S$4)))*4+2,2)))-3))</f>
        <v>2.2513921265839238</v>
      </c>
      <c r="V225" s="2">
        <f t="shared" si="222"/>
        <v>-0.60777361765947013</v>
      </c>
      <c r="W225" s="2">
        <f t="shared" si="222"/>
        <v>4.5160182299225635</v>
      </c>
      <c r="X225" s="2">
        <f t="shared" si="222"/>
        <v>3.7720739450690957</v>
      </c>
      <c r="Y225" s="2">
        <f t="shared" si="222"/>
        <v>2.7733933129451387</v>
      </c>
      <c r="Z225" s="2">
        <f t="shared" si="222"/>
        <v>1.2654833399773344</v>
      </c>
      <c r="AA225" s="2">
        <f t="shared" si="222"/>
        <v>3.7074898491461941</v>
      </c>
      <c r="AB225" s="2">
        <f t="shared" si="222"/>
        <v>1.044071764984662</v>
      </c>
      <c r="AC225" s="2">
        <f t="shared" si="222"/>
        <v>2.2937502566969803</v>
      </c>
      <c r="AD225" s="2">
        <f t="shared" si="222"/>
        <v>-1.6037143452194826</v>
      </c>
      <c r="AE225" s="2">
        <f t="shared" si="222"/>
        <v>-1.9999999051914905</v>
      </c>
      <c r="AF225" s="2">
        <f t="shared" si="222"/>
        <v>-7.2367392452784784E-2</v>
      </c>
      <c r="AG225" s="2">
        <f t="shared" si="222"/>
        <v>-1.9707189107148977</v>
      </c>
      <c r="AH225" s="2">
        <f t="shared" si="222"/>
        <v>-1.056264524148868</v>
      </c>
      <c r="AI225" s="18">
        <f t="shared" si="5"/>
        <v>164</v>
      </c>
      <c r="AJ225" s="2">
        <f t="shared" si="6"/>
        <v>1</v>
      </c>
    </row>
    <row r="226" spans="1:36" ht="10.5" customHeight="1" x14ac:dyDescent="0.25">
      <c r="A226" s="17">
        <v>218</v>
      </c>
      <c r="B226" s="2">
        <f t="shared" si="2"/>
        <v>6.5782905803418297</v>
      </c>
      <c r="C226" s="4">
        <v>2</v>
      </c>
      <c r="D226" s="4">
        <v>26.076228554801698</v>
      </c>
      <c r="E226" s="18">
        <v>165</v>
      </c>
      <c r="F226" s="5">
        <v>5.4200000000000005E-2</v>
      </c>
      <c r="G226" s="5">
        <v>1.9449999999999999E-2</v>
      </c>
      <c r="H226" s="5">
        <v>5.1260000000000003</v>
      </c>
      <c r="I226" s="5">
        <v>4.0655000000000001</v>
      </c>
      <c r="J226" s="5">
        <v>10.3575</v>
      </c>
      <c r="K226" s="5">
        <v>0.48130000000000001</v>
      </c>
      <c r="L226" s="5">
        <v>1.5339999999999998</v>
      </c>
      <c r="M226" s="5">
        <v>0.69005000000000005</v>
      </c>
      <c r="N226" s="5">
        <v>1.0729</v>
      </c>
      <c r="O226" s="5">
        <v>5.4855</v>
      </c>
      <c r="P226" s="5">
        <v>4.0699999999999998E-3</v>
      </c>
      <c r="Q226" s="5">
        <v>37.945</v>
      </c>
      <c r="R226" s="5">
        <v>0.52653214999999998</v>
      </c>
      <c r="S226" s="5">
        <v>67.715000000000003</v>
      </c>
      <c r="T226" s="18">
        <f t="shared" si="3"/>
        <v>165</v>
      </c>
      <c r="U226" s="2">
        <f t="shared" ref="U226:AH226" si="223">IF(OR(F226=0,F226&lt;0.00001,F226&gt;100000),"",IF((IF(F226&gt;F$5,ABS(LOG(((F$5/SUM($F226:$S226))/(F$4/SUM($F$4:$S$4)))*4+2,2)),ABS(LOG(((F226/SUM($F226:$S226))/(F$4/SUM($F$4:$S$4)))*4+2,2)))-3)&gt;8,(IF(F226&gt;F$5,ABS(LOG(((F$5/SUM($F226:$S226))/(F$4/SUM($F$4:$S$4)))*4+2,2)),ABS(LOG(((F226/SUM($F226:$S226))/(F$4/SUM($F$4:$S$4)))*4+2,2)))-3)/7,IF(F226&gt;F$5,ABS(LOG(((F$5/SUM($F226:$S226))/(F$4/SUM($F$4:$S$4)))*4+2,2)),ABS(LOG(((F226/SUM($F226:$S226))/(F$4/SUM($F$4:$S$4)))*4+2,2)))-3))</f>
        <v>8.9046382195585583E-2</v>
      </c>
      <c r="V226" s="2">
        <f t="shared" si="223"/>
        <v>-1.5511131720555211</v>
      </c>
      <c r="W226" s="2">
        <f t="shared" si="223"/>
        <v>6.2705863043836239</v>
      </c>
      <c r="X226" s="2">
        <f t="shared" si="223"/>
        <v>2.9780244670031299</v>
      </c>
      <c r="Y226" s="2">
        <f t="shared" si="223"/>
        <v>4.4492856586242553</v>
      </c>
      <c r="Z226" s="2">
        <f t="shared" si="223"/>
        <v>7.733099454682792</v>
      </c>
      <c r="AA226" s="2">
        <f t="shared" si="223"/>
        <v>3.5563603822476333</v>
      </c>
      <c r="AB226" s="2">
        <f t="shared" si="223"/>
        <v>1.5734306924119652</v>
      </c>
      <c r="AC226" s="2">
        <f t="shared" si="223"/>
        <v>2.3182488465553872</v>
      </c>
      <c r="AD226" s="2">
        <f t="shared" si="223"/>
        <v>0.58277483629305626</v>
      </c>
      <c r="AE226" s="2">
        <f t="shared" si="223"/>
        <v>-1.9999998917091224</v>
      </c>
      <c r="AF226" s="2">
        <f t="shared" si="223"/>
        <v>-0.87120913626229779</v>
      </c>
      <c r="AG226" s="2">
        <f t="shared" si="223"/>
        <v>-1.8062692948051104</v>
      </c>
      <c r="AH226" s="2">
        <f t="shared" si="223"/>
        <v>-0.2614849325529307</v>
      </c>
      <c r="AI226" s="18">
        <f t="shared" si="5"/>
        <v>165</v>
      </c>
      <c r="AJ226" s="2">
        <f t="shared" si="6"/>
        <v>1</v>
      </c>
    </row>
    <row r="227" spans="1:36" ht="10.5" customHeight="1" x14ac:dyDescent="0.25">
      <c r="A227" s="17">
        <v>219</v>
      </c>
      <c r="B227" s="2">
        <f t="shared" si="2"/>
        <v>5.923523979289004</v>
      </c>
      <c r="C227" s="4">
        <v>2</v>
      </c>
      <c r="D227" s="4">
        <v>25.1796662418514</v>
      </c>
      <c r="E227" s="18">
        <v>167</v>
      </c>
      <c r="F227" s="5">
        <v>1.1014999999999999</v>
      </c>
      <c r="G227" s="5">
        <v>1.0325</v>
      </c>
      <c r="H227" s="5">
        <v>3.2635000000000001</v>
      </c>
      <c r="I227" s="5">
        <v>4.3209999999999997</v>
      </c>
      <c r="J227" s="5">
        <v>10.557500000000001</v>
      </c>
      <c r="K227" s="5">
        <v>1.0225500000000001</v>
      </c>
      <c r="L227" s="5">
        <v>5.4279999999999999</v>
      </c>
      <c r="M227" s="5">
        <v>1.9292</v>
      </c>
      <c r="N227" s="5">
        <v>5.0024999999999995</v>
      </c>
      <c r="O227" s="5">
        <v>7.9930000000000003</v>
      </c>
      <c r="P227" s="5">
        <v>3.9215000000000005E-3</v>
      </c>
      <c r="Q227" s="5">
        <v>245.35</v>
      </c>
      <c r="R227" s="5">
        <v>0.26769999999999999</v>
      </c>
      <c r="S227" s="5">
        <v>164.3</v>
      </c>
      <c r="T227" s="18">
        <f t="shared" si="3"/>
        <v>167</v>
      </c>
      <c r="U227" s="2">
        <f t="shared" ref="U227:AH227" si="224">IF(OR(F227=0,F227&lt;0.00001,F227&gt;100000),"",IF((IF(F227&gt;F$5,ABS(LOG(((F$5/SUM($F227:$S227))/(F$4/SUM($F$4:$S$4)))*4+2,2)),ABS(LOG(((F227/SUM($F227:$S227))/(F$4/SUM($F$4:$S$4)))*4+2,2)))-3)&gt;8,(IF(F227&gt;F$5,ABS(LOG(((F$5/SUM($F227:$S227))/(F$4/SUM($F$4:$S$4)))*4+2,2)),ABS(LOG(((F227/SUM($F227:$S227))/(F$4/SUM($F$4:$S$4)))*4+2,2)))-3)/7,IF(F227&gt;F$5,ABS(LOG(((F$5/SUM($F227:$S227))/(F$4/SUM($F$4:$S$4)))*4+2,2)),ABS(LOG(((F227/SUM($F227:$S227))/(F$4/SUM($F$4:$S$4)))*4+2,2)))-3))</f>
        <v>2.3775004220307592</v>
      </c>
      <c r="V227" s="2">
        <f t="shared" si="224"/>
        <v>0.76460826101486434</v>
      </c>
      <c r="W227" s="2">
        <f t="shared" si="224"/>
        <v>3.8977202578179142</v>
      </c>
      <c r="X227" s="2">
        <f t="shared" si="224"/>
        <v>1.41979020806302</v>
      </c>
      <c r="Y227" s="2">
        <f t="shared" si="224"/>
        <v>2.7728572641364284</v>
      </c>
      <c r="Z227" s="2">
        <f t="shared" si="224"/>
        <v>7.0800576976789671</v>
      </c>
      <c r="AA227" s="2">
        <f t="shared" si="224"/>
        <v>3.6366120252713419</v>
      </c>
      <c r="AB227" s="2">
        <f t="shared" si="224"/>
        <v>1.3390168172885968</v>
      </c>
      <c r="AC227" s="2">
        <f t="shared" si="224"/>
        <v>2.7775928525355056</v>
      </c>
      <c r="AD227" s="2">
        <f t="shared" si="224"/>
        <v>-0.33308974435683814</v>
      </c>
      <c r="AE227" s="2">
        <f t="shared" si="224"/>
        <v>-1.9999999676074263</v>
      </c>
      <c r="AF227" s="2">
        <f t="shared" si="224"/>
        <v>-0.27957564666476431</v>
      </c>
      <c r="AG227" s="2">
        <f t="shared" si="224"/>
        <v>-1.9688069632077991</v>
      </c>
      <c r="AH227" s="2">
        <f t="shared" si="224"/>
        <v>-0.56913065568869525</v>
      </c>
      <c r="AI227" s="18">
        <f t="shared" si="5"/>
        <v>167</v>
      </c>
      <c r="AJ227" s="2">
        <f t="shared" si="6"/>
        <v>1</v>
      </c>
    </row>
    <row r="228" spans="1:36" ht="10.5" customHeight="1" x14ac:dyDescent="0.25">
      <c r="A228" s="17">
        <v>220</v>
      </c>
      <c r="B228" s="2">
        <f t="shared" si="2"/>
        <v>6.5493269693729017</v>
      </c>
      <c r="C228" s="4">
        <v>2</v>
      </c>
      <c r="D228" s="4">
        <v>26.262240934832199</v>
      </c>
      <c r="E228" s="18">
        <v>168</v>
      </c>
      <c r="F228" s="5">
        <v>1.298</v>
      </c>
      <c r="G228" s="5">
        <v>3.5670000000000002</v>
      </c>
      <c r="H228" s="5">
        <v>5.1429999999999998</v>
      </c>
      <c r="I228" s="5">
        <v>10.76</v>
      </c>
      <c r="J228" s="5">
        <v>17.14</v>
      </c>
      <c r="K228" s="5">
        <v>1.899</v>
      </c>
      <c r="L228" s="5">
        <v>17.39</v>
      </c>
      <c r="M228" s="5">
        <v>4.7240000000000002</v>
      </c>
      <c r="N228" s="5">
        <v>0.71660000000000001</v>
      </c>
      <c r="O228" s="5">
        <v>4.72</v>
      </c>
      <c r="P228" s="5">
        <v>2.32E-3</v>
      </c>
      <c r="Q228" s="5">
        <v>146.19999999999999</v>
      </c>
      <c r="R228" s="5">
        <v>0.2873</v>
      </c>
      <c r="S228" s="5">
        <v>291.3</v>
      </c>
      <c r="T228" s="18">
        <f t="shared" si="3"/>
        <v>168</v>
      </c>
      <c r="U228" s="2">
        <f t="shared" ref="U228:AH228" si="225">IF(OR(F228=0,F228&lt;0.00001,F228&gt;100000),"",IF((IF(F228&gt;F$5,ABS(LOG(((F$5/SUM($F228:$S228))/(F$4/SUM($F$4:$S$4)))*4+2,2)),ABS(LOG(((F228/SUM($F228:$S228))/(F$4/SUM($F$4:$S$4)))*4+2,2)))-3)&gt;8,(IF(F228&gt;F$5,ABS(LOG(((F$5/SUM($F228:$S228))/(F$4/SUM($F$4:$S$4)))*4+2,2)),ABS(LOG(((F228/SUM($F228:$S228))/(F$4/SUM($F$4:$S$4)))*4+2,2)))-3)/7,IF(F228&gt;F$5,ABS(LOG(((F$5/SUM($F228:$S228))/(F$4/SUM($F$4:$S$4)))*4+2,2)),ABS(LOG(((F228/SUM($F228:$S228))/(F$4/SUM($F$4:$S$4)))*4+2,2)))-3))</f>
        <v>2.4490523471431498</v>
      </c>
      <c r="V228" s="2">
        <f t="shared" si="225"/>
        <v>2.2402227248385271</v>
      </c>
      <c r="W228" s="2">
        <f t="shared" si="225"/>
        <v>4.3851266492775292</v>
      </c>
      <c r="X228" s="2">
        <f t="shared" si="225"/>
        <v>2.4980582027700322</v>
      </c>
      <c r="Y228" s="2">
        <f t="shared" si="225"/>
        <v>3.2937067564269453</v>
      </c>
      <c r="Z228" s="2">
        <f t="shared" si="225"/>
        <v>7.1490509214159275</v>
      </c>
      <c r="AA228" s="2">
        <f t="shared" si="225"/>
        <v>5.1356340315915343</v>
      </c>
      <c r="AB228" s="2">
        <f t="shared" si="225"/>
        <v>2.3896824010259019</v>
      </c>
      <c r="AC228" s="2">
        <f t="shared" si="225"/>
        <v>0.13234604897906221</v>
      </c>
      <c r="AD228" s="2">
        <f t="shared" si="225"/>
        <v>-0.89678058802490757</v>
      </c>
      <c r="AE228" s="2">
        <f t="shared" si="225"/>
        <v>-1.9999999710428824</v>
      </c>
      <c r="AF228" s="2">
        <f t="shared" si="225"/>
        <v>-0.8476922144943404</v>
      </c>
      <c r="AG228" s="2">
        <f t="shared" si="225"/>
        <v>-1.9700605281308972</v>
      </c>
      <c r="AH228" s="2">
        <f t="shared" si="225"/>
        <v>-0.11708203587045363</v>
      </c>
      <c r="AI228" s="18">
        <f t="shared" si="5"/>
        <v>168</v>
      </c>
      <c r="AJ228" s="2">
        <f t="shared" si="6"/>
        <v>1</v>
      </c>
    </row>
    <row r="229" spans="1:36" ht="10.5" customHeight="1" x14ac:dyDescent="0.25">
      <c r="A229" s="17">
        <v>221</v>
      </c>
      <c r="B229" s="2">
        <f t="shared" si="2"/>
        <v>8.0011643920698976</v>
      </c>
      <c r="C229" s="4">
        <v>2</v>
      </c>
      <c r="D229" s="4">
        <v>23.234223557701601</v>
      </c>
      <c r="E229" s="18">
        <v>170</v>
      </c>
      <c r="F229" s="5">
        <v>0.141565</v>
      </c>
      <c r="G229" s="5">
        <v>0.11935000000000001</v>
      </c>
      <c r="H229" s="5">
        <v>0.75309999999999999</v>
      </c>
      <c r="I229" s="5">
        <v>1.2890000000000001</v>
      </c>
      <c r="J229" s="5">
        <v>0.82064999999999999</v>
      </c>
      <c r="K229" s="5">
        <v>8.3699999999999997E-2</v>
      </c>
      <c r="L229" s="5">
        <v>1.03095</v>
      </c>
      <c r="M229" s="5">
        <v>0.63949999999999996</v>
      </c>
      <c r="N229" s="5">
        <v>4.8160000000000001E-2</v>
      </c>
      <c r="O229" s="5">
        <v>4.4894999999999996</v>
      </c>
      <c r="P229" s="5">
        <v>4.45E-3</v>
      </c>
      <c r="Q229" s="5">
        <v>12.43</v>
      </c>
      <c r="R229" s="5">
        <v>9.8199999999999996E-2</v>
      </c>
      <c r="S229" s="5">
        <v>7.923</v>
      </c>
      <c r="T229" s="18">
        <f t="shared" si="3"/>
        <v>170</v>
      </c>
      <c r="U229" s="2">
        <f t="shared" ref="U229:AH229" si="226">IF(OR(F229=0,F229&lt;0.00001,F229&gt;100000),"",IF((IF(F229&gt;F$5,ABS(LOG(((F$5/SUM($F229:$S229))/(F$4/SUM($F$4:$S$4)))*4+2,2)),ABS(LOG(((F229/SUM($F229:$S229))/(F$4/SUM($F$4:$S$4)))*4+2,2)))-3)&gt;8,(IF(F229&gt;F$5,ABS(LOG(((F$5/SUM($F229:$S229))/(F$4/SUM($F$4:$S$4)))*4+2,2)),ABS(LOG(((F229/SUM($F229:$S229))/(F$4/SUM($F$4:$S$4)))*4+2,2)))-3)/7,IF(F229&gt;F$5,ABS(LOG(((F$5/SUM($F229:$S229))/(F$4/SUM($F$4:$S$4)))*4+2,2)),ABS(LOG(((F229/SUM($F229:$S229))/(F$4/SUM($F$4:$S$4)))*4+2,2)))-3))</f>
        <v>3.3016190069658196</v>
      </c>
      <c r="V229" s="2">
        <f t="shared" si="226"/>
        <v>1.4760798626173104</v>
      </c>
      <c r="W229" s="2">
        <f t="shared" si="226"/>
        <v>5.6829830365355267</v>
      </c>
      <c r="X229" s="2">
        <f t="shared" si="226"/>
        <v>3.4838873718006713</v>
      </c>
      <c r="Y229" s="2">
        <f t="shared" si="226"/>
        <v>2.9977504483029147</v>
      </c>
      <c r="Z229" s="2">
        <f t="shared" si="226"/>
        <v>7.38688153853826</v>
      </c>
      <c r="AA229" s="2">
        <f t="shared" si="226"/>
        <v>5.1392767414205736</v>
      </c>
      <c r="AB229" s="2">
        <f t="shared" si="226"/>
        <v>3.5452788797800601</v>
      </c>
      <c r="AC229" s="2">
        <f t="shared" si="226"/>
        <v>0.27688787492903932</v>
      </c>
      <c r="AD229" s="2">
        <f t="shared" si="226"/>
        <v>2.2832576082732237</v>
      </c>
      <c r="AE229" s="2">
        <f t="shared" si="226"/>
        <v>-1.9999995103095325</v>
      </c>
      <c r="AF229" s="2">
        <f t="shared" si="226"/>
        <v>-0.53640252711032765</v>
      </c>
      <c r="AG229" s="2">
        <f t="shared" si="226"/>
        <v>-1.8349479622649001</v>
      </c>
      <c r="AH229" s="2">
        <f t="shared" si="226"/>
        <v>-0.83878762129630813</v>
      </c>
      <c r="AI229" s="18">
        <f t="shared" si="5"/>
        <v>170</v>
      </c>
      <c r="AJ229" s="2">
        <f t="shared" si="6"/>
        <v>1</v>
      </c>
    </row>
    <row r="230" spans="1:36" ht="10.5" customHeight="1" x14ac:dyDescent="0.25">
      <c r="A230" s="17">
        <v>222</v>
      </c>
      <c r="B230" s="2">
        <f t="shared" si="2"/>
        <v>2.1205880089733844</v>
      </c>
      <c r="C230" s="4">
        <v>2</v>
      </c>
      <c r="D230" s="4">
        <v>28.3111890565369</v>
      </c>
      <c r="E230" s="18">
        <v>171</v>
      </c>
      <c r="F230" s="5">
        <v>5.0099999999999997E-3</v>
      </c>
      <c r="G230" s="5">
        <v>2.6100000000000002E-2</v>
      </c>
      <c r="H230" s="5">
        <v>7.569</v>
      </c>
      <c r="I230" s="5">
        <v>5.258</v>
      </c>
      <c r="J230" s="5">
        <v>6.1950000000000003</v>
      </c>
      <c r="K230" s="5">
        <v>2.82</v>
      </c>
      <c r="L230" s="5">
        <v>3.09</v>
      </c>
      <c r="M230" s="5">
        <v>2.1749999999999998</v>
      </c>
      <c r="N230" s="5">
        <v>3.0299999999999999E-4</v>
      </c>
      <c r="O230" s="5">
        <v>2.8E-3</v>
      </c>
      <c r="P230" s="5"/>
      <c r="Q230" s="5">
        <v>7.681</v>
      </c>
      <c r="R230" s="5"/>
      <c r="S230" s="5">
        <v>84.92</v>
      </c>
      <c r="T230" s="18">
        <f t="shared" si="3"/>
        <v>171</v>
      </c>
      <c r="U230" s="2">
        <f t="shared" ref="U230:AH230" si="227">IF(OR(F230=0,F230&lt;0.00001,F230&gt;100000),"",IF((IF(F230&gt;F$5,ABS(LOG(((F$5/SUM($F230:$S230))/(F$4/SUM($F$4:$S$4)))*4+2,2)),ABS(LOG(((F230/SUM($F230:$S230))/(F$4/SUM($F$4:$S$4)))*4+2,2)))-3)&gt;8,(IF(F230&gt;F$5,ABS(LOG(((F$5/SUM($F230:$S230))/(F$4/SUM($F$4:$S$4)))*4+2,2)),ABS(LOG(((F230/SUM($F230:$S230))/(F$4/SUM($F$4:$S$4)))*4+2,2)))-3)/7,IF(F230&gt;F$5,ABS(LOG(((F$5/SUM($F230:$S230))/(F$4/SUM($F$4:$S$4)))*4+2,2)),ABS(LOG(((F230/SUM($F230:$S230))/(F$4/SUM($F$4:$S$4)))*4+2,2)))-3))</f>
        <v>-1.5784406025360005</v>
      </c>
      <c r="V230" s="2">
        <f t="shared" si="227"/>
        <v>-1.365407065706586</v>
      </c>
      <c r="W230" s="2">
        <f t="shared" si="227"/>
        <v>7.004837494017945</v>
      </c>
      <c r="X230" s="2">
        <f t="shared" si="227"/>
        <v>3.5084835916676544</v>
      </c>
      <c r="Y230" s="2">
        <f t="shared" si="227"/>
        <v>3.8895739421574653</v>
      </c>
      <c r="Z230" s="2">
        <f t="shared" si="227"/>
        <v>1.3176975538821278</v>
      </c>
      <c r="AA230" s="2">
        <f t="shared" si="227"/>
        <v>4.7232500466210281</v>
      </c>
      <c r="AB230" s="2">
        <f t="shared" si="227"/>
        <v>3.3136777462313312</v>
      </c>
      <c r="AC230" s="2">
        <f t="shared" si="227"/>
        <v>-1.9913169532988275</v>
      </c>
      <c r="AD230" s="2">
        <f t="shared" si="227"/>
        <v>-1.9958599382855648</v>
      </c>
      <c r="AE230" s="2" t="str">
        <f t="shared" si="227"/>
        <v/>
      </c>
      <c r="AF230" s="2">
        <f t="shared" si="227"/>
        <v>-1.6540439618174945</v>
      </c>
      <c r="AG230" s="2" t="str">
        <f t="shared" si="227"/>
        <v/>
      </c>
      <c r="AH230" s="2">
        <f t="shared" si="227"/>
        <v>0.10634668379558043</v>
      </c>
      <c r="AI230" s="18">
        <f t="shared" si="5"/>
        <v>171</v>
      </c>
      <c r="AJ230" s="2">
        <f t="shared" si="6"/>
        <v>2.1311189056536901</v>
      </c>
    </row>
    <row r="231" spans="1:36" ht="10.5" customHeight="1" x14ac:dyDescent="0.25">
      <c r="A231" s="17">
        <v>223</v>
      </c>
      <c r="B231" s="2">
        <f t="shared" si="2"/>
        <v>6.7568944180256088</v>
      </c>
      <c r="C231" s="4">
        <v>2</v>
      </c>
      <c r="D231" s="4">
        <v>24.576283311203099</v>
      </c>
      <c r="E231" s="18">
        <v>173</v>
      </c>
      <c r="F231" s="5">
        <v>9.7900000000000001E-2</v>
      </c>
      <c r="G231" s="5">
        <v>0.86780000000000002</v>
      </c>
      <c r="H231" s="5">
        <v>2.121</v>
      </c>
      <c r="I231" s="5">
        <v>3.6509999999999998</v>
      </c>
      <c r="J231" s="5">
        <v>53.74</v>
      </c>
      <c r="K231" s="5">
        <v>0.89510000000000001</v>
      </c>
      <c r="L231" s="5">
        <v>7.4530000000000003</v>
      </c>
      <c r="M231" s="5">
        <v>2.2130000000000001</v>
      </c>
      <c r="N231" s="5">
        <v>0.63649999999999995</v>
      </c>
      <c r="O231" s="5">
        <v>38.57</v>
      </c>
      <c r="P231" s="5">
        <v>4.1900000000000001E-3</v>
      </c>
      <c r="Q231" s="5">
        <v>147.6</v>
      </c>
      <c r="R231" s="5">
        <v>0.27750000000000002</v>
      </c>
      <c r="S231" s="5">
        <v>23.07</v>
      </c>
      <c r="T231" s="18">
        <f t="shared" si="3"/>
        <v>173</v>
      </c>
      <c r="U231" s="2">
        <f t="shared" ref="U231:AH231" si="228">IF(OR(F231=0,F231&lt;0.00001,F231&gt;100000),"",IF((IF(F231&gt;F$5,ABS(LOG(((F$5/SUM($F231:$S231))/(F$4/SUM($F$4:$S$4)))*4+2,2)),ABS(LOG(((F231/SUM($F231:$S231))/(F$4/SUM($F$4:$S$4)))*4+2,2)))-3)&gt;8,(IF(F231&gt;F$5,ABS(LOG(((F$5/SUM($F231:$S231))/(F$4/SUM($F$4:$S$4)))*4+2,2)),ABS(LOG(((F231/SUM($F231:$S231))/(F$4/SUM($F$4:$S$4)))*4+2,2)))-3)/7,IF(F231&gt;F$5,ABS(LOG(((F$5/SUM($F231:$S231))/(F$4/SUM($F$4:$S$4)))*4+2,2)),ABS(LOG(((F231/SUM($F231:$S231))/(F$4/SUM($F$4:$S$4)))*4+2,2)))-3))</f>
        <v>-6.4927086511387788E-2</v>
      </c>
      <c r="V231" s="2">
        <f t="shared" si="228"/>
        <v>1.1411939430332172</v>
      </c>
      <c r="W231" s="2">
        <f t="shared" si="228"/>
        <v>3.9584090407154173</v>
      </c>
      <c r="X231" s="2">
        <f t="shared" si="228"/>
        <v>1.824194064413633</v>
      </c>
      <c r="Y231" s="2">
        <f t="shared" si="228"/>
        <v>5.7568872732650593</v>
      </c>
      <c r="Z231" s="2">
        <f t="shared" si="228"/>
        <v>7.5706151551272018</v>
      </c>
      <c r="AA231" s="2">
        <f t="shared" si="228"/>
        <v>4.7614549440457141</v>
      </c>
      <c r="AB231" s="2">
        <f t="shared" si="228"/>
        <v>2.1537006765393922</v>
      </c>
      <c r="AC231" s="2">
        <f t="shared" si="228"/>
        <v>0.67808259660977122</v>
      </c>
      <c r="AD231" s="2">
        <f t="shared" si="228"/>
        <v>2.1584287961917212</v>
      </c>
      <c r="AE231" s="2">
        <f t="shared" si="228"/>
        <v>-1.999999947980925</v>
      </c>
      <c r="AF231" s="2">
        <f t="shared" si="228"/>
        <v>-0.31406080483193755</v>
      </c>
      <c r="AG231" s="2">
        <f t="shared" si="228"/>
        <v>-1.9484404251472442</v>
      </c>
      <c r="AH231" s="2">
        <f t="shared" si="228"/>
        <v>-1.5327710761017952</v>
      </c>
      <c r="AI231" s="18">
        <f t="shared" si="5"/>
        <v>173</v>
      </c>
      <c r="AJ231" s="2">
        <f t="shared" si="6"/>
        <v>1</v>
      </c>
    </row>
    <row r="232" spans="1:36" ht="10.5" customHeight="1" x14ac:dyDescent="0.25">
      <c r="A232" s="17">
        <v>224</v>
      </c>
      <c r="B232" s="2">
        <f t="shared" si="2"/>
        <v>6.5428395300779556</v>
      </c>
      <c r="C232" s="4">
        <v>2</v>
      </c>
      <c r="D232" s="4">
        <v>25.982110425288202</v>
      </c>
      <c r="E232" s="18">
        <v>174</v>
      </c>
      <c r="F232" s="5">
        <v>8.4199999999999998E-4</v>
      </c>
      <c r="G232" s="5">
        <v>0.86280000000000001</v>
      </c>
      <c r="H232" s="5">
        <v>7.88</v>
      </c>
      <c r="I232" s="5">
        <v>1.4239999999999999</v>
      </c>
      <c r="J232" s="5">
        <v>15.34</v>
      </c>
      <c r="K232" s="5">
        <v>2.0390000000000001</v>
      </c>
      <c r="L232" s="5">
        <v>0.315</v>
      </c>
      <c r="M232" s="5">
        <v>0.96950000000000003</v>
      </c>
      <c r="N232" s="5">
        <v>0.37080000000000002</v>
      </c>
      <c r="O232" s="5">
        <v>14.05</v>
      </c>
      <c r="P232" s="5">
        <v>4.7600000000000002E-4</v>
      </c>
      <c r="Q232" s="5">
        <v>17.46</v>
      </c>
      <c r="R232" s="5">
        <v>1.1100000000000001E-3</v>
      </c>
      <c r="S232" s="5">
        <v>5.5339999999999998</v>
      </c>
      <c r="T232" s="18">
        <f t="shared" si="3"/>
        <v>174</v>
      </c>
      <c r="U232" s="2">
        <f t="shared" ref="U232:AH232" si="229">IF(OR(F232=0,F232&lt;0.00001,F232&gt;100000),"",IF((IF(F232&gt;F$5,ABS(LOG(((F$5/SUM($F232:$S232))/(F$4/SUM($F$4:$S$4)))*4+2,2)),ABS(LOG(((F232/SUM($F232:$S232))/(F$4/SUM($F$4:$S$4)))*4+2,2)))-3)&gt;8,(IF(F232&gt;F$5,ABS(LOG(((F$5/SUM($F232:$S232))/(F$4/SUM($F$4:$S$4)))*4+2,2)),ABS(LOG(((F232/SUM($F232:$S232))/(F$4/SUM($F$4:$S$4)))*4+2,2)))-3)/7,IF(F232&gt;F$5,ABS(LOG(((F$5/SUM($F232:$S232))/(F$4/SUM($F$4:$S$4)))*4+2,2)),ABS(LOG(((F232/SUM($F232:$S232))/(F$4/SUM($F$4:$S$4)))*4+2,2)))-3))</f>
        <v>-1.8584449556632017</v>
      </c>
      <c r="V232" s="2">
        <f t="shared" si="229"/>
        <v>3.0879957819864741</v>
      </c>
      <c r="W232" s="2">
        <f t="shared" si="229"/>
        <v>7.9156071886935457</v>
      </c>
      <c r="X232" s="2">
        <f t="shared" si="229"/>
        <v>2.5105889757488704</v>
      </c>
      <c r="Y232" s="2">
        <f t="shared" si="229"/>
        <v>6.0326666052163898</v>
      </c>
      <c r="Z232" s="2">
        <f t="shared" si="229"/>
        <v>1.4396580988879852</v>
      </c>
      <c r="AA232" s="2">
        <f t="shared" si="229"/>
        <v>2.3422781977620835</v>
      </c>
      <c r="AB232" s="2">
        <f t="shared" si="229"/>
        <v>3.010690563336146</v>
      </c>
      <c r="AC232" s="2">
        <f t="shared" si="229"/>
        <v>1.8432836013545959</v>
      </c>
      <c r="AD232" s="2">
        <f t="shared" si="229"/>
        <v>2.7583364335492844</v>
      </c>
      <c r="AE232" s="2">
        <f t="shared" si="229"/>
        <v>-1.9999997791977002</v>
      </c>
      <c r="AF232" s="2">
        <f t="shared" si="229"/>
        <v>-0.92041513146638021</v>
      </c>
      <c r="AG232" s="2">
        <f t="shared" si="229"/>
        <v>-1.9991090367307669</v>
      </c>
      <c r="AH232" s="2">
        <f t="shared" si="229"/>
        <v>-1.5255258635588853</v>
      </c>
      <c r="AI232" s="18">
        <f t="shared" si="5"/>
        <v>174</v>
      </c>
      <c r="AJ232" s="2">
        <f t="shared" si="6"/>
        <v>1</v>
      </c>
    </row>
    <row r="233" spans="1:36" ht="10.5" customHeight="1" x14ac:dyDescent="0.25">
      <c r="A233" s="17">
        <v>225</v>
      </c>
      <c r="B233" s="2">
        <f t="shared" si="2"/>
        <v>7.6886358886943906</v>
      </c>
      <c r="C233" s="4">
        <v>2</v>
      </c>
      <c r="D233" s="4">
        <v>24.8666461770583</v>
      </c>
      <c r="E233" s="18">
        <v>176</v>
      </c>
      <c r="F233" s="5">
        <v>0.29959999999999998</v>
      </c>
      <c r="G233" s="5">
        <v>0.79369999999999996</v>
      </c>
      <c r="H233" s="5">
        <v>1.843</v>
      </c>
      <c r="I233" s="5">
        <v>5.5049999999999999</v>
      </c>
      <c r="J233" s="5">
        <v>2.5760000000000001</v>
      </c>
      <c r="K233" s="5">
        <v>1.706</v>
      </c>
      <c r="L233" s="5">
        <v>5.548</v>
      </c>
      <c r="M233" s="5">
        <v>1.214</v>
      </c>
      <c r="N233" s="5">
        <v>0.36749999999999999</v>
      </c>
      <c r="O233" s="5">
        <v>2.7300000000000001E-2</v>
      </c>
      <c r="P233" s="5">
        <v>2.8299999999999999E-4</v>
      </c>
      <c r="Q233" s="5">
        <v>2.6139999999999999</v>
      </c>
      <c r="R233" s="5">
        <v>1.446</v>
      </c>
      <c r="S233" s="5">
        <v>23.77</v>
      </c>
      <c r="T233" s="18">
        <f t="shared" si="3"/>
        <v>176</v>
      </c>
      <c r="U233" s="2">
        <f t="shared" ref="U233:AH233" si="230">IF(OR(F233=0,F233&lt;0.00001,F233&gt;100000),"",IF((IF(F233&gt;F$5,ABS(LOG(((F$5/SUM($F233:$S233))/(F$4/SUM($F$4:$S$4)))*4+2,2)),ABS(LOG(((F233/SUM($F233:$S233))/(F$4/SUM($F$4:$S$4)))*4+2,2)))-3)&gt;8,(IF(F233&gt;F$5,ABS(LOG(((F$5/SUM($F233:$S233))/(F$4/SUM($F$4:$S$4)))*4+2,2)),ABS(LOG(((F233/SUM($F233:$S233))/(F$4/SUM($F$4:$S$4)))*4+2,2)))-3)/7,IF(F233&gt;F$5,ABS(LOG(((F$5/SUM($F233:$S233))/(F$4/SUM($F$4:$S$4)))*4+2,2)),ABS(LOG(((F233/SUM($F233:$S233))/(F$4/SUM($F$4:$S$4)))*4+2,2)))-3))</f>
        <v>3.6986396082830542</v>
      </c>
      <c r="V233" s="2">
        <f t="shared" si="230"/>
        <v>3.431887904133653</v>
      </c>
      <c r="W233" s="2">
        <f t="shared" si="230"/>
        <v>6.2961335267832528</v>
      </c>
      <c r="X233" s="2">
        <f t="shared" si="230"/>
        <v>4.8825024795491547</v>
      </c>
      <c r="Y233" s="2">
        <f t="shared" si="230"/>
        <v>3.9501416097258772</v>
      </c>
      <c r="Z233" s="2">
        <f t="shared" si="230"/>
        <v>1.5072966639927652</v>
      </c>
      <c r="AA233" s="2">
        <f t="shared" si="230"/>
        <v>6.8845040233214156</v>
      </c>
      <c r="AB233" s="2">
        <f t="shared" si="230"/>
        <v>3.7895699963717373</v>
      </c>
      <c r="AC233" s="2">
        <f t="shared" si="230"/>
        <v>2.2762092370547622</v>
      </c>
      <c r="AD233" s="2">
        <f t="shared" si="230"/>
        <v>-1.9019543816448234</v>
      </c>
      <c r="AE233" s="2">
        <f t="shared" si="230"/>
        <v>-1.9999996934083282</v>
      </c>
      <c r="AF233" s="2">
        <f t="shared" si="230"/>
        <v>-1.6996275767336397</v>
      </c>
      <c r="AG233" s="2">
        <f t="shared" si="230"/>
        <v>-0.91768373682364546</v>
      </c>
      <c r="AH233" s="2">
        <f t="shared" si="230"/>
        <v>-0.26773066398354306</v>
      </c>
      <c r="AI233" s="18">
        <f t="shared" si="5"/>
        <v>176</v>
      </c>
      <c r="AJ233" s="2">
        <f t="shared" si="6"/>
        <v>1</v>
      </c>
    </row>
    <row r="234" spans="1:36" ht="10.5" customHeight="1" x14ac:dyDescent="0.25">
      <c r="A234" s="17">
        <v>226</v>
      </c>
      <c r="B234" s="2">
        <f t="shared" si="2"/>
        <v>6.4565240778047297</v>
      </c>
      <c r="C234" s="4">
        <v>2</v>
      </c>
      <c r="D234" s="4">
        <v>20.802705791970901</v>
      </c>
      <c r="E234" s="18">
        <v>177</v>
      </c>
      <c r="F234" s="5">
        <v>1.7600000000000001E-2</v>
      </c>
      <c r="G234" s="5">
        <v>0.9083</v>
      </c>
      <c r="H234" s="5">
        <v>0.28210000000000002</v>
      </c>
      <c r="I234" s="5">
        <v>2.077</v>
      </c>
      <c r="J234" s="5">
        <v>6.1539999999999999</v>
      </c>
      <c r="K234" s="5">
        <v>0.14230000000000001</v>
      </c>
      <c r="L234" s="5">
        <v>3.5339999999999998</v>
      </c>
      <c r="M234" s="5">
        <v>1.5229999999999999</v>
      </c>
      <c r="N234" s="5">
        <v>0.4506</v>
      </c>
      <c r="O234" s="5">
        <v>4.2759999999999998</v>
      </c>
      <c r="P234" s="5">
        <v>2.4199999999999998E-3</v>
      </c>
      <c r="Q234" s="5">
        <v>18.27</v>
      </c>
      <c r="R234" s="5">
        <v>3.9300000000000002E-2</v>
      </c>
      <c r="S234" s="5">
        <v>50.35</v>
      </c>
      <c r="T234" s="18">
        <f t="shared" si="3"/>
        <v>177</v>
      </c>
      <c r="U234" s="2">
        <f t="shared" ref="U234:AH234" si="231">IF(OR(F234=0,F234&lt;0.00001,F234&gt;100000),"",IF((IF(F234&gt;F$5,ABS(LOG(((F$5/SUM($F234:$S234))/(F$4/SUM($F$4:$S$4)))*4+2,2)),ABS(LOG(((F234/SUM($F234:$S234))/(F$4/SUM($F$4:$S$4)))*4+2,2)))-3)&gt;8,(IF(F234&gt;F$5,ABS(LOG(((F$5/SUM($F234:$S234))/(F$4/SUM($F$4:$S$4)))*4+2,2)),ABS(LOG(((F234/SUM($F234:$S234))/(F$4/SUM($F$4:$S$4)))*4+2,2)))-3)/7,IF(F234&gt;F$5,ABS(LOG(((F$5/SUM($F234:$S234))/(F$4/SUM($F$4:$S$4)))*4+2,2)),ABS(LOG(((F234/SUM($F234:$S234))/(F$4/SUM($F$4:$S$4)))*4+2,2)))-3))</f>
        <v>-0.60946271493666737</v>
      </c>
      <c r="V234" s="2">
        <f t="shared" si="231"/>
        <v>2.7631438338303553</v>
      </c>
      <c r="W234" s="2">
        <f t="shared" si="231"/>
        <v>2.75458188988648</v>
      </c>
      <c r="X234" s="2">
        <f t="shared" si="231"/>
        <v>2.6394236686980497</v>
      </c>
      <c r="Y234" s="2">
        <f t="shared" si="231"/>
        <v>4.3175738642020498</v>
      </c>
      <c r="Z234" s="2">
        <f t="shared" si="231"/>
        <v>6.594908828424817</v>
      </c>
      <c r="AA234" s="2">
        <f t="shared" si="231"/>
        <v>5.3559793231388824</v>
      </c>
      <c r="AB234" s="2">
        <f t="shared" si="231"/>
        <v>3.245305384826505</v>
      </c>
      <c r="AC234" s="2">
        <f t="shared" si="231"/>
        <v>1.7237775815128424</v>
      </c>
      <c r="AD234" s="2">
        <f t="shared" si="231"/>
        <v>0.80114202355831488</v>
      </c>
      <c r="AE234" s="2">
        <f t="shared" si="231"/>
        <v>-1.9999998338274627</v>
      </c>
      <c r="AF234" s="2">
        <f t="shared" si="231"/>
        <v>-1.0917072309607971</v>
      </c>
      <c r="AG234" s="2">
        <f t="shared" si="231"/>
        <v>-1.9764457628337326</v>
      </c>
      <c r="AH234" s="2">
        <f t="shared" si="231"/>
        <v>-0.12563665348714048</v>
      </c>
      <c r="AI234" s="18">
        <f t="shared" si="5"/>
        <v>177</v>
      </c>
      <c r="AJ234" s="2">
        <f t="shared" si="6"/>
        <v>1</v>
      </c>
    </row>
    <row r="235" spans="1:36" ht="10.5" customHeight="1" x14ac:dyDescent="0.25">
      <c r="A235" s="17">
        <v>227</v>
      </c>
      <c r="B235" s="2">
        <f t="shared" si="2"/>
        <v>7.2617810776619098</v>
      </c>
      <c r="C235" s="4">
        <v>2</v>
      </c>
      <c r="D235" s="4">
        <v>23.3060771718702</v>
      </c>
      <c r="E235" s="18">
        <v>179</v>
      </c>
      <c r="F235" s="5">
        <v>0.23150000000000001</v>
      </c>
      <c r="G235" s="5">
        <v>0.22539999999999999</v>
      </c>
      <c r="H235" s="5">
        <v>0.59289999999999998</v>
      </c>
      <c r="I235" s="5">
        <v>2.5670000000000002</v>
      </c>
      <c r="J235" s="5">
        <v>0.83919999999999995</v>
      </c>
      <c r="K235" s="5">
        <v>0.51780000000000004</v>
      </c>
      <c r="L235" s="5">
        <v>2.0920000000000001</v>
      </c>
      <c r="M235" s="5">
        <v>0.33110000000000001</v>
      </c>
      <c r="N235" s="5">
        <v>0.97350000000000003</v>
      </c>
      <c r="O235" s="5">
        <v>0.15190000000000001</v>
      </c>
      <c r="P235" s="5">
        <v>5.3800000000000002E-3</v>
      </c>
      <c r="Q235" s="5">
        <v>5.899</v>
      </c>
      <c r="R235" s="5">
        <v>0.84230000000000005</v>
      </c>
      <c r="S235" s="5">
        <v>11.85</v>
      </c>
      <c r="T235" s="18">
        <f t="shared" si="3"/>
        <v>179</v>
      </c>
      <c r="U235" s="2">
        <f t="shared" ref="U235:AH235" si="232">IF(OR(F235=0,F235&lt;0.00001,F235&gt;100000),"",IF((IF(F235&gt;F$5,ABS(LOG(((F$5/SUM($F235:$S235))/(F$4/SUM($F$4:$S$4)))*4+2,2)),ABS(LOG(((F235/SUM($F235:$S235))/(F$4/SUM($F$4:$S$4)))*4+2,2)))-3)&gt;8,(IF(F235&gt;F$5,ABS(LOG(((F$5/SUM($F235:$S235))/(F$4/SUM($F$4:$S$4)))*4+2,2)),ABS(LOG(((F235/SUM($F235:$S235))/(F$4/SUM($F$4:$S$4)))*4+2,2)))-3)/7,IF(F235&gt;F$5,ABS(LOG(((F$5/SUM($F235:$S235))/(F$4/SUM($F$4:$S$4)))*4+2,2)),ABS(LOG(((F235/SUM($F235:$S235))/(F$4/SUM($F$4:$S$4)))*4+2,2)))-3))</f>
        <v>4.1342515126444921</v>
      </c>
      <c r="V235" s="2">
        <f t="shared" si="232"/>
        <v>2.4638713704532469</v>
      </c>
      <c r="W235" s="2">
        <f t="shared" si="232"/>
        <v>5.4784539624762232</v>
      </c>
      <c r="X235" s="2">
        <f t="shared" si="232"/>
        <v>4.5995184812949415</v>
      </c>
      <c r="Y235" s="2">
        <f t="shared" si="232"/>
        <v>3.1643713856879323</v>
      </c>
      <c r="Z235" s="2">
        <f t="shared" si="232"/>
        <v>1.4505122478291967</v>
      </c>
      <c r="AA235" s="2">
        <f t="shared" si="232"/>
        <v>6.2939675762537064</v>
      </c>
      <c r="AB235" s="2">
        <f t="shared" si="232"/>
        <v>2.7581429536464963</v>
      </c>
      <c r="AC235" s="2">
        <f t="shared" si="232"/>
        <v>4.4369474821312389</v>
      </c>
      <c r="AD235" s="2">
        <f t="shared" si="232"/>
        <v>-1.2443590082642357</v>
      </c>
      <c r="AE235" s="2">
        <f t="shared" si="232"/>
        <v>-1.9999994606137501</v>
      </c>
      <c r="AF235" s="2">
        <f t="shared" si="232"/>
        <v>-1.059681788233823</v>
      </c>
      <c r="AG235" s="2">
        <f t="shared" si="232"/>
        <v>-0.89892653526076982</v>
      </c>
      <c r="AH235" s="2">
        <f t="shared" si="232"/>
        <v>-0.39736763391264152</v>
      </c>
      <c r="AI235" s="18">
        <f t="shared" si="5"/>
        <v>179</v>
      </c>
      <c r="AJ235" s="2">
        <f t="shared" si="6"/>
        <v>1</v>
      </c>
    </row>
    <row r="236" spans="1:36" ht="10.5" customHeight="1" x14ac:dyDescent="0.25">
      <c r="A236" s="17">
        <v>228</v>
      </c>
      <c r="B236" s="2">
        <f t="shared" si="2"/>
        <v>9.6572377117983432</v>
      </c>
      <c r="C236" s="4">
        <v>2</v>
      </c>
      <c r="D236" s="4">
        <v>27.022478330743098</v>
      </c>
      <c r="E236" s="18">
        <v>180</v>
      </c>
      <c r="F236" s="5">
        <v>0.35570000000000002</v>
      </c>
      <c r="G236" s="5">
        <v>1.952</v>
      </c>
      <c r="H236" s="5">
        <v>1.9330000000000001</v>
      </c>
      <c r="I236" s="5">
        <v>6.0140000000000002</v>
      </c>
      <c r="J236" s="5">
        <v>2.3090000000000002</v>
      </c>
      <c r="K236" s="5">
        <v>1.1479999999999999</v>
      </c>
      <c r="L236" s="5">
        <v>1.57</v>
      </c>
      <c r="M236" s="5">
        <v>0.78779999999999994</v>
      </c>
      <c r="N236" s="5">
        <v>1.17E-2</v>
      </c>
      <c r="O236" s="5">
        <v>0.7248</v>
      </c>
      <c r="P236" s="5"/>
      <c r="Q236" s="5">
        <v>2.5640000000000001</v>
      </c>
      <c r="R236" s="5">
        <v>2.585</v>
      </c>
      <c r="S236" s="5">
        <v>2.0199999999999999E-2</v>
      </c>
      <c r="T236" s="18">
        <f t="shared" si="3"/>
        <v>180</v>
      </c>
      <c r="U236" s="2">
        <f t="shared" ref="U236:AH236" si="233">IF(OR(F236=0,F236&lt;0.00001,F236&gt;100000),"",IF((IF(F236&gt;F$5,ABS(LOG(((F$5/SUM($F236:$S236))/(F$4/SUM($F$4:$S$4)))*4+2,2)),ABS(LOG(((F236/SUM($F236:$S236))/(F$4/SUM($F$4:$S$4)))*4+2,2)))-3)&gt;8,(IF(F236&gt;F$5,ABS(LOG(((F$5/SUM($F236:$S236))/(F$4/SUM($F$4:$S$4)))*4+2,2)),ABS(LOG(((F236/SUM($F236:$S236))/(F$4/SUM($F$4:$S$4)))*4+2,2)))-3)/7,IF(F236&gt;F$5,ABS(LOG(((F$5/SUM($F236:$S236))/(F$4/SUM($F$4:$S$4)))*4+2,2)),ABS(LOG(((F236/SUM($F236:$S236))/(F$4/SUM($F$4:$S$4)))*4+2,2)))-3))</f>
        <v>5.0475870078775635</v>
      </c>
      <c r="V236" s="2">
        <f t="shared" si="233"/>
        <v>5.8211818199799978</v>
      </c>
      <c r="W236" s="2">
        <f t="shared" si="233"/>
        <v>7.4807696046189847</v>
      </c>
      <c r="X236" s="2">
        <f t="shared" si="233"/>
        <v>6.1214221818218455</v>
      </c>
      <c r="Y236" s="2">
        <f t="shared" si="233"/>
        <v>4.8993152823678336</v>
      </c>
      <c r="Z236" s="2">
        <f t="shared" si="233"/>
        <v>1.6579238852286584</v>
      </c>
      <c r="AA236" s="2">
        <f t="shared" si="233"/>
        <v>6.1836424218682922</v>
      </c>
      <c r="AB236" s="2">
        <f t="shared" si="233"/>
        <v>4.2765403858127176</v>
      </c>
      <c r="AC236" s="2">
        <f t="shared" si="233"/>
        <v>-0.81719778921564812</v>
      </c>
      <c r="AD236" s="2">
        <f t="shared" si="233"/>
        <v>0.33728289280545232</v>
      </c>
      <c r="AE236" s="2" t="str">
        <f t="shared" si="233"/>
        <v/>
      </c>
      <c r="AF236" s="2">
        <f t="shared" si="233"/>
        <v>-1.4218672355561965</v>
      </c>
      <c r="AG236" s="2">
        <f t="shared" si="233"/>
        <v>0.41604077852542254</v>
      </c>
      <c r="AH236" s="2">
        <f t="shared" si="233"/>
        <v>-1.9938311566730038</v>
      </c>
      <c r="AI236" s="18">
        <f t="shared" si="5"/>
        <v>180</v>
      </c>
      <c r="AJ236" s="2">
        <f t="shared" si="6"/>
        <v>2.0022478330743096</v>
      </c>
    </row>
    <row r="237" spans="1:36" ht="10.5" customHeight="1" x14ac:dyDescent="0.25">
      <c r="A237" s="17">
        <v>229</v>
      </c>
      <c r="B237" s="2">
        <f t="shared" si="2"/>
        <v>5.4081267745030459</v>
      </c>
      <c r="C237" s="4">
        <v>2</v>
      </c>
      <c r="D237" s="4">
        <v>23.135383302838001</v>
      </c>
      <c r="E237" s="18">
        <v>182</v>
      </c>
      <c r="F237" s="5">
        <v>0.13420000000000001</v>
      </c>
      <c r="G237" s="5">
        <v>8.2699999999999996E-2</v>
      </c>
      <c r="H237" s="5">
        <v>0.31769999999999998</v>
      </c>
      <c r="I237" s="5">
        <v>1.7230000000000001</v>
      </c>
      <c r="J237" s="5">
        <v>0.2535</v>
      </c>
      <c r="K237" s="5">
        <v>0.1565</v>
      </c>
      <c r="L237" s="5">
        <v>1.222</v>
      </c>
      <c r="M237" s="5">
        <v>0.19919999999999999</v>
      </c>
      <c r="N237" s="5">
        <v>9.0100000000000006E-3</v>
      </c>
      <c r="O237" s="5">
        <v>0.69750000000000001</v>
      </c>
      <c r="P237" s="5">
        <v>1.7099999999999999E-3</v>
      </c>
      <c r="Q237" s="5">
        <v>6.1449999999999996</v>
      </c>
      <c r="R237" s="5">
        <v>0.50239999999999996</v>
      </c>
      <c r="S237" s="5">
        <v>10.57</v>
      </c>
      <c r="T237" s="18">
        <f t="shared" si="3"/>
        <v>182</v>
      </c>
      <c r="U237" s="2">
        <f t="shared" ref="U237:AH237" si="234">IF(OR(F237=0,F237&lt;0.00001,F237&gt;100000),"",IF((IF(F237&gt;F$5,ABS(LOG(((F$5/SUM($F237:$S237))/(F$4/SUM($F$4:$S$4)))*4+2,2)),ABS(LOG(((F237/SUM($F237:$S237))/(F$4/SUM($F$4:$S$4)))*4+2,2)))-3)&gt;8,(IF(F237&gt;F$5,ABS(LOG(((F$5/SUM($F237:$S237))/(F$4/SUM($F$4:$S$4)))*4+2,2)),ABS(LOG(((F237/SUM($F237:$S237))/(F$4/SUM($F$4:$S$4)))*4+2,2)))-3)/7,IF(F237&gt;F$5,ABS(LOG(((F$5/SUM($F237:$S237))/(F$4/SUM($F$4:$S$4)))*4+2,2)),ABS(LOG(((F237/SUM($F237:$S237))/(F$4/SUM($F$4:$S$4)))*4+2,2)))-3))</f>
        <v>3.6566772676078312</v>
      </c>
      <c r="V237" s="2">
        <f t="shared" si="234"/>
        <v>1.3953636766178432</v>
      </c>
      <c r="W237" s="2">
        <f t="shared" si="234"/>
        <v>4.8833441513066349</v>
      </c>
      <c r="X237" s="2">
        <f t="shared" si="234"/>
        <v>4.3283240850558951</v>
      </c>
      <c r="Y237" s="2">
        <f t="shared" si="234"/>
        <v>1.8045284197219873</v>
      </c>
      <c r="Z237" s="2">
        <f t="shared" si="234"/>
        <v>1.2469630336204796</v>
      </c>
      <c r="AA237" s="2">
        <f t="shared" si="234"/>
        <v>5.8209733439665019</v>
      </c>
      <c r="AB237" s="2">
        <f t="shared" si="234"/>
        <v>2.344449860011852</v>
      </c>
      <c r="AC237" s="2">
        <f t="shared" si="234"/>
        <v>-1.0171256852913155</v>
      </c>
      <c r="AD237" s="2">
        <f t="shared" si="234"/>
        <v>0.29097665410263085</v>
      </c>
      <c r="AE237" s="2">
        <f t="shared" si="234"/>
        <v>-1.9999993355444168</v>
      </c>
      <c r="AF237" s="2">
        <f t="shared" si="234"/>
        <v>-0.87617498342977962</v>
      </c>
      <c r="AG237" s="2">
        <f t="shared" si="234"/>
        <v>-1.1191879239461577</v>
      </c>
      <c r="AH237" s="2">
        <f t="shared" si="234"/>
        <v>-0.30478873303227161</v>
      </c>
      <c r="AI237" s="18">
        <f t="shared" si="5"/>
        <v>182</v>
      </c>
      <c r="AJ237" s="2">
        <f t="shared" si="6"/>
        <v>1</v>
      </c>
    </row>
    <row r="238" spans="1:36" ht="10.5" customHeight="1" x14ac:dyDescent="0.25">
      <c r="A238" s="17">
        <v>230</v>
      </c>
      <c r="B238" s="2">
        <f t="shared" si="2"/>
        <v>5.4259336733193768</v>
      </c>
      <c r="C238" s="4">
        <v>2</v>
      </c>
      <c r="D238" s="4">
        <v>28.538016745239801</v>
      </c>
      <c r="E238" s="18">
        <v>184</v>
      </c>
      <c r="F238" s="5">
        <v>1.147</v>
      </c>
      <c r="G238" s="5">
        <v>3.7600000000000001E-2</v>
      </c>
      <c r="H238" s="5">
        <v>41.34</v>
      </c>
      <c r="I238" s="5">
        <v>25.49</v>
      </c>
      <c r="J238" s="5">
        <v>9.718</v>
      </c>
      <c r="K238" s="5">
        <v>25.38</v>
      </c>
      <c r="L238" s="5">
        <v>14.23</v>
      </c>
      <c r="M238" s="5">
        <v>9.0269999999999992</v>
      </c>
      <c r="N238" s="5">
        <v>0.36980000000000002</v>
      </c>
      <c r="O238" s="5">
        <v>5.867</v>
      </c>
      <c r="P238" s="5"/>
      <c r="Q238" s="5">
        <v>17.43</v>
      </c>
      <c r="R238" s="5">
        <v>0.1855</v>
      </c>
      <c r="S238" s="5">
        <v>60.18</v>
      </c>
      <c r="T238" s="18">
        <f t="shared" si="3"/>
        <v>184</v>
      </c>
      <c r="U238" s="2">
        <f t="shared" ref="U238:AH238" si="235">IF(OR(F238=0,F238&lt;0.00001,F238&gt;100000),"",IF((IF(F238&gt;F$5,ABS(LOG(((F$5/SUM($F238:$S238))/(F$4/SUM($F$4:$S$4)))*4+2,2)),ABS(LOG(((F238/SUM($F238:$S238))/(F$4/SUM($F$4:$S$4)))*4+2,2)))-3)&gt;8,(IF(F238&gt;F$5,ABS(LOG(((F$5/SUM($F238:$S238))/(F$4/SUM($F$4:$S$4)))*4+2,2)),ABS(LOG(((F238/SUM($F238:$S238))/(F$4/SUM($F$4:$S$4)))*4+2,2)))-3)/7,IF(F238&gt;F$5,ABS(LOG(((F$5/SUM($F238:$S238))/(F$4/SUM($F$4:$S$4)))*4+2,2)),ABS(LOG(((F238/SUM($F238:$S238))/(F$4/SUM($F$4:$S$4)))*4+2,2)))-3))</f>
        <v>3.4988363749747533</v>
      </c>
      <c r="V238" s="2">
        <f t="shared" si="235"/>
        <v>-1.4609872962298505</v>
      </c>
      <c r="W238" s="2">
        <f t="shared" si="235"/>
        <v>1.2273673120707698</v>
      </c>
      <c r="X238" s="2">
        <f t="shared" si="235"/>
        <v>4.9522648117616823</v>
      </c>
      <c r="Y238" s="2">
        <f t="shared" si="235"/>
        <v>3.728833533399766</v>
      </c>
      <c r="Z238" s="2">
        <f t="shared" si="235"/>
        <v>1.2015890850077044</v>
      </c>
      <c r="AA238" s="2">
        <f t="shared" si="235"/>
        <v>6.1048217116257852</v>
      </c>
      <c r="AB238" s="2">
        <f t="shared" si="235"/>
        <v>4.532623072068076</v>
      </c>
      <c r="AC238" s="2">
        <f t="shared" si="235"/>
        <v>0.37657418261426345</v>
      </c>
      <c r="AD238" s="2">
        <f t="shared" si="235"/>
        <v>0.1463220235576177</v>
      </c>
      <c r="AE238" s="2" t="str">
        <f t="shared" si="235"/>
        <v/>
      </c>
      <c r="AF238" s="2">
        <f t="shared" si="235"/>
        <v>-1.5670688340314824</v>
      </c>
      <c r="AG238" s="2">
        <f t="shared" si="235"/>
        <v>-1.9538501697929267</v>
      </c>
      <c r="AH238" s="2">
        <f t="shared" si="235"/>
        <v>-0.77760132941495996</v>
      </c>
      <c r="AI238" s="18">
        <f t="shared" si="5"/>
        <v>184</v>
      </c>
      <c r="AJ238" s="2">
        <f t="shared" si="6"/>
        <v>2.1538016745239803</v>
      </c>
    </row>
    <row r="239" spans="1:36" ht="10.5" customHeight="1" x14ac:dyDescent="0.25">
      <c r="A239" s="17">
        <v>231</v>
      </c>
      <c r="B239" s="2">
        <f t="shared" si="2"/>
        <v>5.4476147560623547</v>
      </c>
      <c r="C239" s="4">
        <v>2</v>
      </c>
      <c r="D239" s="4">
        <v>23.307161016317799</v>
      </c>
      <c r="E239" s="18">
        <v>186</v>
      </c>
      <c r="F239" s="5">
        <v>2.46E-2</v>
      </c>
      <c r="G239" s="5">
        <v>0.24579999999999999</v>
      </c>
      <c r="H239" s="5">
        <v>0.33910000000000001</v>
      </c>
      <c r="I239" s="5">
        <v>4.4379999999999997</v>
      </c>
      <c r="J239" s="5">
        <v>0.87070000000000003</v>
      </c>
      <c r="K239" s="5">
        <v>0.40749999999999997</v>
      </c>
      <c r="L239" s="5">
        <v>0.48249999999999998</v>
      </c>
      <c r="M239" s="5">
        <v>0.1845</v>
      </c>
      <c r="N239" s="5">
        <v>1.16E-4</v>
      </c>
      <c r="O239" s="5">
        <v>0.115</v>
      </c>
      <c r="P239" s="5">
        <v>9.6699999999999998E-4</v>
      </c>
      <c r="Q239" s="5">
        <v>4.7750000000000004</v>
      </c>
      <c r="R239" s="5">
        <v>1.208</v>
      </c>
      <c r="S239" s="5">
        <v>6.4779999999999998</v>
      </c>
      <c r="T239" s="18">
        <f t="shared" si="3"/>
        <v>186</v>
      </c>
      <c r="U239" s="2">
        <f t="shared" ref="U239:AH239" si="236">IF(OR(F239=0,F239&lt;0.00001,F239&gt;100000),"",IF((IF(F239&gt;F$5,ABS(LOG(((F$5/SUM($F239:$S239))/(F$4/SUM($F$4:$S$4)))*4+2,2)),ABS(LOG(((F239/SUM($F239:$S239))/(F$4/SUM($F$4:$S$4)))*4+2,2)))-3)&gt;8,(IF(F239&gt;F$5,ABS(LOG(((F$5/SUM($F239:$S239))/(F$4/SUM($F$4:$S$4)))*4+2,2)),ABS(LOG(((F239/SUM($F239:$S239))/(F$4/SUM($F$4:$S$4)))*4+2,2)))-3)/7,IF(F239&gt;F$5,ABS(LOG(((F$5/SUM($F239:$S239))/(F$4/SUM($F$4:$S$4)))*4+2,2)),ABS(LOG(((F239/SUM($F239:$S239))/(F$4/SUM($F$4:$S$4)))*4+2,2)))-3))</f>
        <v>1.4849357529338301</v>
      </c>
      <c r="V239" s="2">
        <f t="shared" si="236"/>
        <v>3.0372584867990531</v>
      </c>
      <c r="W239" s="2">
        <f t="shared" si="236"/>
        <v>5.1451668860199007</v>
      </c>
      <c r="X239" s="2">
        <f t="shared" si="236"/>
        <v>5.8513263894208745</v>
      </c>
      <c r="Y239" s="2">
        <f t="shared" si="236"/>
        <v>3.6759062353484975</v>
      </c>
      <c r="Z239" s="2">
        <f t="shared" si="236"/>
        <v>1.46837709855447</v>
      </c>
      <c r="AA239" s="2">
        <f t="shared" si="236"/>
        <v>4.658113018671691</v>
      </c>
      <c r="AB239" s="2">
        <f t="shared" si="236"/>
        <v>2.4008149584774099</v>
      </c>
      <c r="AC239" s="2">
        <f t="shared" si="236"/>
        <v>-1.9797416718441987</v>
      </c>
      <c r="AD239" s="2">
        <f t="shared" si="236"/>
        <v>-1.215748474455667</v>
      </c>
      <c r="AE239" s="2">
        <f t="shared" si="236"/>
        <v>-1.9999992525413357</v>
      </c>
      <c r="AF239" s="2">
        <f t="shared" si="236"/>
        <v>-0.97795102839361059</v>
      </c>
      <c r="AG239" s="2">
        <f t="shared" si="236"/>
        <v>-0.28812294796790239</v>
      </c>
      <c r="AH239" s="2">
        <f t="shared" si="236"/>
        <v>-0.65341107124126641</v>
      </c>
      <c r="AI239" s="18">
        <f t="shared" si="5"/>
        <v>186</v>
      </c>
      <c r="AJ239" s="2">
        <f t="shared" si="6"/>
        <v>1</v>
      </c>
    </row>
    <row r="240" spans="1:36" ht="10.5" customHeight="1" x14ac:dyDescent="0.25">
      <c r="A240" s="17">
        <v>232</v>
      </c>
      <c r="B240" s="2">
        <f t="shared" si="2"/>
        <v>5.7213127014946528</v>
      </c>
      <c r="C240" s="4">
        <v>2</v>
      </c>
      <c r="D240" s="4">
        <v>25.448199855632101</v>
      </c>
      <c r="E240" s="18">
        <v>187</v>
      </c>
      <c r="F240" s="5">
        <v>0.47910000000000003</v>
      </c>
      <c r="G240" s="5">
        <v>6.8399999999999997E-3</v>
      </c>
      <c r="H240" s="5">
        <v>3.4630000000000001</v>
      </c>
      <c r="I240" s="5">
        <v>5.0540000000000003</v>
      </c>
      <c r="J240" s="5">
        <v>4.9980000000000002</v>
      </c>
      <c r="K240" s="5">
        <v>1.611</v>
      </c>
      <c r="L240" s="5">
        <v>1.8380000000000001</v>
      </c>
      <c r="M240" s="5">
        <v>1.4990000000000001</v>
      </c>
      <c r="N240" s="5">
        <v>1.339</v>
      </c>
      <c r="O240" s="5">
        <v>4.202</v>
      </c>
      <c r="P240" s="5">
        <v>1.43E-2</v>
      </c>
      <c r="Q240" s="5">
        <v>114.9</v>
      </c>
      <c r="R240" s="5">
        <v>0.99319999999999997</v>
      </c>
      <c r="S240" s="5">
        <v>43.6</v>
      </c>
      <c r="T240" s="18">
        <f t="shared" si="3"/>
        <v>187</v>
      </c>
      <c r="U240" s="2">
        <f t="shared" ref="U240:AH240" si="237">IF(OR(F240=0,F240&lt;0.00001,F240&gt;100000),"",IF((IF(F240&gt;F$5,ABS(LOG(((F$5/SUM($F240:$S240))/(F$4/SUM($F$4:$S$4)))*4+2,2)),ABS(LOG(((F240/SUM($F240:$S240))/(F$4/SUM($F$4:$S$4)))*4+2,2)))-3)&gt;8,(IF(F240&gt;F$5,ABS(LOG(((F$5/SUM($F240:$S240))/(F$4/SUM($F$4:$S$4)))*4+2,2)),ABS(LOG(((F240/SUM($F240:$S240))/(F$4/SUM($F$4:$S$4)))*4+2,2)))-3)/7,IF(F240&gt;F$5,ABS(LOG(((F$5/SUM($F240:$S240))/(F$4/SUM($F$4:$S$4)))*4+2,2)),ABS(LOG(((F240/SUM($F240:$S240))/(F$4/SUM($F$4:$S$4)))*4+2,2)))-3))</f>
        <v>2.4673087472085049</v>
      </c>
      <c r="V240" s="2">
        <f t="shared" si="237"/>
        <v>-1.8700857291854442</v>
      </c>
      <c r="W240" s="2">
        <f t="shared" si="237"/>
        <v>5.2636117224524099</v>
      </c>
      <c r="X240" s="2">
        <f t="shared" si="237"/>
        <v>2.8504898620305736</v>
      </c>
      <c r="Y240" s="2">
        <f t="shared" si="237"/>
        <v>2.9819147350541551</v>
      </c>
      <c r="Z240" s="2">
        <f t="shared" si="237"/>
        <v>1.2292075230633694</v>
      </c>
      <c r="AA240" s="2">
        <f t="shared" si="237"/>
        <v>3.3754850571938215</v>
      </c>
      <c r="AB240" s="2">
        <f t="shared" si="237"/>
        <v>2.2008352018096176</v>
      </c>
      <c r="AC240" s="2">
        <f t="shared" si="237"/>
        <v>2.1985849582340222</v>
      </c>
      <c r="AD240" s="2">
        <f t="shared" si="237"/>
        <v>-7.1476050987641315E-2</v>
      </c>
      <c r="AE240" s="2">
        <f t="shared" si="237"/>
        <v>-1.9999999205010284</v>
      </c>
      <c r="AF240" s="2">
        <f t="shared" si="237"/>
        <v>-0.13680392205682823</v>
      </c>
      <c r="AG240" s="2">
        <f t="shared" si="237"/>
        <v>-1.738147431264004</v>
      </c>
      <c r="AH240" s="2">
        <f t="shared" si="237"/>
        <v>-0.92643794676123647</v>
      </c>
      <c r="AI240" s="18">
        <f t="shared" si="5"/>
        <v>187</v>
      </c>
      <c r="AJ240" s="2">
        <f t="shared" si="6"/>
        <v>1</v>
      </c>
    </row>
    <row r="241" spans="1:36" ht="10.5" customHeight="1" x14ac:dyDescent="0.25">
      <c r="A241" s="17">
        <v>233</v>
      </c>
      <c r="B241" s="2">
        <f t="shared" si="2"/>
        <v>7.6963733871408246</v>
      </c>
      <c r="C241" s="4">
        <v>2</v>
      </c>
      <c r="D241" s="4">
        <v>29.9760492170393</v>
      </c>
      <c r="E241" s="18">
        <v>190</v>
      </c>
      <c r="F241" s="5">
        <v>7.4200000000000002E-2</v>
      </c>
      <c r="G241" s="5">
        <v>17.2</v>
      </c>
      <c r="H241" s="5">
        <v>14.78</v>
      </c>
      <c r="I241" s="5">
        <v>9.5609999999999999</v>
      </c>
      <c r="J241" s="5">
        <v>26.71</v>
      </c>
      <c r="K241" s="5">
        <v>13.14</v>
      </c>
      <c r="L241" s="5">
        <v>9.9269999999999996</v>
      </c>
      <c r="M241" s="5">
        <v>0.25779999999999997</v>
      </c>
      <c r="N241" s="5"/>
      <c r="O241" s="5">
        <v>20.41</v>
      </c>
      <c r="P241" s="5"/>
      <c r="Q241" s="5">
        <v>43.19</v>
      </c>
      <c r="R241" s="5"/>
      <c r="S241" s="5">
        <v>0.40329999999999999</v>
      </c>
      <c r="T241" s="18">
        <f t="shared" si="3"/>
        <v>190</v>
      </c>
      <c r="U241" s="2">
        <f t="shared" ref="U241:AH241" si="238">IF(OR(F241=0,F241&lt;0.00001,F241&gt;100000),"",IF((IF(F241&gt;F$5,ABS(LOG(((F$5/SUM($F241:$S241))/(F$4/SUM($F$4:$S$4)))*4+2,2)),ABS(LOG(((F241/SUM($F241:$S241))/(F$4/SUM($F$4:$S$4)))*4+2,2)))-3)&gt;8,(IF(F241&gt;F$5,ABS(LOG(((F$5/SUM($F241:$S241))/(F$4/SUM($F$4:$S$4)))*4+2,2)),ABS(LOG(((F241/SUM($F241:$S241))/(F$4/SUM($F$4:$S$4)))*4+2,2)))-3)/7,IF(F241&gt;F$5,ABS(LOG(((F$5/SUM($F241:$S241))/(F$4/SUM($F$4:$S$4)))*4+2,2)),ABS(LOG(((F241/SUM($F241:$S241))/(F$4/SUM($F$4:$S$4)))*4+2,2)))-3))</f>
        <v>0.28292760014283891</v>
      </c>
      <c r="V241" s="2">
        <f t="shared" si="238"/>
        <v>4.3649860458590011</v>
      </c>
      <c r="W241" s="2">
        <f t="shared" si="238"/>
        <v>7.5909656807182362</v>
      </c>
      <c r="X241" s="2">
        <f t="shared" si="238"/>
        <v>3.9836618237421559</v>
      </c>
      <c r="Y241" s="2">
        <f t="shared" si="238"/>
        <v>5.6022741382662744</v>
      </c>
      <c r="Z241" s="2">
        <f t="shared" si="238"/>
        <v>1.2636656339076069</v>
      </c>
      <c r="AA241" s="2">
        <f t="shared" si="238"/>
        <v>6.0204441436591924</v>
      </c>
      <c r="AB241" s="2">
        <f t="shared" si="238"/>
        <v>0.18120694843930352</v>
      </c>
      <c r="AC241" s="2" t="str">
        <f t="shared" si="238"/>
        <v/>
      </c>
      <c r="AD241" s="2">
        <f t="shared" si="238"/>
        <v>2.0971868151366966</v>
      </c>
      <c r="AE241" s="2" t="str">
        <f t="shared" si="238"/>
        <v/>
      </c>
      <c r="AF241" s="2">
        <f t="shared" si="238"/>
        <v>-0.88082391867606669</v>
      </c>
      <c r="AG241" s="2" t="str">
        <f t="shared" si="238"/>
        <v/>
      </c>
      <c r="AH241" s="2">
        <f t="shared" si="238"/>
        <v>-1.9826789488313015</v>
      </c>
      <c r="AI241" s="18">
        <f t="shared" si="5"/>
        <v>190</v>
      </c>
      <c r="AJ241" s="2">
        <f t="shared" si="6"/>
        <v>2.2976049217039298</v>
      </c>
    </row>
    <row r="242" spans="1:36" ht="10.5" customHeight="1" x14ac:dyDescent="0.25">
      <c r="A242" s="17">
        <v>234</v>
      </c>
      <c r="B242" s="2">
        <f t="shared" si="2"/>
        <v>8.7361514660379882</v>
      </c>
      <c r="C242" s="4">
        <v>2</v>
      </c>
      <c r="D242" s="4">
        <v>23.076760635232301</v>
      </c>
      <c r="E242" s="18">
        <v>191</v>
      </c>
      <c r="F242" s="5">
        <v>7.7200000000000005E-2</v>
      </c>
      <c r="G242" s="5">
        <v>7.9399999999999998E-2</v>
      </c>
      <c r="H242" s="5">
        <v>0.48649999999999999</v>
      </c>
      <c r="I242" s="5">
        <v>0.74939999999999996</v>
      </c>
      <c r="J242" s="5">
        <v>2.1890000000000001</v>
      </c>
      <c r="K242" s="5">
        <v>0.46550000000000002</v>
      </c>
      <c r="L242" s="5">
        <v>0.29709999999999998</v>
      </c>
      <c r="M242" s="5">
        <v>0.59730000000000005</v>
      </c>
      <c r="N242" s="5">
        <v>0.13900000000000001</v>
      </c>
      <c r="O242" s="5">
        <v>7.1150000000000002</v>
      </c>
      <c r="P242" s="5">
        <v>1.32E-3</v>
      </c>
      <c r="Q242" s="5">
        <v>0.92010000000000003</v>
      </c>
      <c r="R242" s="5">
        <v>2.31E-3</v>
      </c>
      <c r="S242" s="5">
        <v>19.989999999999998</v>
      </c>
      <c r="T242" s="18">
        <f t="shared" si="3"/>
        <v>191</v>
      </c>
      <c r="U242" s="2">
        <f t="shared" ref="U242:AH242" si="239">IF(OR(F242=0,F242&lt;0.00001,F242&gt;100000),"",IF((IF(F242&gt;F$5,ABS(LOG(((F$5/SUM($F242:$S242))/(F$4/SUM($F$4:$S$4)))*4+2,2)),ABS(LOG(((F242/SUM($F242:$S242))/(F$4/SUM($F$4:$S$4)))*4+2,2)))-3)&gt;8,(IF(F242&gt;F$5,ABS(LOG(((F$5/SUM($F242:$S242))/(F$4/SUM($F$4:$S$4)))*4+2,2)),ABS(LOG(((F242/SUM($F242:$S242))/(F$4/SUM($F$4:$S$4)))*4+2,2)))-3)/7,IF(F242&gt;F$5,ABS(LOG(((F$5/SUM($F242:$S242))/(F$4/SUM($F$4:$S$4)))*4+2,2)),ABS(LOG(((F242/SUM($F242:$S242))/(F$4/SUM($F$4:$S$4)))*4+2,2)))-3))</f>
        <v>2.315631929001758</v>
      </c>
      <c r="V242" s="2">
        <f t="shared" si="239"/>
        <v>0.82348670405332847</v>
      </c>
      <c r="W242" s="2">
        <f t="shared" si="239"/>
        <v>4.9091203697275185</v>
      </c>
      <c r="X242" s="2">
        <f t="shared" si="239"/>
        <v>2.5818964329760732</v>
      </c>
      <c r="Y242" s="2">
        <f t="shared" si="239"/>
        <v>4.2380703066942234</v>
      </c>
      <c r="Z242" s="2">
        <f t="shared" si="239"/>
        <v>1.3874513036622715</v>
      </c>
      <c r="AA242" s="2">
        <f t="shared" si="239"/>
        <v>3.224682674761624</v>
      </c>
      <c r="AB242" s="2">
        <f t="shared" si="239"/>
        <v>3.3040694676913205</v>
      </c>
      <c r="AC242" s="2">
        <f t="shared" si="239"/>
        <v>1.4614758516777222</v>
      </c>
      <c r="AD242" s="2">
        <f t="shared" si="239"/>
        <v>2.7766417841822788</v>
      </c>
      <c r="AE242" s="2">
        <f t="shared" si="239"/>
        <v>-1.9999995582002483</v>
      </c>
      <c r="AF242" s="2">
        <f t="shared" si="239"/>
        <v>-1.8398519407021099</v>
      </c>
      <c r="AG242" s="2">
        <f t="shared" si="239"/>
        <v>-1.9962936464990491</v>
      </c>
      <c r="AH242" s="2">
        <f t="shared" si="239"/>
        <v>-6.8498010742259918E-2</v>
      </c>
      <c r="AI242" s="18">
        <f t="shared" si="5"/>
        <v>191</v>
      </c>
      <c r="AJ242" s="2">
        <f t="shared" si="6"/>
        <v>1</v>
      </c>
    </row>
    <row r="243" spans="1:36" ht="10.5" customHeight="1" x14ac:dyDescent="0.25">
      <c r="A243" s="17">
        <v>235</v>
      </c>
      <c r="B243" s="2">
        <f t="shared" si="2"/>
        <v>5.9299956599251828</v>
      </c>
      <c r="C243" s="4">
        <v>2</v>
      </c>
      <c r="D243" s="4">
        <v>23.491276757260099</v>
      </c>
      <c r="E243" s="18">
        <v>192</v>
      </c>
      <c r="F243" s="5">
        <v>2.07E-2</v>
      </c>
      <c r="G243" s="5">
        <v>0.47210000000000002</v>
      </c>
      <c r="H243" s="5">
        <v>1.04</v>
      </c>
      <c r="I243" s="5">
        <v>1.33</v>
      </c>
      <c r="J243" s="5">
        <v>4.6189999999999998</v>
      </c>
      <c r="K243" s="5">
        <v>0.43419999999999997</v>
      </c>
      <c r="L243" s="5">
        <v>2.028</v>
      </c>
      <c r="M243" s="5">
        <v>0.86399999999999999</v>
      </c>
      <c r="N243" s="5">
        <v>0.55449999999999999</v>
      </c>
      <c r="O243" s="5">
        <v>2.3969999999999998</v>
      </c>
      <c r="P243" s="5">
        <v>1.01E-4</v>
      </c>
      <c r="Q243" s="5">
        <v>5.7910000000000004</v>
      </c>
      <c r="R243" s="5">
        <v>7.5800000000000006E-2</v>
      </c>
      <c r="S243" s="5">
        <v>28.71</v>
      </c>
      <c r="T243" s="18">
        <f t="shared" si="3"/>
        <v>192</v>
      </c>
      <c r="U243" s="2">
        <f t="shared" ref="U243:AH243" si="240">IF(OR(F243=0,F243&lt;0.00001,F243&gt;100000),"",IF((IF(F243&gt;F$5,ABS(LOG(((F$5/SUM($F243:$S243))/(F$4/SUM($F$4:$S$4)))*4+2,2)),ABS(LOG(((F243/SUM($F243:$S243))/(F$4/SUM($F$4:$S$4)))*4+2,2)))-3)&gt;8,(IF(F243&gt;F$5,ABS(LOG(((F$5/SUM($F243:$S243))/(F$4/SUM($F$4:$S$4)))*4+2,2)),ABS(LOG(((F243/SUM($F243:$S243))/(F$4/SUM($F$4:$S$4)))*4+2,2)))-3)/7,IF(F243&gt;F$5,ABS(LOG(((F$5/SUM($F243:$S243))/(F$4/SUM($F$4:$S$4)))*4+2,2)),ABS(LOG(((F243/SUM($F243:$S243))/(F$4/SUM($F$4:$S$4)))*4+2,2)))-3))</f>
        <v>0.1614491095620143</v>
      </c>
      <c r="V243" s="2">
        <f t="shared" si="240"/>
        <v>2.6868940853223107</v>
      </c>
      <c r="W243" s="2">
        <f t="shared" si="240"/>
        <v>5.4555001260167568</v>
      </c>
      <c r="X243" s="2">
        <f t="shared" si="240"/>
        <v>2.8529074418914249</v>
      </c>
      <c r="Y243" s="2">
        <f t="shared" si="240"/>
        <v>4.7635966037431201</v>
      </c>
      <c r="Z243" s="2">
        <f t="shared" si="240"/>
        <v>1.2951571028149729</v>
      </c>
      <c r="AA243" s="2">
        <f t="shared" si="240"/>
        <v>5.4191849909939407</v>
      </c>
      <c r="AB243" s="2">
        <f t="shared" si="240"/>
        <v>3.2911023977323923</v>
      </c>
      <c r="AC243" s="2">
        <f t="shared" si="240"/>
        <v>2.8261733467951684</v>
      </c>
      <c r="AD243" s="2">
        <f t="shared" si="240"/>
        <v>0.82670231549345718</v>
      </c>
      <c r="AE243" s="2">
        <f t="shared" si="240"/>
        <v>-1.9999996973790806</v>
      </c>
      <c r="AF243" s="2">
        <f t="shared" si="240"/>
        <v>-1.4091484574965991</v>
      </c>
      <c r="AG243" s="2">
        <f t="shared" si="240"/>
        <v>-1.9189089514480067</v>
      </c>
      <c r="AH243" s="2">
        <f t="shared" si="240"/>
        <v>-8.5878172351598003E-2</v>
      </c>
      <c r="AI243" s="18">
        <f t="shared" si="5"/>
        <v>192</v>
      </c>
      <c r="AJ243" s="2">
        <f t="shared" si="6"/>
        <v>1</v>
      </c>
    </row>
    <row r="244" spans="1:36" ht="10.5" customHeight="1" x14ac:dyDescent="0.25">
      <c r="A244" s="17">
        <v>236</v>
      </c>
      <c r="B244" s="2">
        <f t="shared" si="2"/>
        <v>5.8897320177187487</v>
      </c>
      <c r="C244" s="4">
        <v>2</v>
      </c>
      <c r="D244" s="4">
        <v>26.378849498677699</v>
      </c>
      <c r="E244" s="18">
        <v>198</v>
      </c>
      <c r="F244" s="5">
        <v>0.52939999999999998</v>
      </c>
      <c r="G244" s="5">
        <v>3.2250000000000001</v>
      </c>
      <c r="H244" s="5">
        <v>4.8029999999999999</v>
      </c>
      <c r="I244" s="5">
        <v>4.4059999999999997</v>
      </c>
      <c r="J244" s="5">
        <v>2.1890000000000001</v>
      </c>
      <c r="K244" s="5">
        <v>2.1909999999999998</v>
      </c>
      <c r="L244" s="5">
        <v>15.42</v>
      </c>
      <c r="M244" s="5">
        <v>1.349</v>
      </c>
      <c r="N244" s="5">
        <v>0.623</v>
      </c>
      <c r="O244" s="5">
        <v>3.14</v>
      </c>
      <c r="P244" s="5">
        <v>2.6700000000000001E-3</v>
      </c>
      <c r="Q244" s="5">
        <v>88.97</v>
      </c>
      <c r="R244" s="5">
        <v>1.492</v>
      </c>
      <c r="S244" s="5">
        <v>59.06</v>
      </c>
      <c r="T244" s="18">
        <f t="shared" si="3"/>
        <v>198</v>
      </c>
      <c r="U244" s="2">
        <f t="shared" ref="U244:AH244" si="241">IF(OR(F244=0,F244&lt;0.00001,F244&gt;100000),"",IF((IF(F244&gt;F$5,ABS(LOG(((F$5/SUM($F244:$S244))/(F$4/SUM($F$4:$S$4)))*4+2,2)),ABS(LOG(((F244/SUM($F244:$S244))/(F$4/SUM($F$4:$S$4)))*4+2,2)))-3)&gt;8,(IF(F244&gt;F$5,ABS(LOG(((F$5/SUM($F244:$S244))/(F$4/SUM($F$4:$S$4)))*4+2,2)),ABS(LOG(((F244/SUM($F244:$S244))/(F$4/SUM($F$4:$S$4)))*4+2,2)))-3)/7,IF(F244&gt;F$5,ABS(LOG(((F$5/SUM($F244:$S244))/(F$4/SUM($F$4:$S$4)))*4+2,2)),ABS(LOG(((F244/SUM($F244:$S244))/(F$4/SUM($F$4:$S$4)))*4+2,2)))-3))</f>
        <v>2.5797900216714105</v>
      </c>
      <c r="V244" s="2">
        <f t="shared" si="241"/>
        <v>3.4796610905719669</v>
      </c>
      <c r="W244" s="2">
        <f t="shared" si="241"/>
        <v>5.7065929724021167</v>
      </c>
      <c r="X244" s="2">
        <f t="shared" si="241"/>
        <v>2.634488877232311</v>
      </c>
      <c r="Y244" s="2">
        <f t="shared" si="241"/>
        <v>1.8236764316014797</v>
      </c>
      <c r="Z244" s="2">
        <f t="shared" si="241"/>
        <v>1.22543342852822</v>
      </c>
      <c r="AA244" s="2">
        <f t="shared" si="241"/>
        <v>6.3867816196429086</v>
      </c>
      <c r="AB244" s="2">
        <f t="shared" si="241"/>
        <v>2.0325878283300458</v>
      </c>
      <c r="AC244" s="2">
        <f t="shared" si="241"/>
        <v>1.1588222588690611</v>
      </c>
      <c r="AD244" s="2">
        <f t="shared" si="241"/>
        <v>-0.38683174131385067</v>
      </c>
      <c r="AE244" s="2">
        <f t="shared" si="241"/>
        <v>-1.9999999219444942</v>
      </c>
      <c r="AF244" s="2">
        <f t="shared" si="241"/>
        <v>-0.41230919960645762</v>
      </c>
      <c r="AG244" s="2">
        <f t="shared" si="241"/>
        <v>-1.6286769502843899</v>
      </c>
      <c r="AH244" s="2">
        <f t="shared" si="241"/>
        <v>-0.69599133455034501</v>
      </c>
      <c r="AI244" s="18">
        <f t="shared" si="5"/>
        <v>198</v>
      </c>
      <c r="AJ244" s="2">
        <f t="shared" si="6"/>
        <v>1</v>
      </c>
    </row>
    <row r="245" spans="1:36" ht="10.5" customHeight="1" x14ac:dyDescent="0.25">
      <c r="A245" s="17">
        <v>237</v>
      </c>
      <c r="B245" s="2">
        <f t="shared" si="2"/>
        <v>5.2154365268949698</v>
      </c>
      <c r="C245" s="4">
        <v>2</v>
      </c>
      <c r="D245" s="4">
        <v>18.705152820483601</v>
      </c>
      <c r="E245" s="18">
        <v>202</v>
      </c>
      <c r="F245" s="5">
        <v>0.31690000000000002</v>
      </c>
      <c r="G245" s="5">
        <v>6.2100000000000002E-2</v>
      </c>
      <c r="H245" s="5">
        <v>0.13400000000000001</v>
      </c>
      <c r="I245" s="5">
        <v>1.504</v>
      </c>
      <c r="J245" s="5">
        <v>0.2702</v>
      </c>
      <c r="K245" s="5">
        <v>7.4099999999999999E-2</v>
      </c>
      <c r="L245" s="5">
        <v>0.4672</v>
      </c>
      <c r="M245" s="5">
        <v>0.1721</v>
      </c>
      <c r="N245" s="5">
        <v>1.66E-2</v>
      </c>
      <c r="O245" s="5">
        <v>2.3800000000000002E-2</v>
      </c>
      <c r="P245" s="5">
        <v>3.7599999999999999E-3</v>
      </c>
      <c r="Q245" s="5">
        <v>21.66</v>
      </c>
      <c r="R245" s="5">
        <v>9.8799999999999999E-2</v>
      </c>
      <c r="S245" s="5">
        <v>9.0410000000000004</v>
      </c>
      <c r="T245" s="18">
        <f t="shared" si="3"/>
        <v>202</v>
      </c>
      <c r="U245" s="2">
        <f t="shared" ref="U245:AH245" si="242">IF(OR(F245=0,F245&lt;0.00001,F245&gt;100000),"",IF((IF(F245&gt;F$5,ABS(LOG(((F$5/SUM($F245:$S245))/(F$4/SUM($F$4:$S$4)))*4+2,2)),ABS(LOG(((F245/SUM($F245:$S245))/(F$4/SUM($F$4:$S$4)))*4+2,2)))-3)&gt;8,(IF(F245&gt;F$5,ABS(LOG(((F$5/SUM($F245:$S245))/(F$4/SUM($F$4:$S$4)))*4+2,2)),ABS(LOG(((F245/SUM($F245:$S245))/(F$4/SUM($F$4:$S$4)))*4+2,2)))-3)/7,IF(F245&gt;F$5,ABS(LOG(((F$5/SUM($F245:$S245))/(F$4/SUM($F$4:$S$4)))*4+2,2)),ABS(LOG(((F245/SUM($F245:$S245))/(F$4/SUM($F$4:$S$4)))*4+2,2)))-3))</f>
        <v>4.2658308621686825</v>
      </c>
      <c r="V245" s="2">
        <f t="shared" si="242"/>
        <v>0.49849295870122656</v>
      </c>
      <c r="W245" s="2">
        <f t="shared" si="242"/>
        <v>3.0494024846966497</v>
      </c>
      <c r="X245" s="2">
        <f t="shared" si="242"/>
        <v>3.5253337689736117</v>
      </c>
      <c r="Y245" s="2">
        <f t="shared" si="242"/>
        <v>1.3210617504297453</v>
      </c>
      <c r="Z245" s="2">
        <f t="shared" si="242"/>
        <v>7.0315579210351142</v>
      </c>
      <c r="AA245" s="2">
        <f t="shared" si="242"/>
        <v>3.8325136836639047</v>
      </c>
      <c r="AB245" s="2">
        <f t="shared" si="242"/>
        <v>1.5673243683796132</v>
      </c>
      <c r="AC245" s="2">
        <f t="shared" si="242"/>
        <v>-0.88222760250550225</v>
      </c>
      <c r="AD245" s="2">
        <f t="shared" si="242"/>
        <v>-1.8804131312433203</v>
      </c>
      <c r="AE245" s="2">
        <f t="shared" si="242"/>
        <v>-1.999999567800395</v>
      </c>
      <c r="AF245" s="2">
        <f t="shared" si="242"/>
        <v>-0.1110361474275976</v>
      </c>
      <c r="AG245" s="2">
        <f t="shared" si="242"/>
        <v>-1.8525237065687161</v>
      </c>
      <c r="AH245" s="2">
        <f t="shared" si="242"/>
        <v>-0.8331044718186047</v>
      </c>
      <c r="AI245" s="18">
        <f t="shared" si="5"/>
        <v>202</v>
      </c>
      <c r="AJ245" s="2">
        <f t="shared" si="6"/>
        <v>1</v>
      </c>
    </row>
    <row r="246" spans="1:36" ht="10.5" customHeight="1" x14ac:dyDescent="0.25">
      <c r="A246" s="17">
        <v>238</v>
      </c>
      <c r="B246" s="2">
        <f t="shared" si="2"/>
        <v>2.4589189112382259</v>
      </c>
      <c r="C246" s="4">
        <v>2</v>
      </c>
      <c r="D246" s="4">
        <v>29.143564192828052</v>
      </c>
      <c r="E246" s="18">
        <v>205</v>
      </c>
      <c r="F246" s="5">
        <v>1.0045999999999999</v>
      </c>
      <c r="G246" s="5">
        <v>3.5123500000000001</v>
      </c>
      <c r="H246" s="5">
        <v>5.7929999999999993</v>
      </c>
      <c r="I246" s="5">
        <v>5.4634999999999998</v>
      </c>
      <c r="J246" s="5">
        <v>4.3375000000000004</v>
      </c>
      <c r="K246" s="5">
        <v>3.8600500000000002</v>
      </c>
      <c r="L246" s="5">
        <v>0.92720000000000002</v>
      </c>
      <c r="M246" s="5">
        <v>0.92080000000000006</v>
      </c>
      <c r="N246" s="5">
        <v>2.3950000000000004E-3</v>
      </c>
      <c r="O246" s="5">
        <v>3.7065000000000001</v>
      </c>
      <c r="P246" s="5">
        <v>0.27</v>
      </c>
      <c r="Q246" s="5">
        <v>25.52</v>
      </c>
      <c r="R246" s="5">
        <v>1.243E-3</v>
      </c>
      <c r="S246" s="5">
        <v>139.22999999999999</v>
      </c>
      <c r="T246" s="18">
        <f t="shared" si="3"/>
        <v>205</v>
      </c>
      <c r="U246" s="2">
        <f t="shared" ref="U246:AH246" si="243">IF(OR(F246=0,F246&lt;0.00001,F246&gt;100000),"",IF((IF(F246&gt;F$5,ABS(LOG(((F$5/SUM($F246:$S246))/(F$4/SUM($F$4:$S$4)))*4+2,2)),ABS(LOG(((F246/SUM($F246:$S246))/(F$4/SUM($F$4:$S$4)))*4+2,2)))-3)&gt;8,(IF(F246&gt;F$5,ABS(LOG(((F$5/SUM($F246:$S246))/(F$4/SUM($F$4:$S$4)))*4+2,2)),ABS(LOG(((F246/SUM($F246:$S246))/(F$4/SUM($F$4:$S$4)))*4+2,2)))-3)/7,IF(F246&gt;F$5,ABS(LOG(((F$5/SUM($F246:$S246))/(F$4/SUM($F$4:$S$4)))*4+2,2)),ABS(LOG(((F246/SUM($F246:$S246))/(F$4/SUM($F$4:$S$4)))*4+2,2)))-3))</f>
        <v>3.4223820540210141</v>
      </c>
      <c r="V246" s="2">
        <f t="shared" si="243"/>
        <v>3.5472720478130659</v>
      </c>
      <c r="W246" s="2">
        <f t="shared" si="243"/>
        <v>5.9219925646652154</v>
      </c>
      <c r="X246" s="2">
        <f t="shared" si="243"/>
        <v>2.8813450295798022</v>
      </c>
      <c r="Y246" s="2">
        <f t="shared" si="243"/>
        <v>2.7069130198447651</v>
      </c>
      <c r="Z246" s="2">
        <f t="shared" si="243"/>
        <v>1.217722415267757</v>
      </c>
      <c r="AA246" s="2">
        <f t="shared" si="243"/>
        <v>2.3454467549177069</v>
      </c>
      <c r="AB246" s="2">
        <f t="shared" si="243"/>
        <v>1.4728498303904534</v>
      </c>
      <c r="AC246" s="2">
        <f t="shared" si="243"/>
        <v>-1.9582400547906262</v>
      </c>
      <c r="AD246" s="2">
        <f t="shared" si="243"/>
        <v>-0.25953823506718754</v>
      </c>
      <c r="AE246" s="2">
        <f t="shared" si="243"/>
        <v>-1.9999999248127882</v>
      </c>
      <c r="AF246" s="2">
        <f t="shared" si="243"/>
        <v>-1.363860573265183</v>
      </c>
      <c r="AG246" s="2">
        <f t="shared" si="243"/>
        <v>-1.9996601938146559</v>
      </c>
      <c r="AH246" s="2">
        <f t="shared" si="243"/>
        <v>0.11640813630409585</v>
      </c>
      <c r="AI246" s="18">
        <f t="shared" si="5"/>
        <v>205</v>
      </c>
      <c r="AJ246" s="2">
        <f t="shared" si="6"/>
        <v>2.2143564192828054</v>
      </c>
    </row>
    <row r="247" spans="1:36" ht="10.5" customHeight="1" x14ac:dyDescent="0.25">
      <c r="A247" s="17">
        <v>239</v>
      </c>
      <c r="B247" s="2">
        <f t="shared" si="2"/>
        <v>7.3137012073192986</v>
      </c>
      <c r="C247" s="4">
        <v>2</v>
      </c>
      <c r="D247" s="4">
        <v>21.661812397664001</v>
      </c>
      <c r="E247" s="18">
        <v>208</v>
      </c>
      <c r="F247" s="5">
        <v>0.1827</v>
      </c>
      <c r="G247" s="5">
        <v>5.11E-2</v>
      </c>
      <c r="H247" s="5">
        <v>1.3720000000000001</v>
      </c>
      <c r="I247" s="5">
        <v>6.0380000000000003</v>
      </c>
      <c r="J247" s="5">
        <v>0.99980000000000002</v>
      </c>
      <c r="K247" s="5">
        <v>6.3719999999999999</v>
      </c>
      <c r="L247" s="5">
        <v>1.514</v>
      </c>
      <c r="M247" s="5">
        <v>1.53</v>
      </c>
      <c r="N247" s="5">
        <v>0.23799999999999999</v>
      </c>
      <c r="O247" s="5">
        <v>2.3300000000000001E-2</v>
      </c>
      <c r="P247" s="5">
        <v>2.33E-3</v>
      </c>
      <c r="Q247" s="5">
        <v>36.28</v>
      </c>
      <c r="R247" s="5">
        <v>0.12939999999999999</v>
      </c>
      <c r="S247" s="5">
        <v>0.64539999999999997</v>
      </c>
      <c r="T247" s="18">
        <f t="shared" si="3"/>
        <v>208</v>
      </c>
      <c r="U247" s="2">
        <f t="shared" ref="U247:AH247" si="244">IF(OR(F247=0,F247&lt;0.00001,F247&gt;100000),"",IF((IF(F247&gt;F$5,ABS(LOG(((F$5/SUM($F247:$S247))/(F$4/SUM($F$4:$S$4)))*4+2,2)),ABS(LOG(((F247/SUM($F247:$S247))/(F$4/SUM($F$4:$S$4)))*4+2,2)))-3)&gt;8,(IF(F247&gt;F$5,ABS(LOG(((F$5/SUM($F247:$S247))/(F$4/SUM($F$4:$S$4)))*4+2,2)),ABS(LOG(((F247/SUM($F247:$S247))/(F$4/SUM($F$4:$S$4)))*4+2,2)))-3)/7,IF(F247&gt;F$5,ABS(LOG(((F$5/SUM($F247:$S247))/(F$4/SUM($F$4:$S$4)))*4+2,2)),ABS(LOG(((F247/SUM($F247:$S247))/(F$4/SUM($F$4:$S$4)))*4+2,2)))-3))</f>
        <v>2.7949474693819596</v>
      </c>
      <c r="V247" s="2">
        <f t="shared" si="244"/>
        <v>-0.26060264225714569</v>
      </c>
      <c r="W247" s="2">
        <f t="shared" si="244"/>
        <v>5.6579116843414567</v>
      </c>
      <c r="X247" s="2">
        <f t="shared" si="244"/>
        <v>4.8015322951796087</v>
      </c>
      <c r="Y247" s="2">
        <f t="shared" si="244"/>
        <v>2.4154279097923519</v>
      </c>
      <c r="Z247" s="2">
        <f t="shared" si="244"/>
        <v>1.4765864024060718</v>
      </c>
      <c r="AA247" s="2">
        <f t="shared" si="244"/>
        <v>4.8057883020277385</v>
      </c>
      <c r="AB247" s="2">
        <f t="shared" si="244"/>
        <v>3.9062603841000101</v>
      </c>
      <c r="AC247" s="2">
        <f t="shared" si="244"/>
        <v>1.4922327131247499</v>
      </c>
      <c r="AD247" s="2">
        <f t="shared" si="244"/>
        <v>-1.9272648975058657</v>
      </c>
      <c r="AE247" s="2">
        <f t="shared" si="244"/>
        <v>-1.9999997358590345</v>
      </c>
      <c r="AF247" s="2">
        <f t="shared" si="244"/>
        <v>-8.6320089789440502E-2</v>
      </c>
      <c r="AG247" s="2">
        <f t="shared" si="244"/>
        <v>-1.8807746507482332</v>
      </c>
      <c r="AH247" s="2">
        <f t="shared" si="244"/>
        <v>-1.9236750027423544</v>
      </c>
      <c r="AI247" s="18">
        <f t="shared" si="5"/>
        <v>208</v>
      </c>
      <c r="AJ247" s="2">
        <f t="shared" si="6"/>
        <v>1</v>
      </c>
    </row>
    <row r="248" spans="1:36" ht="10.5" customHeight="1" x14ac:dyDescent="0.25">
      <c r="A248" s="17">
        <v>240</v>
      </c>
      <c r="B248" s="2">
        <f t="shared" si="2"/>
        <v>8.186534905004768</v>
      </c>
      <c r="C248" s="4">
        <v>2</v>
      </c>
      <c r="D248" s="4">
        <v>19.658476956613001</v>
      </c>
      <c r="E248" s="18">
        <v>212</v>
      </c>
      <c r="F248" s="5">
        <v>6.0699999999999999E-3</v>
      </c>
      <c r="G248" s="5">
        <v>0.3634</v>
      </c>
      <c r="H248" s="5">
        <v>0.37119999999999997</v>
      </c>
      <c r="I248" s="5">
        <v>1.1060000000000001</v>
      </c>
      <c r="J248" s="5">
        <v>0.96189999999999998</v>
      </c>
      <c r="K248" s="5">
        <v>5.21E-2</v>
      </c>
      <c r="L248" s="5">
        <v>1.8129999999999999</v>
      </c>
      <c r="M248" s="5">
        <v>0.221</v>
      </c>
      <c r="N248" s="5">
        <v>0.83750000000000002</v>
      </c>
      <c r="O248" s="5">
        <v>0.37640000000000001</v>
      </c>
      <c r="P248" s="5">
        <v>7.4100000000000001E-4</v>
      </c>
      <c r="Q248" s="5">
        <v>1.569</v>
      </c>
      <c r="R248" s="5">
        <v>1.32E-2</v>
      </c>
      <c r="S248" s="5">
        <v>4.0519999999999996</v>
      </c>
      <c r="T248" s="18">
        <f t="shared" si="3"/>
        <v>212</v>
      </c>
      <c r="U248" s="2">
        <f t="shared" ref="U248:AH248" si="245">IF(OR(F248=0,F248&lt;0.00001,F248&gt;100000),"",IF((IF(F248&gt;F$5,ABS(LOG(((F$5/SUM($F248:$S248))/(F$4/SUM($F$4:$S$4)))*4+2,2)),ABS(LOG(((F248/SUM($F248:$S248))/(F$4/SUM($F$4:$S$4)))*4+2,2)))-3)&gt;8,(IF(F248&gt;F$5,ABS(LOG(((F$5/SUM($F248:$S248))/(F$4/SUM($F$4:$S$4)))*4+2,2)),ABS(LOG(((F248/SUM($F248:$S248))/(F$4/SUM($F$4:$S$4)))*4+2,2)))-3)/7,IF(F248&gt;F$5,ABS(LOG(((F$5/SUM($F248:$S248))/(F$4/SUM($F$4:$S$4)))*4+2,2)),ABS(LOG(((F248/SUM($F248:$S248))/(F$4/SUM($F$4:$S$4)))*4+2,2)))-3))</f>
        <v>0.37644650866322138</v>
      </c>
      <c r="V248" s="2">
        <f t="shared" si="245"/>
        <v>4.3117548538984876</v>
      </c>
      <c r="W248" s="2">
        <f t="shared" si="245"/>
        <v>6.0078045072899311</v>
      </c>
      <c r="X248" s="2">
        <f t="shared" si="245"/>
        <v>4.5923010794837751</v>
      </c>
      <c r="Y248" s="2">
        <f t="shared" si="245"/>
        <v>4.5434322421689446</v>
      </c>
      <c r="Z248" s="2">
        <f t="shared" si="245"/>
        <v>1.1498615607733831</v>
      </c>
      <c r="AA248" s="2">
        <f t="shared" si="245"/>
        <v>7.2926011160597461</v>
      </c>
      <c r="AB248" s="2">
        <f t="shared" si="245"/>
        <v>3.3635138856114315</v>
      </c>
      <c r="AC248" s="2">
        <f t="shared" si="245"/>
        <v>5.4190010262345982</v>
      </c>
      <c r="AD248" s="2">
        <f t="shared" si="245"/>
        <v>0.30424676141806284</v>
      </c>
      <c r="AE248" s="2">
        <f t="shared" si="245"/>
        <v>-1.999998754409875</v>
      </c>
      <c r="AF248" s="2">
        <f t="shared" si="245"/>
        <v>-1.3543599949317762</v>
      </c>
      <c r="AG248" s="2">
        <f t="shared" si="245"/>
        <v>-1.9414173283680973</v>
      </c>
      <c r="AH248" s="2">
        <f t="shared" si="245"/>
        <v>-0.61680022456855133</v>
      </c>
      <c r="AI248" s="18">
        <f t="shared" si="5"/>
        <v>212</v>
      </c>
      <c r="AJ248" s="2">
        <f t="shared" si="6"/>
        <v>1</v>
      </c>
    </row>
    <row r="249" spans="1:36" ht="10.5" customHeight="1" x14ac:dyDescent="0.25">
      <c r="A249" s="17">
        <v>241</v>
      </c>
      <c r="B249" s="2">
        <f t="shared" si="2"/>
        <v>4.9313837848668873</v>
      </c>
      <c r="C249" s="4">
        <v>2</v>
      </c>
      <c r="D249" s="4">
        <v>19.748915400602101</v>
      </c>
      <c r="E249" s="18">
        <v>216</v>
      </c>
      <c r="F249" s="5">
        <v>4.4900000000000002E-2</v>
      </c>
      <c r="G249" s="5">
        <v>4.4400000000000002E-2</v>
      </c>
      <c r="H249" s="5">
        <v>0.42370000000000002</v>
      </c>
      <c r="I249" s="5">
        <v>1.87</v>
      </c>
      <c r="J249" s="5">
        <v>0.26379999999999998</v>
      </c>
      <c r="K249" s="5">
        <v>0.52990000000000004</v>
      </c>
      <c r="L249" s="5">
        <v>0.4007</v>
      </c>
      <c r="M249" s="5">
        <v>0.51319999999999999</v>
      </c>
      <c r="N249" s="5">
        <v>0.159</v>
      </c>
      <c r="O249" s="5">
        <v>4.2500000000000003E-2</v>
      </c>
      <c r="P249" s="5">
        <v>3.7499999999999999E-3</v>
      </c>
      <c r="Q249" s="5">
        <v>14.67</v>
      </c>
      <c r="R249" s="5">
        <v>0.12330000000000001</v>
      </c>
      <c r="S249" s="5">
        <v>11.13</v>
      </c>
      <c r="T249" s="18">
        <f t="shared" si="3"/>
        <v>216</v>
      </c>
      <c r="U249" s="2">
        <f t="shared" ref="U249:AH249" si="246">IF(OR(F249=0,F249&lt;0.00001,F249&gt;100000),"",IF((IF(F249&gt;F$5,ABS(LOG(((F$5/SUM($F249:$S249))/(F$4/SUM($F$4:$S$4)))*4+2,2)),ABS(LOG(((F249/SUM($F249:$S249))/(F$4/SUM($F$4:$S$4)))*4+2,2)))-3)&gt;8,(IF(F249&gt;F$5,ABS(LOG(((F$5/SUM($F249:$S249))/(F$4/SUM($F$4:$S$4)))*4+2,2)),ABS(LOG(((F249/SUM($F249:$S249))/(F$4/SUM($F$4:$S$4)))*4+2,2)))-3)/7,IF(F249&gt;F$5,ABS(LOG(((F$5/SUM($F249:$S249))/(F$4/SUM($F$4:$S$4)))*4+2,2)),ABS(LOG(((F249/SUM($F249:$S249))/(F$4/SUM($F$4:$S$4)))*4+2,2)))-3))</f>
        <v>1.7061797379725565</v>
      </c>
      <c r="V249" s="2">
        <f t="shared" si="246"/>
        <v>0.2400870714437513</v>
      </c>
      <c r="W249" s="2">
        <f t="shared" si="246"/>
        <v>4.8420657156846865</v>
      </c>
      <c r="X249" s="2">
        <f t="shared" si="246"/>
        <v>3.9941716217304215</v>
      </c>
      <c r="Y249" s="2">
        <f t="shared" si="246"/>
        <v>1.4375501676485127</v>
      </c>
      <c r="Z249" s="2">
        <f t="shared" si="246"/>
        <v>1.4329684105527061</v>
      </c>
      <c r="AA249" s="2">
        <f t="shared" si="246"/>
        <v>3.7754960094996939</v>
      </c>
      <c r="AB249" s="2">
        <f t="shared" si="246"/>
        <v>3.2191735205691803</v>
      </c>
      <c r="AC249" s="2">
        <f t="shared" si="246"/>
        <v>1.7604701293735641</v>
      </c>
      <c r="AD249" s="2">
        <f t="shared" si="246"/>
        <v>-1.769990241085168</v>
      </c>
      <c r="AE249" s="2">
        <f t="shared" si="246"/>
        <v>-1.9999995159491515</v>
      </c>
      <c r="AF249" s="2">
        <f t="shared" si="246"/>
        <v>-0.39078541321013693</v>
      </c>
      <c r="AG249" s="2">
        <f t="shared" si="246"/>
        <v>-1.7978213905250384</v>
      </c>
      <c r="AH249" s="2">
        <f t="shared" si="246"/>
        <v>-0.5580229537576229</v>
      </c>
      <c r="AI249" s="18">
        <f t="shared" si="5"/>
        <v>216</v>
      </c>
      <c r="AJ249" s="2">
        <f t="shared" si="6"/>
        <v>1</v>
      </c>
    </row>
    <row r="250" spans="1:36" ht="10.5" customHeight="1" x14ac:dyDescent="0.25">
      <c r="A250" s="17">
        <v>242</v>
      </c>
      <c r="B250" s="2">
        <f t="shared" si="2"/>
        <v>6.9409143407891873</v>
      </c>
      <c r="C250" s="4">
        <v>2</v>
      </c>
      <c r="D250" s="4">
        <v>19.749702127186701</v>
      </c>
      <c r="E250" s="18">
        <v>217</v>
      </c>
      <c r="F250" s="5">
        <v>0.29459999999999997</v>
      </c>
      <c r="G250" s="5">
        <v>0.14280000000000001</v>
      </c>
      <c r="H250" s="5">
        <v>0.56640000000000001</v>
      </c>
      <c r="I250" s="5">
        <v>0.69869999999999999</v>
      </c>
      <c r="J250" s="5">
        <v>0.46629999999999999</v>
      </c>
      <c r="K250" s="5">
        <v>6.5699999999999995E-2</v>
      </c>
      <c r="L250" s="5">
        <v>2.3050000000000002</v>
      </c>
      <c r="M250" s="5">
        <v>0.90269999999999995</v>
      </c>
      <c r="N250" s="5">
        <v>0.44119999999999998</v>
      </c>
      <c r="O250" s="5">
        <v>4.28</v>
      </c>
      <c r="P250" s="5">
        <v>6.6299999999999996E-3</v>
      </c>
      <c r="Q250" s="5">
        <v>19.600000000000001</v>
      </c>
      <c r="R250" s="5">
        <v>8.8499999999999995E-2</v>
      </c>
      <c r="S250" s="5">
        <v>18.07</v>
      </c>
      <c r="T250" s="18">
        <f t="shared" si="3"/>
        <v>217</v>
      </c>
      <c r="U250" s="2">
        <f t="shared" ref="U250:AH250" si="247">IF(OR(F250=0,F250&lt;0.00001,F250&gt;100000),"",IF((IF(F250&gt;F$5,ABS(LOG(((F$5/SUM($F250:$S250))/(F$4/SUM($F$4:$S$4)))*4+2,2)),ABS(LOG(((F250/SUM($F250:$S250))/(F$4/SUM($F$4:$S$4)))*4+2,2)))-3)&gt;8,(IF(F250&gt;F$5,ABS(LOG(((F$5/SUM($F250:$S250))/(F$4/SUM($F$4:$S$4)))*4+2,2)),ABS(LOG(((F250/SUM($F250:$S250))/(F$4/SUM($F$4:$S$4)))*4+2,2)))-3)/7,IF(F250&gt;F$5,ABS(LOG(((F$5/SUM($F250:$S250))/(F$4/SUM($F$4:$S$4)))*4+2,2)),ABS(LOG(((F250/SUM($F250:$S250))/(F$4/SUM($F$4:$S$4)))*4+2,2)))-3))</f>
        <v>3.6683785004196441</v>
      </c>
      <c r="V250" s="2">
        <f t="shared" si="247"/>
        <v>1.0962937978122245</v>
      </c>
      <c r="W250" s="2">
        <f t="shared" si="247"/>
        <v>4.5977648636210287</v>
      </c>
      <c r="X250" s="2">
        <f t="shared" si="247"/>
        <v>1.9800905281101615</v>
      </c>
      <c r="Y250" s="2">
        <f t="shared" si="247"/>
        <v>1.5801972558971746</v>
      </c>
      <c r="Z250" s="2">
        <f t="shared" si="247"/>
        <v>6.3576624256448397</v>
      </c>
      <c r="AA250" s="2">
        <f t="shared" si="247"/>
        <v>5.6150435300155905</v>
      </c>
      <c r="AB250" s="2">
        <f t="shared" si="247"/>
        <v>3.3646645973708358</v>
      </c>
      <c r="AC250" s="2">
        <f t="shared" si="247"/>
        <v>2.5211107639432591</v>
      </c>
      <c r="AD250" s="2">
        <f t="shared" si="247"/>
        <v>1.5819231424293498</v>
      </c>
      <c r="AE250" s="2">
        <f t="shared" si="247"/>
        <v>-1.9999996948037817</v>
      </c>
      <c r="AF250" s="2">
        <f t="shared" si="247"/>
        <v>-0.55235467747645872</v>
      </c>
      <c r="AG250" s="2">
        <f t="shared" si="247"/>
        <v>-1.9049812037160661</v>
      </c>
      <c r="AH250" s="2">
        <f t="shared" si="247"/>
        <v>-0.53662172646576423</v>
      </c>
      <c r="AI250" s="18">
        <f t="shared" si="5"/>
        <v>217</v>
      </c>
      <c r="AJ250" s="2">
        <f t="shared" si="6"/>
        <v>1</v>
      </c>
    </row>
    <row r="251" spans="1:36" ht="10.5" customHeight="1" x14ac:dyDescent="0.25">
      <c r="A251" s="17">
        <v>243</v>
      </c>
      <c r="B251" s="2">
        <f t="shared" si="2"/>
        <v>6.326026259272715</v>
      </c>
      <c r="C251" s="4">
        <v>2</v>
      </c>
      <c r="D251" s="4">
        <v>24.273672753620101</v>
      </c>
      <c r="E251" s="18">
        <v>227</v>
      </c>
      <c r="F251" s="5">
        <v>0.78839999999999999</v>
      </c>
      <c r="G251" s="5">
        <v>0.156</v>
      </c>
      <c r="H251" s="5">
        <v>4.3250000000000002</v>
      </c>
      <c r="I251" s="5">
        <v>1.734</v>
      </c>
      <c r="J251" s="5">
        <v>2.9689999999999999</v>
      </c>
      <c r="K251" s="5">
        <v>0.40849999999999997</v>
      </c>
      <c r="L251" s="5">
        <v>9.8019999999999996</v>
      </c>
      <c r="M251" s="5">
        <v>7.7370000000000001</v>
      </c>
      <c r="N251" s="5">
        <v>1.196</v>
      </c>
      <c r="O251" s="5">
        <v>125.3</v>
      </c>
      <c r="P251" s="5">
        <v>4.4600000000000001E-2</v>
      </c>
      <c r="Q251" s="5">
        <v>99.38</v>
      </c>
      <c r="R251" s="5">
        <v>0.3029</v>
      </c>
      <c r="S251" s="5">
        <v>13.18</v>
      </c>
      <c r="T251" s="18">
        <f t="shared" si="3"/>
        <v>227</v>
      </c>
      <c r="U251" s="2">
        <f t="shared" ref="U251:AH251" si="248">IF(OR(F251=0,F251&lt;0.00001,F251&gt;100000),"",IF((IF(F251&gt;F$5,ABS(LOG(((F$5/SUM($F251:$S251))/(F$4/SUM($F$4:$S$4)))*4+2,2)),ABS(LOG(((F251/SUM($F251:$S251))/(F$4/SUM($F$4:$S$4)))*4+2,2)))-3)&gt;8,(IF(F251&gt;F$5,ABS(LOG(((F$5/SUM($F251:$S251))/(F$4/SUM($F$4:$S$4)))*4+2,2)),ABS(LOG(((F251/SUM($F251:$S251))/(F$4/SUM($F$4:$S$4)))*4+2,2)))-3)/7,IF(F251&gt;F$5,ABS(LOG(((F$5/SUM($F251:$S251))/(F$4/SUM($F$4:$S$4)))*4+2,2)),ABS(LOG(((F251/SUM($F251:$S251))/(F$4/SUM($F$4:$S$4)))*4+2,2)))-3))</f>
        <v>2.6393508283622502</v>
      </c>
      <c r="V251" s="2">
        <f t="shared" si="248"/>
        <v>-0.69012633756464359</v>
      </c>
      <c r="W251" s="2">
        <f t="shared" si="248"/>
        <v>5.046921404083216</v>
      </c>
      <c r="X251" s="2">
        <f t="shared" si="248"/>
        <v>0.92157784110250729</v>
      </c>
      <c r="Y251" s="2">
        <f t="shared" si="248"/>
        <v>1.7561777573236359</v>
      </c>
      <c r="Z251" s="2">
        <f t="shared" si="248"/>
        <v>6.5139508348617952</v>
      </c>
      <c r="AA251" s="2">
        <f t="shared" si="248"/>
        <v>5.2260145834617457</v>
      </c>
      <c r="AB251" s="2">
        <f t="shared" si="248"/>
        <v>3.9722098192145472</v>
      </c>
      <c r="AC251" s="2">
        <f t="shared" si="248"/>
        <v>1.5451567196371574</v>
      </c>
      <c r="AD251" s="2">
        <f t="shared" si="248"/>
        <v>3.2395058483550097</v>
      </c>
      <c r="AE251" s="2">
        <f t="shared" si="248"/>
        <v>-1.9999999452812307</v>
      </c>
      <c r="AF251" s="2">
        <f t="shared" si="248"/>
        <v>-0.63792744897122677</v>
      </c>
      <c r="AG251" s="2">
        <f t="shared" si="248"/>
        <v>-1.9409546920953844</v>
      </c>
      <c r="AH251" s="2">
        <f t="shared" si="248"/>
        <v>-1.7015341298238993</v>
      </c>
      <c r="AI251" s="18">
        <f t="shared" si="5"/>
        <v>227</v>
      </c>
      <c r="AJ251" s="2">
        <f t="shared" si="6"/>
        <v>1</v>
      </c>
    </row>
    <row r="252" spans="1:36" ht="10.5" customHeight="1" x14ac:dyDescent="0.25">
      <c r="A252" s="17">
        <v>244</v>
      </c>
      <c r="B252" s="2">
        <f t="shared" si="2"/>
        <v>5.6023868693554579</v>
      </c>
      <c r="C252" s="4">
        <v>2</v>
      </c>
      <c r="D252" s="4">
        <v>24.947303527738999</v>
      </c>
      <c r="E252" s="18">
        <v>228</v>
      </c>
      <c r="F252" s="5">
        <v>6.2399999999999997E-2</v>
      </c>
      <c r="G252" s="5">
        <v>0.49130000000000001</v>
      </c>
      <c r="H252" s="5">
        <v>6.97</v>
      </c>
      <c r="I252" s="5">
        <v>3.617</v>
      </c>
      <c r="J252" s="5">
        <v>1.819</v>
      </c>
      <c r="K252" s="5">
        <v>0.25919999999999999</v>
      </c>
      <c r="L252" s="5">
        <v>3.5830000000000002</v>
      </c>
      <c r="M252" s="5">
        <v>3.9830000000000001</v>
      </c>
      <c r="N252" s="5">
        <v>1.143</v>
      </c>
      <c r="O252" s="5">
        <v>2.06</v>
      </c>
      <c r="P252" s="5">
        <v>2.6099999999999999E-3</v>
      </c>
      <c r="Q252" s="5">
        <v>131.80000000000001</v>
      </c>
      <c r="R252" s="5">
        <v>0.35949999999999999</v>
      </c>
      <c r="S252" s="5">
        <v>43.38</v>
      </c>
      <c r="T252" s="18">
        <f t="shared" si="3"/>
        <v>228</v>
      </c>
      <c r="U252" s="2">
        <f t="shared" ref="U252:AH252" si="249">IF(OR(F252=0,F252&lt;0.00001,F252&gt;100000),"",IF((IF(F252&gt;F$5,ABS(LOG(((F$5/SUM($F252:$S252))/(F$4/SUM($F$4:$S$4)))*4+2,2)),ABS(LOG(((F252/SUM($F252:$S252))/(F$4/SUM($F$4:$S$4)))*4+2,2)))-3)&gt;8,(IF(F252&gt;F$5,ABS(LOG(((F$5/SUM($F252:$S252))/(F$4/SUM($F$4:$S$4)))*4+2,2)),ABS(LOG(((F252/SUM($F252:$S252))/(F$4/SUM($F$4:$S$4)))*4+2,2)))-3)/7,IF(F252&gt;F$5,ABS(LOG(((F$5/SUM($F252:$S252))/(F$4/SUM($F$4:$S$4)))*4+2,2)),ABS(LOG(((F252/SUM($F252:$S252))/(F$4/SUM($F$4:$S$4)))*4+2,2)))-3))</f>
        <v>-0.17760566515705767</v>
      </c>
      <c r="V252" s="2">
        <f t="shared" si="249"/>
        <v>0.85625517553367114</v>
      </c>
      <c r="W252" s="2">
        <f t="shared" si="249"/>
        <v>6.1514911820079501</v>
      </c>
      <c r="X252" s="2">
        <f t="shared" si="249"/>
        <v>2.2764763174794052</v>
      </c>
      <c r="Y252" s="2">
        <f t="shared" si="249"/>
        <v>1.4944467468109544</v>
      </c>
      <c r="Z252" s="2">
        <f t="shared" si="249"/>
        <v>6.2803565761750342</v>
      </c>
      <c r="AA252" s="2">
        <f t="shared" si="249"/>
        <v>4.2060927488100699</v>
      </c>
      <c r="AB252" s="2">
        <f t="shared" si="249"/>
        <v>3.4465731356993858</v>
      </c>
      <c r="AC252" s="2">
        <f t="shared" si="249"/>
        <v>1.8744234230612014</v>
      </c>
      <c r="AD252" s="2">
        <f t="shared" si="249"/>
        <v>-0.8180507930345815</v>
      </c>
      <c r="AE252" s="2">
        <f t="shared" si="249"/>
        <v>-1.9999999266896882</v>
      </c>
      <c r="AF252" s="2">
        <f t="shared" si="249"/>
        <v>-7.7580822160284946E-2</v>
      </c>
      <c r="AG252" s="2">
        <f t="shared" si="249"/>
        <v>-1.9072122835149006</v>
      </c>
      <c r="AH252" s="2">
        <f t="shared" si="249"/>
        <v>-0.99029942199129017</v>
      </c>
      <c r="AI252" s="18">
        <f t="shared" si="5"/>
        <v>228</v>
      </c>
      <c r="AJ252" s="2">
        <f t="shared" si="6"/>
        <v>1</v>
      </c>
    </row>
    <row r="253" spans="1:36" ht="10.5" customHeight="1" x14ac:dyDescent="0.25">
      <c r="A253" s="17">
        <v>245</v>
      </c>
      <c r="B253" s="2">
        <f t="shared" si="2"/>
        <v>0.34933775347950718</v>
      </c>
      <c r="C253" s="4">
        <v>2</v>
      </c>
      <c r="D253" s="4">
        <v>26.989016139607099</v>
      </c>
      <c r="E253" s="18">
        <v>229</v>
      </c>
      <c r="F253" s="5">
        <v>0.22220000000000001</v>
      </c>
      <c r="G253" s="5">
        <v>1.4E-2</v>
      </c>
      <c r="H253" s="5">
        <v>9.4710000000000001</v>
      </c>
      <c r="I253" s="5">
        <v>1.43E-2</v>
      </c>
      <c r="J253" s="5">
        <v>1.6839999999999999</v>
      </c>
      <c r="K253" s="5">
        <v>9.4700000000000006E-2</v>
      </c>
      <c r="L253" s="5">
        <v>1.14E-2</v>
      </c>
      <c r="M253" s="5">
        <v>22.78</v>
      </c>
      <c r="N253" s="5">
        <v>4.1079999999999997</v>
      </c>
      <c r="O253" s="5">
        <v>1009</v>
      </c>
      <c r="P253" s="5"/>
      <c r="Q253" s="5">
        <v>735</v>
      </c>
      <c r="R253" s="5">
        <v>2.5799999999999998E-4</v>
      </c>
      <c r="S253" s="5">
        <v>66.2</v>
      </c>
      <c r="T253" s="18">
        <f t="shared" si="3"/>
        <v>229</v>
      </c>
      <c r="U253" s="2">
        <f t="shared" ref="U253:AH253" si="250">IF(OR(F253=0,F253&lt;0.00001,F253&gt;100000),"",IF((IF(F253&gt;F$5,ABS(LOG(((F$5/SUM($F253:$S253))/(F$4/SUM($F$4:$S$4)))*4+2,2)),ABS(LOG(((F253/SUM($F253:$S253))/(F$4/SUM($F$4:$S$4)))*4+2,2)))-3)&gt;8,(IF(F253&gt;F$5,ABS(LOG(((F$5/SUM($F253:$S253))/(F$4/SUM($F$4:$S$4)))*4+2,2)),ABS(LOG(((F253/SUM($F253:$S253))/(F$4/SUM($F$4:$S$4)))*4+2,2)))-3)/7,IF(F253&gt;F$5,ABS(LOG(((F$5/SUM($F253:$S253))/(F$4/SUM($F$4:$S$4)))*4+2,2)),ABS(LOG(((F253/SUM($F253:$S253))/(F$4/SUM($F$4:$S$4)))*4+2,2)))-3))</f>
        <v>-1.018171495440497</v>
      </c>
      <c r="V253" s="2">
        <f t="shared" si="250"/>
        <v>-1.9725676565030201</v>
      </c>
      <c r="W253" s="2">
        <f t="shared" si="250"/>
        <v>3.4113163865168596</v>
      </c>
      <c r="X253" s="2">
        <f t="shared" si="250"/>
        <v>-1.988728834130655</v>
      </c>
      <c r="Y253" s="2">
        <f t="shared" si="250"/>
        <v>-0.98118401825274404</v>
      </c>
      <c r="Z253" s="2">
        <f t="shared" si="250"/>
        <v>1.724790575216768</v>
      </c>
      <c r="AA253" s="2">
        <f t="shared" si="250"/>
        <v>-1.9643614479184042</v>
      </c>
      <c r="AB253" s="2">
        <f t="shared" si="250"/>
        <v>2.7710217340294108</v>
      </c>
      <c r="AC253" s="2">
        <f t="shared" si="250"/>
        <v>0.65569133957335257</v>
      </c>
      <c r="AD253" s="2">
        <f t="shared" si="250"/>
        <v>0.65958972125294268</v>
      </c>
      <c r="AE253" s="2" t="str">
        <f t="shared" si="250"/>
        <v/>
      </c>
      <c r="AF253" s="2">
        <f t="shared" si="250"/>
        <v>-0.57792803815989702</v>
      </c>
      <c r="AG253" s="2">
        <f t="shared" si="250"/>
        <v>-1.9999925763706126</v>
      </c>
      <c r="AH253" s="2">
        <f t="shared" si="250"/>
        <v>-1.7772723871288838</v>
      </c>
      <c r="AI253" s="18">
        <f t="shared" si="5"/>
        <v>229</v>
      </c>
      <c r="AJ253" s="2">
        <f t="shared" si="6"/>
        <v>1</v>
      </c>
    </row>
    <row r="254" spans="1:36" ht="10.5" customHeight="1" x14ac:dyDescent="0.25">
      <c r="A254" s="17">
        <v>246</v>
      </c>
      <c r="B254" s="2">
        <f t="shared" si="2"/>
        <v>5.232947542212405</v>
      </c>
      <c r="C254" s="4">
        <v>2</v>
      </c>
      <c r="D254" s="4">
        <v>27.7424019298108</v>
      </c>
      <c r="E254" s="18">
        <v>230</v>
      </c>
      <c r="F254" s="5">
        <v>2.6415000000000002</v>
      </c>
      <c r="G254" s="5">
        <v>4.1678500000000007E-2</v>
      </c>
      <c r="H254" s="5">
        <v>13.185</v>
      </c>
      <c r="I254" s="5">
        <v>2.355</v>
      </c>
      <c r="J254" s="5">
        <v>4.7025000000000006</v>
      </c>
      <c r="K254" s="5">
        <v>1.7910000000000001</v>
      </c>
      <c r="L254" s="5">
        <v>2.0670000000000002</v>
      </c>
      <c r="M254" s="5">
        <v>4.2765000000000004</v>
      </c>
      <c r="N254" s="5">
        <v>0.7861499999999999</v>
      </c>
      <c r="O254" s="5">
        <v>2.1134499999999998</v>
      </c>
      <c r="P254" s="5">
        <v>4.235E-3</v>
      </c>
      <c r="Q254" s="5">
        <v>87.265000000000001</v>
      </c>
      <c r="R254" s="5">
        <v>2.8049999999999999E-4</v>
      </c>
      <c r="S254" s="5">
        <v>90.234999999999999</v>
      </c>
      <c r="T254" s="18">
        <f t="shared" si="3"/>
        <v>230</v>
      </c>
      <c r="U254" s="2">
        <f t="shared" ref="U254:AH254" si="251">IF(OR(F254=0,F254&lt;0.00001,F254&gt;100000),"",IF((IF(F254&gt;F$5,ABS(LOG(((F$5/SUM($F254:$S254))/(F$4/SUM($F$4:$S$4)))*4+2,2)),ABS(LOG(((F254/SUM($F254:$S254))/(F$4/SUM($F$4:$S$4)))*4+2,2)))-3)&gt;8,(IF(F254&gt;F$5,ABS(LOG(((F$5/SUM($F254:$S254))/(F$4/SUM($F$4:$S$4)))*4+2,2)),ABS(LOG(((F254/SUM($F254:$S254))/(F$4/SUM($F$4:$S$4)))*4+2,2)))-3)/7,IF(F254&gt;F$5,ABS(LOG(((F$5/SUM($F254:$S254))/(F$4/SUM($F$4:$S$4)))*4+2,2)),ABS(LOG(((F254/SUM($F254:$S254))/(F$4/SUM($F$4:$S$4)))*4+2,2)))-3))</f>
        <v>4.2801258043424557</v>
      </c>
      <c r="V254" s="2">
        <f t="shared" si="251"/>
        <v>-1.4154318129224006</v>
      </c>
      <c r="W254" s="2">
        <f t="shared" si="251"/>
        <v>6.9851169357842071</v>
      </c>
      <c r="X254" s="2">
        <f t="shared" si="251"/>
        <v>1.6195921018996149</v>
      </c>
      <c r="Y254" s="2">
        <f t="shared" si="251"/>
        <v>2.7033401439423841</v>
      </c>
      <c r="Z254" s="2">
        <f t="shared" si="251"/>
        <v>1.2005517992270927</v>
      </c>
      <c r="AA254" s="2">
        <f t="shared" si="251"/>
        <v>3.3449209698254601</v>
      </c>
      <c r="AB254" s="2">
        <f t="shared" si="251"/>
        <v>3.4649122504369023</v>
      </c>
      <c r="AC254" s="2">
        <f t="shared" si="251"/>
        <v>1.3029145084259728</v>
      </c>
      <c r="AD254" s="2">
        <f t="shared" si="251"/>
        <v>-0.84406513798907223</v>
      </c>
      <c r="AE254" s="2">
        <f t="shared" si="251"/>
        <v>-1.999999930827058</v>
      </c>
      <c r="AF254" s="2">
        <f t="shared" si="251"/>
        <v>-0.54404867620206465</v>
      </c>
      <c r="AG254" s="2">
        <f t="shared" si="251"/>
        <v>-1.9999294453229484</v>
      </c>
      <c r="AH254" s="2">
        <f t="shared" si="251"/>
        <v>-0.42024272131426654</v>
      </c>
      <c r="AI254" s="18">
        <f t="shared" si="5"/>
        <v>230</v>
      </c>
      <c r="AJ254" s="2">
        <f t="shared" si="6"/>
        <v>2.0742401929810801</v>
      </c>
    </row>
    <row r="255" spans="1:36" ht="10.5" customHeight="1" x14ac:dyDescent="0.25">
      <c r="A255" s="17">
        <v>247</v>
      </c>
      <c r="B255" s="2">
        <f t="shared" si="2"/>
        <v>2.0768745959229267</v>
      </c>
      <c r="C255" s="4">
        <v>2</v>
      </c>
      <c r="D255" s="4">
        <v>20.095929260566301</v>
      </c>
      <c r="E255" s="18">
        <v>231</v>
      </c>
      <c r="F255" s="5">
        <v>2.4299999999999999E-2</v>
      </c>
      <c r="G255" s="5">
        <v>0.13039999999999999</v>
      </c>
      <c r="H255" s="5">
        <v>0.25950000000000001</v>
      </c>
      <c r="I255" s="5">
        <v>1.3220000000000001</v>
      </c>
      <c r="J255" s="5">
        <v>0.53049999999999997</v>
      </c>
      <c r="K255" s="5">
        <v>1.66E-2</v>
      </c>
      <c r="L255" s="5">
        <v>0.73119999999999996</v>
      </c>
      <c r="M255" s="5">
        <v>0.27139999999999997</v>
      </c>
      <c r="N255" s="5">
        <v>0.74950000000000006</v>
      </c>
      <c r="O255" s="5">
        <v>0.54110000000000003</v>
      </c>
      <c r="P255" s="5">
        <v>4.2300000000000003E-3</v>
      </c>
      <c r="Q255" s="5">
        <v>34.99</v>
      </c>
      <c r="R255" s="5">
        <v>6.8699999999999997E-2</v>
      </c>
      <c r="S255" s="5">
        <v>32.729999999999997</v>
      </c>
      <c r="T255" s="18">
        <f t="shared" si="3"/>
        <v>231</v>
      </c>
      <c r="U255" s="2">
        <f t="shared" ref="U255:AH255" si="252">IF(OR(F255=0,F255&lt;0.00001,F255&gt;100000),"",IF((IF(F255&gt;F$5,ABS(LOG(((F$5/SUM($F255:$S255))/(F$4/SUM($F$4:$S$4)))*4+2,2)),ABS(LOG(((F255/SUM($F255:$S255))/(F$4/SUM($F$4:$S$4)))*4+2,2)))-3)&gt;8,(IF(F255&gt;F$5,ABS(LOG(((F$5/SUM($F255:$S255))/(F$4/SUM($F$4:$S$4)))*4+2,2)),ABS(LOG(((F255/SUM($F255:$S255))/(F$4/SUM($F$4:$S$4)))*4+2,2)))-3)/7,IF(F255&gt;F$5,ABS(LOG(((F$5/SUM($F255:$S255))/(F$4/SUM($F$4:$S$4)))*4+2,2)),ABS(LOG(((F255/SUM($F255:$S255))/(F$4/SUM($F$4:$S$4)))*4+2,2)))-3))</f>
        <v>-0.10331028740930615</v>
      </c>
      <c r="V255" s="2">
        <f t="shared" si="252"/>
        <v>0.47698238607393906</v>
      </c>
      <c r="W255" s="2">
        <f t="shared" si="252"/>
        <v>2.9109785308840026</v>
      </c>
      <c r="X255" s="2">
        <f t="shared" si="252"/>
        <v>2.286988574404436</v>
      </c>
      <c r="Y255" s="2">
        <f t="shared" si="252"/>
        <v>1.2107349708214352</v>
      </c>
      <c r="Z255" s="2">
        <f t="shared" si="252"/>
        <v>3.8001777720422636</v>
      </c>
      <c r="AA255" s="2">
        <f t="shared" si="252"/>
        <v>3.3915259469842143</v>
      </c>
      <c r="AB255" s="2">
        <f t="shared" si="252"/>
        <v>1.1707218742032888</v>
      </c>
      <c r="AC255" s="2">
        <f t="shared" si="252"/>
        <v>2.6841094789774411</v>
      </c>
      <c r="AD255" s="2">
        <f t="shared" si="252"/>
        <v>-1.0597221469885063</v>
      </c>
      <c r="AE255" s="2">
        <f t="shared" si="252"/>
        <v>-1.9999997978758901</v>
      </c>
      <c r="AF255" s="2">
        <f t="shared" si="252"/>
        <v>-0.39471096378826687</v>
      </c>
      <c r="AG255" s="2">
        <f t="shared" si="252"/>
        <v>-1.9503692759978908</v>
      </c>
      <c r="AH255" s="2">
        <f t="shared" si="252"/>
        <v>-0.36387887213504388</v>
      </c>
      <c r="AI255" s="18">
        <f t="shared" si="5"/>
        <v>231</v>
      </c>
      <c r="AJ255" s="2">
        <f t="shared" si="6"/>
        <v>1</v>
      </c>
    </row>
    <row r="256" spans="1:36" ht="10.5" customHeight="1" x14ac:dyDescent="0.25">
      <c r="A256" s="17">
        <v>248</v>
      </c>
      <c r="B256" s="2">
        <f t="shared" si="2"/>
        <v>2.3427487665621363</v>
      </c>
      <c r="C256" s="4">
        <v>2</v>
      </c>
      <c r="D256" s="4">
        <v>26.987651234502898</v>
      </c>
      <c r="E256" s="18">
        <v>232</v>
      </c>
      <c r="F256" s="5">
        <v>1.8800000000000001E-2</v>
      </c>
      <c r="G256" s="5">
        <v>1.0209999999999999</v>
      </c>
      <c r="H256" s="5">
        <v>5.5430000000000001</v>
      </c>
      <c r="I256" s="5">
        <v>6.0910000000000002</v>
      </c>
      <c r="J256" s="5">
        <v>1.778</v>
      </c>
      <c r="K256" s="5">
        <v>2.57</v>
      </c>
      <c r="L256" s="5">
        <v>2.7360000000000002</v>
      </c>
      <c r="M256" s="5">
        <v>5.1050000000000004</v>
      </c>
      <c r="N256" s="5">
        <v>1.5609999999999999</v>
      </c>
      <c r="O256" s="5">
        <v>4.399</v>
      </c>
      <c r="P256" s="5">
        <v>1.35E-2</v>
      </c>
      <c r="Q256" s="5">
        <v>125.1</v>
      </c>
      <c r="R256" s="5">
        <v>0.86360000000000003</v>
      </c>
      <c r="S256" s="5">
        <v>378.9</v>
      </c>
      <c r="T256" s="18">
        <f t="shared" si="3"/>
        <v>232</v>
      </c>
      <c r="U256" s="2">
        <f t="shared" ref="U256:AH256" si="253">IF(OR(F256=0,F256&lt;0.00001,F256&gt;100000),"",IF((IF(F256&gt;F$5,ABS(LOG(((F$5/SUM($F256:$S256))/(F$4/SUM($F$4:$S$4)))*4+2,2)),ABS(LOG(((F256/SUM($F256:$S256))/(F$4/SUM($F$4:$S$4)))*4+2,2)))-3)&gt;8,(IF(F256&gt;F$5,ABS(LOG(((F$5/SUM($F256:$S256))/(F$4/SUM($F$4:$S$4)))*4+2,2)),ABS(LOG(((F256/SUM($F256:$S256))/(F$4/SUM($F$4:$S$4)))*4+2,2)))-3)/7,IF(F256&gt;F$5,ABS(LOG(((F$5/SUM($F256:$S256))/(F$4/SUM($F$4:$S$4)))*4+2,2)),ABS(LOG(((F256/SUM($F256:$S256))/(F$4/SUM($F$4:$S$4)))*4+2,2)))-3))</f>
        <v>-1.6386144538250824</v>
      </c>
      <c r="V256" s="2">
        <f t="shared" si="253"/>
        <v>0.5437595936812043</v>
      </c>
      <c r="W256" s="2">
        <f t="shared" si="253"/>
        <v>4.408185409152134</v>
      </c>
      <c r="X256" s="2">
        <f t="shared" si="253"/>
        <v>1.6471203752315668</v>
      </c>
      <c r="Y256" s="2">
        <f t="shared" si="253"/>
        <v>0.24461144085693798</v>
      </c>
      <c r="Z256" s="2">
        <f t="shared" si="253"/>
        <v>7.0644834919816599</v>
      </c>
      <c r="AA256" s="2">
        <f t="shared" si="253"/>
        <v>2.4405197359314368</v>
      </c>
      <c r="AB256" s="2">
        <f t="shared" si="253"/>
        <v>2.4155781513516335</v>
      </c>
      <c r="AC256" s="2">
        <f t="shared" si="253"/>
        <v>0.99126376310998676</v>
      </c>
      <c r="AD256" s="2">
        <f t="shared" si="253"/>
        <v>-0.99337886957912458</v>
      </c>
      <c r="AE256" s="2">
        <f t="shared" si="253"/>
        <v>-1.9999999726943991</v>
      </c>
      <c r="AF256" s="2">
        <f t="shared" si="253"/>
        <v>-1.0097280222993299</v>
      </c>
      <c r="AG256" s="2">
        <f t="shared" si="253"/>
        <v>-1.9167021523853909</v>
      </c>
      <c r="AH256" s="2">
        <f t="shared" si="253"/>
        <v>0.10338991874986103</v>
      </c>
      <c r="AI256" s="18">
        <f t="shared" si="5"/>
        <v>232</v>
      </c>
      <c r="AJ256" s="2">
        <f t="shared" si="6"/>
        <v>1</v>
      </c>
    </row>
    <row r="257" spans="1:36" ht="10.5" customHeight="1" x14ac:dyDescent="0.25">
      <c r="A257" s="17">
        <v>249</v>
      </c>
      <c r="B257" s="2">
        <f t="shared" si="2"/>
        <v>0.54140053932602505</v>
      </c>
      <c r="C257" s="4">
        <v>2</v>
      </c>
      <c r="D257" s="4">
        <v>27.7616369978583</v>
      </c>
      <c r="E257" s="18">
        <v>239</v>
      </c>
      <c r="F257" s="5">
        <v>7.9600000000000005E-4</v>
      </c>
      <c r="G257" s="5">
        <v>0.26079999999999998</v>
      </c>
      <c r="H257" s="5">
        <v>1.851</v>
      </c>
      <c r="I257" s="5">
        <v>3.5209999999999999</v>
      </c>
      <c r="J257" s="5">
        <v>0.57299999999999995</v>
      </c>
      <c r="K257" s="5">
        <v>0.95479999999999998</v>
      </c>
      <c r="L257" s="5">
        <v>1.2729999999999999</v>
      </c>
      <c r="M257" s="5">
        <v>0.29880000000000001</v>
      </c>
      <c r="N257" s="5">
        <v>0.50980000000000003</v>
      </c>
      <c r="O257" s="5">
        <v>0.65410000000000001</v>
      </c>
      <c r="P257" s="5">
        <v>2.52E-4</v>
      </c>
      <c r="Q257" s="5">
        <v>84.58</v>
      </c>
      <c r="R257" s="5">
        <v>0.1095</v>
      </c>
      <c r="S257" s="5">
        <v>28.94</v>
      </c>
      <c r="T257" s="18">
        <f t="shared" si="3"/>
        <v>239</v>
      </c>
      <c r="U257" s="2">
        <f t="shared" ref="U257:AH257" si="254">IF(OR(F257=0,F257&lt;0.00001,F257&gt;100000),"",IF((IF(F257&gt;F$5,ABS(LOG(((F$5/SUM($F257:$S257))/(F$4/SUM($F$4:$S$4)))*4+2,2)),ABS(LOG(((F257/SUM($F257:$S257))/(F$4/SUM($F$4:$S$4)))*4+2,2)))-3)&gt;8,(IF(F257&gt;F$5,ABS(LOG(((F$5/SUM($F257:$S257))/(F$4/SUM($F$4:$S$4)))*4+2,2)),ABS(LOG(((F257/SUM($F257:$S257))/(F$4/SUM($F$4:$S$4)))*4+2,2)))-3)/7,IF(F257&gt;F$5,ABS(LOG(((F$5/SUM($F257:$S257))/(F$4/SUM($F$4:$S$4)))*4+2,2)),ABS(LOG(((F257/SUM($F257:$S257))/(F$4/SUM($F$4:$S$4)))*4+2,2)))-3))</f>
        <v>-1.9264970563560742</v>
      </c>
      <c r="V257" s="2">
        <f t="shared" si="254"/>
        <v>0.66712385181548806</v>
      </c>
      <c r="W257" s="2">
        <f t="shared" si="254"/>
        <v>4.937156977678689</v>
      </c>
      <c r="X257" s="2">
        <f t="shared" si="254"/>
        <v>2.902091516461784</v>
      </c>
      <c r="Y257" s="2">
        <f t="shared" si="254"/>
        <v>0.63825011988755387</v>
      </c>
      <c r="Z257" s="2">
        <f t="shared" si="254"/>
        <v>1.2642007133918027</v>
      </c>
      <c r="AA257" s="2">
        <f t="shared" si="254"/>
        <v>3.4193751102219814</v>
      </c>
      <c r="AB257" s="2">
        <f t="shared" si="254"/>
        <v>0.62369474636415045</v>
      </c>
      <c r="AC257" s="2">
        <f t="shared" si="254"/>
        <v>1.4390564114184166</v>
      </c>
      <c r="AD257" s="2">
        <f t="shared" si="254"/>
        <v>-1.2768607692789191</v>
      </c>
      <c r="AE257" s="2">
        <f t="shared" si="254"/>
        <v>-1.9999998815835807</v>
      </c>
      <c r="AF257" s="2">
        <f t="shared" si="254"/>
        <v>-3.9252416109086141E-2</v>
      </c>
      <c r="AG257" s="2">
        <f t="shared" si="254"/>
        <v>-1.9536028624445509</v>
      </c>
      <c r="AH257" s="2">
        <f t="shared" si="254"/>
        <v>-0.93502345496014749</v>
      </c>
      <c r="AI257" s="18">
        <f t="shared" si="5"/>
        <v>239</v>
      </c>
      <c r="AJ257" s="2">
        <f t="shared" si="6"/>
        <v>2.0761636997858299</v>
      </c>
    </row>
    <row r="258" spans="1:36" ht="10.5" customHeight="1" x14ac:dyDescent="0.25">
      <c r="A258" s="17">
        <v>250</v>
      </c>
      <c r="B258" s="2">
        <f t="shared" si="2"/>
        <v>5.6886331811327082</v>
      </c>
      <c r="C258" s="4">
        <v>2</v>
      </c>
      <c r="D258" s="4">
        <v>26.066260430042298</v>
      </c>
      <c r="E258" s="18">
        <v>240</v>
      </c>
      <c r="F258" s="5">
        <v>0.13389999999999999</v>
      </c>
      <c r="G258" s="5">
        <v>5.8300000000000001E-3</v>
      </c>
      <c r="H258" s="5">
        <v>2.3250000000000002</v>
      </c>
      <c r="I258" s="5">
        <v>7.2069999999999999</v>
      </c>
      <c r="J258" s="5">
        <v>2.2530000000000001</v>
      </c>
      <c r="K258" s="5">
        <v>0.56389999999999996</v>
      </c>
      <c r="L258" s="5">
        <v>4.0739999999999998</v>
      </c>
      <c r="M258" s="5">
        <v>1.079</v>
      </c>
      <c r="N258" s="5">
        <v>0.66539999999999999</v>
      </c>
      <c r="O258" s="5">
        <v>1.357</v>
      </c>
      <c r="P258" s="5">
        <v>2.32E-3</v>
      </c>
      <c r="Q258" s="5">
        <v>118</v>
      </c>
      <c r="R258" s="5">
        <v>1.105</v>
      </c>
      <c r="S258" s="5">
        <v>29.3</v>
      </c>
      <c r="T258" s="18">
        <f t="shared" si="3"/>
        <v>240</v>
      </c>
      <c r="U258" s="2">
        <f t="shared" ref="U258:AH258" si="255">IF(OR(F258=0,F258&lt;0.00001,F258&gt;100000),"",IF((IF(F258&gt;F$5,ABS(LOG(((F$5/SUM($F258:$S258))/(F$4/SUM($F$4:$S$4)))*4+2,2)),ABS(LOG(((F258/SUM($F258:$S258))/(F$4/SUM($F$4:$S$4)))*4+2,2)))-3)&gt;8,(IF(F258&gt;F$5,ABS(LOG(((F$5/SUM($F258:$S258))/(F$4/SUM($F$4:$S$4)))*4+2,2)),ABS(LOG(((F258/SUM($F258:$S258))/(F$4/SUM($F$4:$S$4)))*4+2,2)))-3)/7,IF(F258&gt;F$5,ABS(LOG(((F$5/SUM($F258:$S258))/(F$4/SUM($F$4:$S$4)))*4+2,2)),ABS(LOG(((F258/SUM($F258:$S258))/(F$4/SUM($F$4:$S$4)))*4+2,2)))-3))</f>
        <v>0.89958734701319631</v>
      </c>
      <c r="V258" s="2">
        <f t="shared" si="255"/>
        <v>-1.8784205585344991</v>
      </c>
      <c r="W258" s="2">
        <f t="shared" si="255"/>
        <v>4.8228129984331209</v>
      </c>
      <c r="X258" s="2">
        <f t="shared" si="255"/>
        <v>3.4749876673738678</v>
      </c>
      <c r="Y258" s="2">
        <f t="shared" si="255"/>
        <v>2.0091346262368468</v>
      </c>
      <c r="Z258" s="2">
        <f t="shared" si="255"/>
        <v>7.6464157261270937</v>
      </c>
      <c r="AA258" s="2">
        <f t="shared" si="255"/>
        <v>4.6338289302176534</v>
      </c>
      <c r="AB258" s="2">
        <f t="shared" si="255"/>
        <v>1.8780920620688244</v>
      </c>
      <c r="AC258" s="2">
        <f t="shared" si="255"/>
        <v>1.3847315146179975</v>
      </c>
      <c r="AD258" s="2">
        <f t="shared" si="255"/>
        <v>-1.0055849777672545</v>
      </c>
      <c r="AE258" s="2">
        <f t="shared" si="255"/>
        <v>-1.9999999129678723</v>
      </c>
      <c r="AF258" s="2">
        <f t="shared" si="255"/>
        <v>-1.2303660079431289E-2</v>
      </c>
      <c r="AG258" s="2">
        <f t="shared" si="255"/>
        <v>-1.6868689402800576</v>
      </c>
      <c r="AH258" s="2">
        <f t="shared" si="255"/>
        <v>-1.1418848779731372</v>
      </c>
      <c r="AI258" s="18">
        <f t="shared" si="5"/>
        <v>240</v>
      </c>
      <c r="AJ258" s="2">
        <f t="shared" si="6"/>
        <v>1</v>
      </c>
    </row>
    <row r="259" spans="1:36" ht="10.5" customHeight="1" x14ac:dyDescent="0.25">
      <c r="A259" s="17">
        <v>251</v>
      </c>
      <c r="B259" s="2">
        <f t="shared" si="2"/>
        <v>6.384682360218199</v>
      </c>
      <c r="C259" s="4">
        <v>2</v>
      </c>
      <c r="D259" s="4">
        <v>23.3142074170282</v>
      </c>
      <c r="E259" s="18">
        <v>241</v>
      </c>
      <c r="F259" s="5">
        <v>0.24279999999999999</v>
      </c>
      <c r="G259" s="5">
        <v>1.329</v>
      </c>
      <c r="H259" s="5">
        <v>0.60150000000000003</v>
      </c>
      <c r="I259" s="5">
        <v>1.8169999999999999</v>
      </c>
      <c r="J259" s="5">
        <v>1.865</v>
      </c>
      <c r="K259" s="5">
        <v>0.56059999999999999</v>
      </c>
      <c r="L259" s="5">
        <v>2.9089999999999998</v>
      </c>
      <c r="M259" s="5">
        <v>1.0900000000000001</v>
      </c>
      <c r="N259" s="5">
        <v>0.2878</v>
      </c>
      <c r="O259" s="5">
        <v>2.4430000000000001</v>
      </c>
      <c r="P259" s="5">
        <v>8.4099999999999998E-5</v>
      </c>
      <c r="Q259" s="5">
        <v>13.54</v>
      </c>
      <c r="R259" s="5">
        <v>0.3967</v>
      </c>
      <c r="S259" s="5">
        <v>28.64</v>
      </c>
      <c r="T259" s="18">
        <f t="shared" si="3"/>
        <v>241</v>
      </c>
      <c r="U259" s="2">
        <f t="shared" ref="U259:AH259" si="256">IF(OR(F259=0,F259&lt;0.00001,F259&gt;100000),"",IF((IF(F259&gt;F$5,ABS(LOG(((F$5/SUM($F259:$S259))/(F$4/SUM($F$4:$S$4)))*4+2,2)),ABS(LOG(((F259/SUM($F259:$S259))/(F$4/SUM($F$4:$S$4)))*4+2,2)))-3)&gt;8,(IF(F259&gt;F$5,ABS(LOG(((F$5/SUM($F259:$S259))/(F$4/SUM($F$4:$S$4)))*4+2,2)),ABS(LOG(((F259/SUM($F259:$S259))/(F$4/SUM($F$4:$S$4)))*4+2,2)))-3)/7,IF(F259&gt;F$5,ABS(LOG(((F$5/SUM($F259:$S259))/(F$4/SUM($F$4:$S$4)))*4+2,2)),ABS(LOG(((F259/SUM($F259:$S259))/(F$4/SUM($F$4:$S$4)))*4+2,2)))-3))</f>
        <v>3.1836170894591609</v>
      </c>
      <c r="V259" s="2">
        <f t="shared" si="256"/>
        <v>3.9414619493587963</v>
      </c>
      <c r="W259" s="2">
        <f t="shared" si="256"/>
        <v>4.4685444319371461</v>
      </c>
      <c r="X259" s="2">
        <f t="shared" si="256"/>
        <v>3.0900722207074329</v>
      </c>
      <c r="Y259" s="2">
        <f t="shared" si="256"/>
        <v>3.2744664138148094</v>
      </c>
      <c r="Z259" s="2">
        <f t="shared" si="256"/>
        <v>1.3184985912851119</v>
      </c>
      <c r="AA259" s="2">
        <f t="shared" si="256"/>
        <v>5.7328453393100229</v>
      </c>
      <c r="AB259" s="2">
        <f t="shared" si="256"/>
        <v>3.4179975430288483</v>
      </c>
      <c r="AC259" s="2">
        <f t="shared" si="256"/>
        <v>1.7357048302151767</v>
      </c>
      <c r="AD259" s="2">
        <f t="shared" si="256"/>
        <v>0.67539296600269205</v>
      </c>
      <c r="AE259" s="2">
        <f t="shared" si="256"/>
        <v>-1.9999997374918481</v>
      </c>
      <c r="AF259" s="2">
        <f t="shared" si="256"/>
        <v>-0.98098161600225753</v>
      </c>
      <c r="AG259" s="2">
        <f t="shared" si="256"/>
        <v>-1.6637383727291692</v>
      </c>
      <c r="AH259" s="2">
        <f t="shared" si="256"/>
        <v>-0.23617471230203035</v>
      </c>
      <c r="AI259" s="18">
        <f t="shared" si="5"/>
        <v>241</v>
      </c>
      <c r="AJ259" s="2">
        <f t="shared" si="6"/>
        <v>1</v>
      </c>
    </row>
    <row r="260" spans="1:36" ht="10.5" customHeight="1" x14ac:dyDescent="0.25">
      <c r="A260" s="17">
        <v>252</v>
      </c>
      <c r="B260" s="2">
        <f t="shared" si="2"/>
        <v>6.5272105374948417</v>
      </c>
      <c r="C260" s="4">
        <v>2</v>
      </c>
      <c r="D260" s="4">
        <v>23.507515708330999</v>
      </c>
      <c r="E260" s="18">
        <v>242</v>
      </c>
      <c r="F260" s="5">
        <v>1.4999999999999999E-2</v>
      </c>
      <c r="G260" s="5">
        <v>0.23599999999999999</v>
      </c>
      <c r="H260" s="5">
        <v>0.86929999999999996</v>
      </c>
      <c r="I260" s="5">
        <v>1.5660000000000001</v>
      </c>
      <c r="J260" s="5">
        <v>2.004</v>
      </c>
      <c r="K260" s="5">
        <v>0.99560000000000004</v>
      </c>
      <c r="L260" s="5">
        <v>1.6180000000000001</v>
      </c>
      <c r="M260" s="5">
        <v>0.16320000000000001</v>
      </c>
      <c r="N260" s="5">
        <v>0.502</v>
      </c>
      <c r="O260" s="5">
        <v>8.2539999999999996</v>
      </c>
      <c r="P260" s="5">
        <v>1.5699999999999999E-4</v>
      </c>
      <c r="Q260" s="5">
        <v>27.87</v>
      </c>
      <c r="R260" s="5">
        <v>4.3600000000000002E-3</v>
      </c>
      <c r="S260" s="5">
        <v>12.73</v>
      </c>
      <c r="T260" s="18">
        <f t="shared" si="3"/>
        <v>242</v>
      </c>
      <c r="U260" s="2">
        <f t="shared" ref="U260:AH260" si="257">IF(OR(F260=0,F260&lt;0.00001,F260&gt;100000),"",IF((IF(F260&gt;F$5,ABS(LOG(((F$5/SUM($F260:$S260))/(F$4/SUM($F$4:$S$4)))*4+2,2)),ABS(LOG(((F260/SUM($F260:$S260))/(F$4/SUM($F$4:$S$4)))*4+2,2)))-3)&gt;8,(IF(F260&gt;F$5,ABS(LOG(((F$5/SUM($F260:$S260))/(F$4/SUM($F$4:$S$4)))*4+2,2)),ABS(LOG(((F260/SUM($F260:$S260))/(F$4/SUM($F$4:$S$4)))*4+2,2)))-3)/7,IF(F260&gt;F$5,ABS(LOG(((F$5/SUM($F260:$S260))/(F$4/SUM($F$4:$S$4)))*4+2,2)),ABS(LOG(((F260/SUM($F260:$S260))/(F$4/SUM($F$4:$S$4)))*4+2,2)))-3))</f>
        <v>-0.34876723089351724</v>
      </c>
      <c r="V260" s="2">
        <f t="shared" si="257"/>
        <v>1.5269048581505382</v>
      </c>
      <c r="W260" s="2">
        <f t="shared" si="257"/>
        <v>4.9666980902556359</v>
      </c>
      <c r="X260" s="2">
        <f t="shared" si="257"/>
        <v>2.855008010418536</v>
      </c>
      <c r="Y260" s="2">
        <f t="shared" si="257"/>
        <v>3.3479420167945575</v>
      </c>
      <c r="Z260" s="2">
        <f t="shared" si="257"/>
        <v>1.4327851636860756</v>
      </c>
      <c r="AA260" s="2">
        <f t="shared" si="257"/>
        <v>4.8638431146215577</v>
      </c>
      <c r="AB260" s="2">
        <f t="shared" si="257"/>
        <v>0.83391746895956542</v>
      </c>
      <c r="AC260" s="2">
        <f t="shared" si="257"/>
        <v>2.4642987910426379</v>
      </c>
      <c r="AD260" s="2">
        <f t="shared" si="257"/>
        <v>2.236529154702958</v>
      </c>
      <c r="AE260" s="2">
        <f t="shared" si="257"/>
        <v>-1.9999997425968725</v>
      </c>
      <c r="AF260" s="2">
        <f t="shared" si="257"/>
        <v>-0.38087713658577282</v>
      </c>
      <c r="AG260" s="2">
        <f t="shared" si="257"/>
        <v>-1.9959247512480471</v>
      </c>
      <c r="AH260" s="2">
        <f t="shared" si="257"/>
        <v>-0.96842161002361626</v>
      </c>
      <c r="AI260" s="18">
        <f t="shared" si="5"/>
        <v>242</v>
      </c>
      <c r="AJ260" s="2">
        <f t="shared" si="6"/>
        <v>1</v>
      </c>
    </row>
    <row r="261" spans="1:36" ht="10.5" customHeight="1" x14ac:dyDescent="0.25">
      <c r="A261" s="17">
        <v>253</v>
      </c>
      <c r="B261" s="2">
        <f t="shared" si="2"/>
        <v>5.729243329067784</v>
      </c>
      <c r="C261" s="4">
        <v>2</v>
      </c>
      <c r="D261" s="4">
        <v>24.887945965385899</v>
      </c>
      <c r="E261" s="18">
        <v>243</v>
      </c>
      <c r="F261" s="5">
        <v>0.36709999999999998</v>
      </c>
      <c r="G261" s="5">
        <v>0.41360000000000002</v>
      </c>
      <c r="H261" s="5">
        <v>3.4580000000000002</v>
      </c>
      <c r="I261" s="5">
        <v>3.5089999999999999</v>
      </c>
      <c r="J261" s="5">
        <v>4.9749999999999996</v>
      </c>
      <c r="K261" s="5">
        <v>1.288</v>
      </c>
      <c r="L261" s="5">
        <v>1.0469999999999999</v>
      </c>
      <c r="M261" s="5">
        <v>0.91890000000000005</v>
      </c>
      <c r="N261" s="5">
        <v>4.3609999999999998</v>
      </c>
      <c r="O261" s="5">
        <v>1.0449999999999999</v>
      </c>
      <c r="P261" s="5">
        <v>1.45E-4</v>
      </c>
      <c r="Q261" s="5">
        <v>20</v>
      </c>
      <c r="R261" s="5">
        <v>2.9099999999999998E-3</v>
      </c>
      <c r="S261" s="5">
        <v>72.430000000000007</v>
      </c>
      <c r="T261" s="18">
        <f t="shared" si="3"/>
        <v>243</v>
      </c>
      <c r="U261" s="2">
        <f t="shared" ref="U261:AH261" si="258">IF(OR(F261=0,F261&lt;0.00001,F261&gt;100000),"",IF((IF(F261&gt;F$5,ABS(LOG(((F$5/SUM($F261:$S261))/(F$4/SUM($F$4:$S$4)))*4+2,2)),ABS(LOG(((F261/SUM($F261:$S261))/(F$4/SUM($F$4:$S$4)))*4+2,2)))-3)&gt;8,(IF(F261&gt;F$5,ABS(LOG(((F$5/SUM($F261:$S261))/(F$4/SUM($F$4:$S$4)))*4+2,2)),ABS(LOG(((F261/SUM($F261:$S261))/(F$4/SUM($F$4:$S$4)))*4+2,2)))-3)/7,IF(F261&gt;F$5,ABS(LOG(((F$5/SUM($F261:$S261))/(F$4/SUM($F$4:$S$4)))*4+2,2)),ABS(LOG(((F261/SUM($F261:$S261))/(F$4/SUM($F$4:$S$4)))*4+2,2)))-3))</f>
        <v>2.7635184217677855</v>
      </c>
      <c r="V261" s="2">
        <f t="shared" si="258"/>
        <v>1.3520837755881914</v>
      </c>
      <c r="W261" s="2">
        <f t="shared" si="258"/>
        <v>5.9509367072271822</v>
      </c>
      <c r="X261" s="2">
        <f t="shared" si="258"/>
        <v>3.0116460662528599</v>
      </c>
      <c r="Y261" s="2">
        <f t="shared" si="258"/>
        <v>3.6508599323588609</v>
      </c>
      <c r="Z261" s="2">
        <f t="shared" si="258"/>
        <v>1.3281551216676504</v>
      </c>
      <c r="AA261" s="2">
        <f t="shared" si="258"/>
        <v>3.2595785471577594</v>
      </c>
      <c r="AB261" s="2">
        <f t="shared" si="258"/>
        <v>2.188513068979832</v>
      </c>
      <c r="AC261" s="2">
        <f t="shared" si="258"/>
        <v>4.529977762488909</v>
      </c>
      <c r="AD261" s="2">
        <f t="shared" si="258"/>
        <v>-0.91023768972047003</v>
      </c>
      <c r="AE261" s="2">
        <f t="shared" si="258"/>
        <v>-1.999999871479833</v>
      </c>
      <c r="AF261" s="2">
        <f t="shared" si="258"/>
        <v>-1.1989559124772868</v>
      </c>
      <c r="AG261" s="2">
        <f t="shared" si="258"/>
        <v>-1.9986406634970475</v>
      </c>
      <c r="AH261" s="2">
        <f t="shared" si="258"/>
        <v>-1.210454925106097E-2</v>
      </c>
      <c r="AI261" s="18">
        <f t="shared" si="5"/>
        <v>243</v>
      </c>
      <c r="AJ261" s="2">
        <f t="shared" si="6"/>
        <v>1</v>
      </c>
    </row>
    <row r="262" spans="1:36" ht="10.5" customHeight="1" x14ac:dyDescent="0.25">
      <c r="A262" s="17">
        <v>254</v>
      </c>
      <c r="B262" s="2">
        <f t="shared" si="2"/>
        <v>6.8036257863267018</v>
      </c>
      <c r="C262" s="4">
        <v>2</v>
      </c>
      <c r="D262" s="4">
        <v>21.065918266114199</v>
      </c>
      <c r="E262" s="18">
        <v>244</v>
      </c>
      <c r="F262" s="5">
        <v>0.33079999999999998</v>
      </c>
      <c r="G262" s="5">
        <v>0.10929999999999999</v>
      </c>
      <c r="H262" s="5">
        <v>0.1479</v>
      </c>
      <c r="I262" s="5">
        <v>1.488</v>
      </c>
      <c r="J262" s="5">
        <v>0.59079999999999999</v>
      </c>
      <c r="K262" s="5">
        <v>0.17299999999999999</v>
      </c>
      <c r="L262" s="5">
        <v>0.74160000000000004</v>
      </c>
      <c r="M262" s="5">
        <v>0.182</v>
      </c>
      <c r="N262" s="5">
        <v>8.6699999999999999E-2</v>
      </c>
      <c r="O262" s="5">
        <v>0.08</v>
      </c>
      <c r="P262" s="5">
        <v>1.3600000000000001E-3</v>
      </c>
      <c r="Q262" s="5">
        <v>0.3871</v>
      </c>
      <c r="R262" s="5">
        <v>0.63190000000000002</v>
      </c>
      <c r="S262" s="5">
        <v>8.1240000000000006</v>
      </c>
      <c r="T262" s="18">
        <f t="shared" si="3"/>
        <v>244</v>
      </c>
      <c r="U262" s="2">
        <f t="shared" ref="U262:AH262" si="259">IF(OR(F262=0,F262&lt;0.00001,F262&gt;100000),"",IF((IF(F262&gt;F$5,ABS(LOG(((F$5/SUM($F262:$S262))/(F$4/SUM($F$4:$S$4)))*4+2,2)),ABS(LOG(((F262/SUM($F262:$S262))/(F$4/SUM($F$4:$S$4)))*4+2,2)))-3)&gt;8,(IF(F262&gt;F$5,ABS(LOG(((F$5/SUM($F262:$S262))/(F$4/SUM($F$4:$S$4)))*4+2,2)),ABS(LOG(((F262/SUM($F262:$S262))/(F$4/SUM($F$4:$S$4)))*4+2,2)))-3)/7,IF(F262&gt;F$5,ABS(LOG(((F$5/SUM($F262:$S262))/(F$4/SUM($F$4:$S$4)))*4+2,2)),ABS(LOG(((F262/SUM($F262:$S262))/(F$4/SUM($F$4:$S$4)))*4+2,2)))-3))</f>
        <v>5.6880761759852501</v>
      </c>
      <c r="V262" s="2">
        <f t="shared" si="259"/>
        <v>2.4718511400795986</v>
      </c>
      <c r="W262" s="2">
        <f t="shared" si="259"/>
        <v>4.5353644016190025</v>
      </c>
      <c r="X262" s="2">
        <f t="shared" si="259"/>
        <v>4.8628554468000269</v>
      </c>
      <c r="Y262" s="2">
        <f t="shared" si="259"/>
        <v>3.6978424646983097</v>
      </c>
      <c r="Z262" s="2">
        <f t="shared" si="259"/>
        <v>1.3749506617291261</v>
      </c>
      <c r="AA262" s="2">
        <f t="shared" si="259"/>
        <v>5.8520033246276704</v>
      </c>
      <c r="AB262" s="2">
        <f t="shared" si="259"/>
        <v>2.9407977124032412</v>
      </c>
      <c r="AC262" s="2">
        <f t="shared" si="259"/>
        <v>2.072101712085435</v>
      </c>
      <c r="AD262" s="2">
        <f t="shared" si="259"/>
        <v>-1.1910069192880313</v>
      </c>
      <c r="AE262" s="2">
        <f t="shared" si="259"/>
        <v>-1.9999988812079446</v>
      </c>
      <c r="AF262" s="2">
        <f t="shared" si="259"/>
        <v>-1.8299727576206959</v>
      </c>
      <c r="AG262" s="2">
        <f t="shared" si="259"/>
        <v>-0.52391382767980321</v>
      </c>
      <c r="AH262" s="2">
        <f t="shared" si="259"/>
        <v>-3.7791245159751519E-2</v>
      </c>
      <c r="AI262" s="18">
        <f t="shared" si="5"/>
        <v>244</v>
      </c>
      <c r="AJ262" s="2">
        <f t="shared" si="6"/>
        <v>1</v>
      </c>
    </row>
    <row r="263" spans="1:36" ht="10.5" customHeight="1" x14ac:dyDescent="0.25">
      <c r="A263" s="17">
        <v>255</v>
      </c>
      <c r="B263" s="2">
        <f t="shared" si="2"/>
        <v>4.6248478771781691</v>
      </c>
      <c r="C263" s="4">
        <v>2</v>
      </c>
      <c r="D263" s="4">
        <v>24.8861518054042</v>
      </c>
      <c r="E263" s="18">
        <v>250</v>
      </c>
      <c r="F263" s="5">
        <v>1.7100000000000001E-2</v>
      </c>
      <c r="G263" s="5">
        <v>0.54679999999999995</v>
      </c>
      <c r="H263" s="5">
        <v>4.6859999999999999</v>
      </c>
      <c r="I263" s="5">
        <v>3.9780000000000002</v>
      </c>
      <c r="J263" s="5">
        <v>2.3740000000000001</v>
      </c>
      <c r="K263" s="5">
        <v>1.2509999999999999</v>
      </c>
      <c r="L263" s="5">
        <v>2.6989999999999998</v>
      </c>
      <c r="M263" s="5">
        <v>1.4059999999999999</v>
      </c>
      <c r="N263" s="5">
        <v>2.056</v>
      </c>
      <c r="O263" s="5">
        <v>0.62619999999999998</v>
      </c>
      <c r="P263" s="5">
        <v>3.0400000000000002E-3</v>
      </c>
      <c r="Q263" s="5">
        <v>100.3</v>
      </c>
      <c r="R263" s="5">
        <v>2.5399999999999999E-2</v>
      </c>
      <c r="S263" s="5">
        <v>45.04</v>
      </c>
      <c r="T263" s="18">
        <f t="shared" si="3"/>
        <v>250</v>
      </c>
      <c r="U263" s="2">
        <f t="shared" ref="U263:AH263" si="260">IF(OR(F263=0,F263&lt;0.00001,F263&gt;100000),"",IF((IF(F263&gt;F$5,ABS(LOG(((F$5/SUM($F263:$S263))/(F$4/SUM($F$4:$S$4)))*4+2,2)),ABS(LOG(((F263/SUM($F263:$S263))/(F$4/SUM($F$4:$S$4)))*4+2,2)))-3)&gt;8,(IF(F263&gt;F$5,ABS(LOG(((F$5/SUM($F263:$S263))/(F$4/SUM($F$4:$S$4)))*4+2,2)),ABS(LOG(((F263/SUM($F263:$S263))/(F$4/SUM($F$4:$S$4)))*4+2,2)))-3)/7,IF(F263&gt;F$5,ABS(LOG(((F$5/SUM($F263:$S263))/(F$4/SUM($F$4:$S$4)))*4+2,2)),ABS(LOG(((F263/SUM($F263:$S263))/(F$4/SUM($F$4:$S$4)))*4+2,2)))-3))</f>
        <v>-1.1198404726803637</v>
      </c>
      <c r="V263" s="2">
        <f t="shared" si="260"/>
        <v>1.2326060491887079</v>
      </c>
      <c r="W263" s="2">
        <f t="shared" si="260"/>
        <v>5.8539213712962823</v>
      </c>
      <c r="X263" s="2">
        <f t="shared" si="260"/>
        <v>2.6692052245793887</v>
      </c>
      <c r="Y263" s="2">
        <f t="shared" si="260"/>
        <v>2.1050110273429832</v>
      </c>
      <c r="Z263" s="2">
        <f t="shared" si="260"/>
        <v>1.2516431467119058</v>
      </c>
      <c r="AA263" s="2">
        <f t="shared" si="260"/>
        <v>4.0733255491635765</v>
      </c>
      <c r="AB263" s="2">
        <f t="shared" si="260"/>
        <v>2.2621296301719847</v>
      </c>
      <c r="AC263" s="2">
        <f t="shared" si="260"/>
        <v>2.9413560794467291</v>
      </c>
      <c r="AD263" s="2">
        <f t="shared" si="260"/>
        <v>-1.447728794466024</v>
      </c>
      <c r="AE263" s="2">
        <f t="shared" si="260"/>
        <v>-1.9999999113524232</v>
      </c>
      <c r="AF263" s="2">
        <f t="shared" si="260"/>
        <v>-0.16491543232615236</v>
      </c>
      <c r="AG263" s="2">
        <f t="shared" si="260"/>
        <v>-1.991835334066687</v>
      </c>
      <c r="AH263" s="2">
        <f t="shared" si="260"/>
        <v>-0.81576867886555737</v>
      </c>
      <c r="AI263" s="18">
        <f t="shared" si="5"/>
        <v>250</v>
      </c>
      <c r="AJ263" s="2">
        <f t="shared" si="6"/>
        <v>1</v>
      </c>
    </row>
    <row r="264" spans="1:36" ht="10.5" customHeight="1" x14ac:dyDescent="0.25">
      <c r="A264" s="17">
        <v>256</v>
      </c>
      <c r="B264" s="2">
        <f t="shared" ref="B264:B317" si="261">IF(OR(SUM(F264:S264)&lt;0.1,COUNTIF(U264:AH264,"")&gt;5,SUM(F264:S264)&gt;10000),"",0.028*IF(((SUM(U264:AH264)*LOG(QUARTILE(U264:AH264,4),2)))&lt;49,ABS(((SUM(U264:AH264)*LOG(QUARTILE(U264:AH264,4),2))*AVERAGE(AVERAGE(U264:AH264),MEDIAN(U264:AH264))/9.5*6^2/AJ264)),((SUM(U264:AH264)*LOG(QUARTILE(U264:AH264,4),2))*2.6+58)))</f>
        <v>1.243939108945042</v>
      </c>
      <c r="C264" s="4">
        <v>2</v>
      </c>
      <c r="D264" s="4">
        <v>22.292122437838302</v>
      </c>
      <c r="E264" s="18">
        <v>251</v>
      </c>
      <c r="F264" s="5">
        <v>0.11310000000000001</v>
      </c>
      <c r="G264" s="5">
        <v>0.32974999999999999</v>
      </c>
      <c r="H264" s="5">
        <v>1.0262</v>
      </c>
      <c r="I264" s="5">
        <v>1.2094999999999998</v>
      </c>
      <c r="J264" s="5">
        <v>0.24685000000000001</v>
      </c>
      <c r="K264" s="5">
        <v>0.34970000000000001</v>
      </c>
      <c r="L264" s="5">
        <v>1.5867499999999999</v>
      </c>
      <c r="M264" s="5">
        <v>0.61004999999999998</v>
      </c>
      <c r="N264" s="5">
        <v>0.46655000000000002</v>
      </c>
      <c r="O264" s="5">
        <v>8.6499999999999994E-2</v>
      </c>
      <c r="P264" s="5">
        <v>2.5270000000000002E-4</v>
      </c>
      <c r="Q264" s="5">
        <v>81.010000000000005</v>
      </c>
      <c r="R264" s="5">
        <v>8.088999999999999E-2</v>
      </c>
      <c r="S264" s="5">
        <v>121.87</v>
      </c>
      <c r="T264" s="18">
        <f t="shared" ref="T264:T317" si="262">E264</f>
        <v>251</v>
      </c>
      <c r="U264" s="2">
        <f t="shared" ref="U264:AH264" si="263">IF(OR(F264=0,F264&lt;0.00001,F264&gt;100000),"",IF((IF(F264&gt;F$5,ABS(LOG(((F$5/SUM($F264:$S264))/(F$4/SUM($F$4:$S$4)))*4+2,2)),ABS(LOG(((F264/SUM($F264:$S264))/(F$4/SUM($F$4:$S$4)))*4+2,2)))-3)&gt;8,(IF(F264&gt;F$5,ABS(LOG(((F$5/SUM($F264:$S264))/(F$4/SUM($F$4:$S$4)))*4+2,2)),ABS(LOG(((F264/SUM($F264:$S264))/(F$4/SUM($F$4:$S$4)))*4+2,2)))-3)/7,IF(F264&gt;F$5,ABS(LOG(((F$5/SUM($F264:$S264))/(F$4/SUM($F$4:$S$4)))*4+2,2)),ABS(LOG(((F264/SUM($F264:$S264))/(F$4/SUM($F$4:$S$4)))*4+2,2)))-3))</f>
        <v>0.43020261516632408</v>
      </c>
      <c r="V264" s="2">
        <f t="shared" si="263"/>
        <v>0.3217851187903964</v>
      </c>
      <c r="W264" s="2">
        <f t="shared" si="263"/>
        <v>3.351535200637402</v>
      </c>
      <c r="X264" s="2">
        <f t="shared" si="263"/>
        <v>0.77988193666327321</v>
      </c>
      <c r="Y264" s="2">
        <f t="shared" si="263"/>
        <v>-0.77925215352625887</v>
      </c>
      <c r="Z264" s="2">
        <f t="shared" si="263"/>
        <v>6.6445692296755183</v>
      </c>
      <c r="AA264" s="2">
        <f t="shared" si="263"/>
        <v>2.9906304107021073</v>
      </c>
      <c r="AB264" s="2">
        <f t="shared" si="263"/>
        <v>0.85418214671716575</v>
      </c>
      <c r="AC264" s="2">
        <f t="shared" si="263"/>
        <v>0.66126413146528762</v>
      </c>
      <c r="AD264" s="2">
        <f t="shared" si="263"/>
        <v>-1.9284187179579535</v>
      </c>
      <c r="AE264" s="2">
        <f t="shared" si="263"/>
        <v>-1.999999930006791</v>
      </c>
      <c r="AF264" s="2">
        <f t="shared" si="263"/>
        <v>-0.60077227232687092</v>
      </c>
      <c r="AG264" s="2">
        <f t="shared" si="263"/>
        <v>-1.9795573356796703</v>
      </c>
      <c r="AH264" s="2">
        <f t="shared" si="263"/>
        <v>-0.10530450887250176</v>
      </c>
      <c r="AI264" s="18">
        <f t="shared" ref="AI264:AI317" si="264">T264</f>
        <v>251</v>
      </c>
      <c r="AJ264" s="2">
        <f t="shared" ref="AJ264:AJ317" si="265">IF(D264&lt;27,1,IF(D264&lt;30,2+(D264-27)^1/10,8-((D264-30)*3000)^0.19))</f>
        <v>1</v>
      </c>
    </row>
    <row r="265" spans="1:36" ht="10.5" customHeight="1" x14ac:dyDescent="0.25">
      <c r="A265" s="17">
        <v>257</v>
      </c>
      <c r="B265" s="2">
        <f t="shared" si="261"/>
        <v>1.5033301123335344E-2</v>
      </c>
      <c r="C265" s="4">
        <v>2</v>
      </c>
      <c r="D265" s="4">
        <v>22.238187417485399</v>
      </c>
      <c r="E265" s="18">
        <v>252</v>
      </c>
      <c r="F265" s="5">
        <v>0.40820000000000001</v>
      </c>
      <c r="G265" s="5">
        <v>0.4541</v>
      </c>
      <c r="H265" s="5">
        <v>0.75260000000000005</v>
      </c>
      <c r="I265" s="5">
        <v>2.3010000000000002</v>
      </c>
      <c r="J265" s="5">
        <v>0.25519999999999998</v>
      </c>
      <c r="K265" s="5">
        <v>9.5500000000000002E-2</v>
      </c>
      <c r="L265" s="5">
        <v>2.7559999999999998</v>
      </c>
      <c r="M265" s="5">
        <v>2.2000000000000002</v>
      </c>
      <c r="N265" s="5">
        <v>0.20130000000000001</v>
      </c>
      <c r="O265" s="5">
        <v>0.36630000000000001</v>
      </c>
      <c r="P265" s="5">
        <v>7.8799999999999999E-3</v>
      </c>
      <c r="Q265" s="5">
        <v>298.8</v>
      </c>
      <c r="R265" s="5">
        <v>0.2082</v>
      </c>
      <c r="S265" s="5">
        <v>295.8</v>
      </c>
      <c r="T265" s="18">
        <f t="shared" si="262"/>
        <v>252</v>
      </c>
      <c r="U265" s="2">
        <f t="shared" ref="U265:AH265" si="266">IF(OR(F265=0,F265&lt;0.00001,F265&gt;100000),"",IF((IF(F265&gt;F$5,ABS(LOG(((F$5/SUM($F265:$S265))/(F$4/SUM($F$4:$S$4)))*4+2,2)),ABS(LOG(((F265/SUM($F265:$S265))/(F$4/SUM($F$4:$S$4)))*4+2,2)))-3)&gt;8,(IF(F265&gt;F$5,ABS(LOG(((F$5/SUM($F265:$S265))/(F$4/SUM($F$4:$S$4)))*4+2,2)),ABS(LOG(((F265/SUM($F265:$S265))/(F$4/SUM($F$4:$S$4)))*4+2,2)))-3)/7,IF(F265&gt;F$5,ABS(LOG(((F$5/SUM($F265:$S265))/(F$4/SUM($F$4:$S$4)))*4+2,2)),ABS(LOG(((F265/SUM($F265:$S265))/(F$4/SUM($F$4:$S$4)))*4+2,2)))-3))</f>
        <v>0.69517505846130589</v>
      </c>
      <c r="V265" s="2">
        <f t="shared" si="266"/>
        <v>-0.46206597157465445</v>
      </c>
      <c r="W265" s="2">
        <f t="shared" si="266"/>
        <v>1.4720613937179374</v>
      </c>
      <c r="X265" s="2">
        <f t="shared" si="266"/>
        <v>0.28057487724425911</v>
      </c>
      <c r="Y265" s="2">
        <f t="shared" si="266"/>
        <v>-1.4387813598131507</v>
      </c>
      <c r="Z265" s="2">
        <f t="shared" si="266"/>
        <v>3.2736118628057271</v>
      </c>
      <c r="AA265" s="2">
        <f t="shared" si="266"/>
        <v>2.2844365510785609</v>
      </c>
      <c r="AB265" s="2">
        <f t="shared" si="266"/>
        <v>1.1320887694391155</v>
      </c>
      <c r="AC265" s="2">
        <f t="shared" si="266"/>
        <v>-1.1565841817428062</v>
      </c>
      <c r="AD265" s="2">
        <f t="shared" si="266"/>
        <v>-1.8963914366499972</v>
      </c>
      <c r="AE265" s="2">
        <f t="shared" si="266"/>
        <v>-1.9999999758063916</v>
      </c>
      <c r="AF265" s="2">
        <f t="shared" si="266"/>
        <v>-0.37340593616785878</v>
      </c>
      <c r="AG265" s="2">
        <f t="shared" si="266"/>
        <v>-1.9817985407584751</v>
      </c>
      <c r="AH265" s="2">
        <f t="shared" si="266"/>
        <v>-0.28600358664189418</v>
      </c>
      <c r="AI265" s="18">
        <f t="shared" si="264"/>
        <v>252</v>
      </c>
      <c r="AJ265" s="2">
        <f t="shared" si="265"/>
        <v>1</v>
      </c>
    </row>
    <row r="266" spans="1:36" ht="10.5" customHeight="1" x14ac:dyDescent="0.25">
      <c r="A266" s="17">
        <v>258</v>
      </c>
      <c r="B266" s="2">
        <f t="shared" si="261"/>
        <v>0.84887732279382078</v>
      </c>
      <c r="C266" s="4">
        <v>2</v>
      </c>
      <c r="D266" s="4">
        <v>20.462356818329699</v>
      </c>
      <c r="E266" s="18">
        <v>253</v>
      </c>
      <c r="F266" s="5">
        <v>3.7199999999999997E-2</v>
      </c>
      <c r="G266" s="5">
        <v>0.21299999999999999</v>
      </c>
      <c r="H266" s="5">
        <v>0.25390000000000001</v>
      </c>
      <c r="I266" s="5">
        <v>1.0329999999999999</v>
      </c>
      <c r="J266" s="5">
        <v>0.52769999999999995</v>
      </c>
      <c r="K266" s="5">
        <v>9.2299999999999993E-2</v>
      </c>
      <c r="L266" s="5">
        <v>1.1000000000000001</v>
      </c>
      <c r="M266" s="5">
        <v>2.2389999999999999</v>
      </c>
      <c r="N266" s="5">
        <v>0.17519999999999999</v>
      </c>
      <c r="O266" s="5">
        <v>0.43290000000000001</v>
      </c>
      <c r="P266" s="5">
        <v>1.7700000000000001E-3</v>
      </c>
      <c r="Q266" s="5">
        <v>60.82</v>
      </c>
      <c r="R266" s="5">
        <v>4.8800000000000003E-2</v>
      </c>
      <c r="S266" s="5">
        <v>72.27</v>
      </c>
      <c r="T266" s="18">
        <f t="shared" si="262"/>
        <v>253</v>
      </c>
      <c r="U266" s="2">
        <f t="shared" ref="U266:AH266" si="267">IF(OR(F266=0,F266&lt;0.00001,F266&gt;100000),"",IF((IF(F266&gt;F$5,ABS(LOG(((F$5/SUM($F266:$S266))/(F$4/SUM($F$4:$S$4)))*4+2,2)),ABS(LOG(((F266/SUM($F266:$S266))/(F$4/SUM($F$4:$S$4)))*4+2,2)))-3)&gt;8,(IF(F266&gt;F$5,ABS(LOG(((F$5/SUM($F266:$S266))/(F$4/SUM($F$4:$S$4)))*4+2,2)),ABS(LOG(((F266/SUM($F266:$S266))/(F$4/SUM($F$4:$S$4)))*4+2,2)))-3)/7,IF(F266&gt;F$5,ABS(LOG(((F$5/SUM($F266:$S266))/(F$4/SUM($F$4:$S$4)))*4+2,2)),ABS(LOG(((F266/SUM($F266:$S266))/(F$4/SUM($F$4:$S$4)))*4+2,2)))-3))</f>
        <v>-0.33689702674966293</v>
      </c>
      <c r="V266" s="2">
        <f t="shared" si="267"/>
        <v>0.28610933072259215</v>
      </c>
      <c r="W266" s="2">
        <f t="shared" si="267"/>
        <v>1.9809529122331746</v>
      </c>
      <c r="X266" s="2">
        <f t="shared" si="267"/>
        <v>1.0911535358503004</v>
      </c>
      <c r="Y266" s="2">
        <f t="shared" si="267"/>
        <v>0.39763226815997355</v>
      </c>
      <c r="Z266" s="2">
        <f t="shared" si="267"/>
        <v>5.3141226816671239</v>
      </c>
      <c r="AA266" s="2">
        <f t="shared" si="267"/>
        <v>3.0460774855800876</v>
      </c>
      <c r="AB266" s="2">
        <f t="shared" si="267"/>
        <v>3.1425202050011016</v>
      </c>
      <c r="AC266" s="2">
        <f t="shared" si="267"/>
        <v>6.0742936314595042E-4</v>
      </c>
      <c r="AD266" s="2">
        <f t="shared" si="267"/>
        <v>-1.5331596043072466</v>
      </c>
      <c r="AE266" s="2">
        <f t="shared" si="267"/>
        <v>-1.9999998949504021</v>
      </c>
      <c r="AF266" s="2">
        <f t="shared" si="267"/>
        <v>-0.4914449406364092</v>
      </c>
      <c r="AG266" s="2">
        <f t="shared" si="267"/>
        <v>-1.9814778797529156</v>
      </c>
      <c r="AH266" s="2">
        <f t="shared" si="267"/>
        <v>-0.22623097272648174</v>
      </c>
      <c r="AI266" s="18">
        <f t="shared" si="264"/>
        <v>253</v>
      </c>
      <c r="AJ266" s="2">
        <f t="shared" si="265"/>
        <v>1</v>
      </c>
    </row>
    <row r="267" spans="1:36" ht="10.5" customHeight="1" x14ac:dyDescent="0.25">
      <c r="A267" s="17">
        <v>259</v>
      </c>
      <c r="B267" s="2">
        <f t="shared" si="261"/>
        <v>5.7921561592209407</v>
      </c>
      <c r="C267" s="4">
        <v>2</v>
      </c>
      <c r="D267" s="4">
        <v>19.213373916128301</v>
      </c>
      <c r="E267" s="18">
        <v>254</v>
      </c>
      <c r="F267" s="5">
        <v>2.7099999999999999E-2</v>
      </c>
      <c r="G267" s="5">
        <v>0.28520000000000001</v>
      </c>
      <c r="H267" s="5">
        <v>0.21629999999999999</v>
      </c>
      <c r="I267" s="5">
        <v>2.0110000000000001</v>
      </c>
      <c r="J267" s="5">
        <v>1.536</v>
      </c>
      <c r="K267" s="5">
        <v>2.6499999999999999E-2</v>
      </c>
      <c r="L267" s="5">
        <v>1.5109999999999999</v>
      </c>
      <c r="M267" s="5">
        <v>0.50090000000000001</v>
      </c>
      <c r="N267" s="5">
        <v>0.3301</v>
      </c>
      <c r="O267" s="5">
        <v>8.4400000000000003E-2</v>
      </c>
      <c r="P267" s="5">
        <v>9.3100000000000006E-3</v>
      </c>
      <c r="Q267" s="5">
        <v>14.12</v>
      </c>
      <c r="R267" s="5">
        <v>0.12130000000000001</v>
      </c>
      <c r="S267" s="5">
        <v>17.07</v>
      </c>
      <c r="T267" s="18">
        <f t="shared" si="262"/>
        <v>254</v>
      </c>
      <c r="U267" s="2">
        <f t="shared" ref="U267:AH267" si="268">IF(OR(F267=0,F267&lt;0.00001,F267&gt;100000),"",IF((IF(F267&gt;F$5,ABS(LOG(((F$5/SUM($F267:$S267))/(F$4/SUM($F$4:$S$4)))*4+2,2)),ABS(LOG(((F267/SUM($F267:$S267))/(F$4/SUM($F$4:$S$4)))*4+2,2)))-3)&gt;8,(IF(F267&gt;F$5,ABS(LOG(((F$5/SUM($F267:$S267))/(F$4/SUM($F$4:$S$4)))*4+2,2)),ABS(LOG(((F267/SUM($F267:$S267))/(F$4/SUM($F$4:$S$4)))*4+2,2)))-3)/7,IF(F267&gt;F$5,ABS(LOG(((F$5/SUM($F267:$S267))/(F$4/SUM($F$4:$S$4)))*4+2,2)),ABS(LOG(((F267/SUM($F267:$S267))/(F$4/SUM($F$4:$S$4)))*4+2,2)))-3))</f>
        <v>0.76716234817186546</v>
      </c>
      <c r="V267" s="2">
        <f t="shared" si="268"/>
        <v>2.3291212438441073</v>
      </c>
      <c r="W267" s="2">
        <f t="shared" si="268"/>
        <v>3.5654221366742282</v>
      </c>
      <c r="X267" s="2">
        <f t="shared" si="268"/>
        <v>3.7779723723643146</v>
      </c>
      <c r="Y267" s="2">
        <f t="shared" si="268"/>
        <v>3.5459214814795414</v>
      </c>
      <c r="Z267" s="2">
        <f t="shared" si="268"/>
        <v>5.3925933671691411</v>
      </c>
      <c r="AA267" s="2">
        <f t="shared" si="268"/>
        <v>5.3479111323853079</v>
      </c>
      <c r="AB267" s="2">
        <f t="shared" si="268"/>
        <v>2.870307168329286</v>
      </c>
      <c r="AC267" s="2">
        <f t="shared" si="268"/>
        <v>2.4466884052976781</v>
      </c>
      <c r="AD267" s="2">
        <f t="shared" si="268"/>
        <v>-1.6505768281919553</v>
      </c>
      <c r="AE267" s="2">
        <f t="shared" si="268"/>
        <v>-1.9999996135284106</v>
      </c>
      <c r="AF267" s="2">
        <f t="shared" si="268"/>
        <v>-0.63484640401869141</v>
      </c>
      <c r="AG267" s="2">
        <f t="shared" si="268"/>
        <v>-1.8388731069482078</v>
      </c>
      <c r="AH267" s="2">
        <f t="shared" si="268"/>
        <v>-0.36661077985975909</v>
      </c>
      <c r="AI267" s="18">
        <f t="shared" si="264"/>
        <v>254</v>
      </c>
      <c r="AJ267" s="2">
        <f t="shared" si="265"/>
        <v>1</v>
      </c>
    </row>
    <row r="268" spans="1:36" ht="10.5" customHeight="1" x14ac:dyDescent="0.25">
      <c r="A268" s="17">
        <v>260</v>
      </c>
      <c r="B268" s="2">
        <f t="shared" si="261"/>
        <v>5.4962549846978961</v>
      </c>
      <c r="C268" s="4">
        <v>2</v>
      </c>
      <c r="D268" s="4">
        <v>24.051778680798499</v>
      </c>
      <c r="E268" s="18">
        <v>255</v>
      </c>
      <c r="F268" s="5">
        <v>0.1182</v>
      </c>
      <c r="G268" s="5">
        <v>0.31919999999999998</v>
      </c>
      <c r="H268" s="5">
        <v>0.90510000000000002</v>
      </c>
      <c r="I268" s="5">
        <v>3.532</v>
      </c>
      <c r="J268" s="5">
        <v>1.224</v>
      </c>
      <c r="K268" s="5">
        <v>1.38E-2</v>
      </c>
      <c r="L268" s="5">
        <v>1.458</v>
      </c>
      <c r="M268" s="5">
        <v>0.27129999999999999</v>
      </c>
      <c r="N268" s="5">
        <v>0.2893</v>
      </c>
      <c r="O268" s="5">
        <v>0.25369999999999998</v>
      </c>
      <c r="P268" s="5">
        <v>2.1299999999999999E-2</v>
      </c>
      <c r="Q268" s="5">
        <v>5.7889999999999997</v>
      </c>
      <c r="R268" s="5">
        <v>1.0780000000000001</v>
      </c>
      <c r="S268" s="5">
        <v>37.75</v>
      </c>
      <c r="T268" s="18">
        <f t="shared" si="262"/>
        <v>255</v>
      </c>
      <c r="U268" s="2">
        <f t="shared" ref="U268:AH268" si="269">IF(OR(F268=0,F268&lt;0.00001,F268&gt;100000),"",IF((IF(F268&gt;F$5,ABS(LOG(((F$5/SUM($F268:$S268))/(F$4/SUM($F$4:$S$4)))*4+2,2)),ABS(LOG(((F268/SUM($F268:$S268))/(F$4/SUM($F$4:$S$4)))*4+2,2)))-3)&gt;8,(IF(F268&gt;F$5,ABS(LOG(((F$5/SUM($F268:$S268))/(F$4/SUM($F$4:$S$4)))*4+2,2)),ABS(LOG(((F268/SUM($F268:$S268))/(F$4/SUM($F$4:$S$4)))*4+2,2)))-3)/7,IF(F268&gt;F$5,ABS(LOG(((F$5/SUM($F268:$S268))/(F$4/SUM($F$4:$S$4)))*4+2,2)),ABS(LOG(((F268/SUM($F268:$S268))/(F$4/SUM($F$4:$S$4)))*4+2,2)))-3))</f>
        <v>2.2541287915392818</v>
      </c>
      <c r="V268" s="2">
        <f t="shared" si="269"/>
        <v>2.0232043623131517</v>
      </c>
      <c r="W268" s="2">
        <f t="shared" si="269"/>
        <v>5.1236993690999277</v>
      </c>
      <c r="X268" s="2">
        <f t="shared" si="269"/>
        <v>4.0988576754814057</v>
      </c>
      <c r="Y268" s="2">
        <f t="shared" si="269"/>
        <v>2.7552101032396319</v>
      </c>
      <c r="Z268" s="2">
        <f t="shared" si="269"/>
        <v>3.9793518145615119</v>
      </c>
      <c r="AA268" s="2">
        <f t="shared" si="269"/>
        <v>4.8140377839230331</v>
      </c>
      <c r="AB268" s="2">
        <f t="shared" si="269"/>
        <v>1.5755218065061634</v>
      </c>
      <c r="AC268" s="2">
        <f t="shared" si="269"/>
        <v>1.8090559915114435</v>
      </c>
      <c r="AD268" s="2">
        <f t="shared" si="269"/>
        <v>-1.3327589764168759</v>
      </c>
      <c r="AE268" s="2">
        <f t="shared" si="269"/>
        <v>-1.9999997241266272</v>
      </c>
      <c r="AF268" s="2">
        <f t="shared" si="269"/>
        <v>-1.4528061863828665</v>
      </c>
      <c r="AG268" s="2">
        <f t="shared" si="269"/>
        <v>-1.1929865792299896</v>
      </c>
      <c r="AH268" s="2">
        <f t="shared" si="269"/>
        <v>0.11066088622649817</v>
      </c>
      <c r="AI268" s="18">
        <f t="shared" si="264"/>
        <v>255</v>
      </c>
      <c r="AJ268" s="2">
        <f t="shared" si="265"/>
        <v>1</v>
      </c>
    </row>
    <row r="269" spans="1:36" ht="10.5" customHeight="1" x14ac:dyDescent="0.25">
      <c r="A269" s="17">
        <v>261</v>
      </c>
      <c r="B269" s="2">
        <f t="shared" si="261"/>
        <v>5.0921819992144224</v>
      </c>
      <c r="C269" s="4">
        <v>2</v>
      </c>
      <c r="D269" s="4">
        <v>24.614009077974</v>
      </c>
      <c r="E269" s="18">
        <v>256</v>
      </c>
      <c r="F269" s="5">
        <v>0.16139999999999999</v>
      </c>
      <c r="G269" s="5">
        <v>3.15E-2</v>
      </c>
      <c r="H269" s="5">
        <v>1.2270000000000001</v>
      </c>
      <c r="I269" s="5">
        <v>1.2370000000000001</v>
      </c>
      <c r="J269" s="5">
        <v>2.641</v>
      </c>
      <c r="K269" s="5">
        <v>0.4511</v>
      </c>
      <c r="L269" s="5">
        <v>1.9470000000000001</v>
      </c>
      <c r="M269" s="5">
        <v>0.63600000000000001</v>
      </c>
      <c r="N269" s="5">
        <v>0.16900000000000001</v>
      </c>
      <c r="O269" s="5">
        <v>0.60809999999999997</v>
      </c>
      <c r="P269" s="5">
        <v>1.6999999999999999E-3</v>
      </c>
      <c r="Q269" s="5">
        <v>21.59</v>
      </c>
      <c r="R269" s="5">
        <v>7.2700000000000004E-3</v>
      </c>
      <c r="S269" s="5">
        <v>30.14</v>
      </c>
      <c r="T269" s="18">
        <f t="shared" si="262"/>
        <v>256</v>
      </c>
      <c r="U269" s="2">
        <f t="shared" ref="U269:AH269" si="270">IF(OR(F269=0,F269&lt;0.00001,F269&gt;100000),"",IF((IF(F269&gt;F$5,ABS(LOG(((F$5/SUM($F269:$S269))/(F$4/SUM($F$4:$S$4)))*4+2,2)),ABS(LOG(((F269/SUM($F269:$S269))/(F$4/SUM($F$4:$S$4)))*4+2,2)))-3)&gt;8,(IF(F269&gt;F$5,ABS(LOG(((F$5/SUM($F269:$S269))/(F$4/SUM($F$4:$S$4)))*4+2,2)),ABS(LOG(((F269/SUM($F269:$S269))/(F$4/SUM($F$4:$S$4)))*4+2,2)))-3)/7,IF(F269&gt;F$5,ABS(LOG(((F$5/SUM($F269:$S269))/(F$4/SUM($F$4:$S$4)))*4+2,2)),ABS(LOG(((F269/SUM($F269:$S269))/(F$4/SUM($F$4:$S$4)))*4+2,2)))-3))</f>
        <v>2.4928276612287137</v>
      </c>
      <c r="V269" s="2">
        <f t="shared" si="270"/>
        <v>-0.79072912159232267</v>
      </c>
      <c r="W269" s="2">
        <f t="shared" si="270"/>
        <v>5.3625009386181457</v>
      </c>
      <c r="X269" s="2">
        <f t="shared" si="270"/>
        <v>2.4337655042866047</v>
      </c>
      <c r="Y269" s="2">
        <f t="shared" si="270"/>
        <v>3.6408669583239339</v>
      </c>
      <c r="Z269" s="2">
        <f t="shared" si="270"/>
        <v>1.2556040382801765</v>
      </c>
      <c r="AA269" s="2">
        <f t="shared" si="270"/>
        <v>5.0308996485449686</v>
      </c>
      <c r="AB269" s="2">
        <f t="shared" si="270"/>
        <v>2.5429276266636602</v>
      </c>
      <c r="AC269" s="2">
        <f t="shared" si="270"/>
        <v>0.93092162220603125</v>
      </c>
      <c r="AD269" s="2">
        <f t="shared" si="270"/>
        <v>-0.84411409302155338</v>
      </c>
      <c r="AE269" s="2">
        <f t="shared" si="270"/>
        <v>-1.9999997596044305</v>
      </c>
      <c r="AF269" s="2">
        <f t="shared" si="270"/>
        <v>-0.67866558942720978</v>
      </c>
      <c r="AG269" s="2">
        <f t="shared" si="270"/>
        <v>-1.9936587713573182</v>
      </c>
      <c r="AH269" s="2">
        <f t="shared" si="270"/>
        <v>-0.27357686874828513</v>
      </c>
      <c r="AI269" s="18">
        <f t="shared" si="264"/>
        <v>256</v>
      </c>
      <c r="AJ269" s="2">
        <f t="shared" si="265"/>
        <v>1</v>
      </c>
    </row>
    <row r="270" spans="1:36" ht="10.5" customHeight="1" x14ac:dyDescent="0.25">
      <c r="A270" s="17">
        <v>262</v>
      </c>
      <c r="B270" s="2">
        <f t="shared" si="261"/>
        <v>5.5390838663888644</v>
      </c>
      <c r="C270" s="4">
        <v>2</v>
      </c>
      <c r="D270" s="4">
        <v>24.489867381090001</v>
      </c>
      <c r="E270" s="18">
        <v>257</v>
      </c>
      <c r="F270" s="5">
        <v>0.17699999999999999</v>
      </c>
      <c r="G270" s="5">
        <v>2.41E-2</v>
      </c>
      <c r="H270" s="5">
        <v>0.90039999999999998</v>
      </c>
      <c r="I270" s="5">
        <v>3.294</v>
      </c>
      <c r="J270" s="5">
        <v>3.9159999999999999</v>
      </c>
      <c r="K270" s="5">
        <v>0.20830000000000001</v>
      </c>
      <c r="L270" s="5">
        <v>0.1915</v>
      </c>
      <c r="M270" s="5">
        <v>0.73229999999999995</v>
      </c>
      <c r="N270" s="5">
        <v>0.48920000000000002</v>
      </c>
      <c r="O270" s="5">
        <v>1.0589999999999999</v>
      </c>
      <c r="P270" s="5">
        <v>1.55E-4</v>
      </c>
      <c r="Q270" s="5">
        <v>13.57</v>
      </c>
      <c r="R270" s="5">
        <v>1.5300000000000001E-4</v>
      </c>
      <c r="S270" s="5">
        <v>15.64</v>
      </c>
      <c r="T270" s="18">
        <f t="shared" si="262"/>
        <v>257</v>
      </c>
      <c r="U270" s="2">
        <f t="shared" ref="U270:AH270" si="271">IF(OR(F270=0,F270&lt;0.00001,F270&gt;100000),"",IF((IF(F270&gt;F$5,ABS(LOG(((F$5/SUM($F270:$S270))/(F$4/SUM($F$4:$S$4)))*4+2,2)),ABS(LOG(((F270/SUM($F270:$S270))/(F$4/SUM($F$4:$S$4)))*4+2,2)))-3)&gt;8,(IF(F270&gt;F$5,ABS(LOG(((F$5/SUM($F270:$S270))/(F$4/SUM($F$4:$S$4)))*4+2,2)),ABS(LOG(((F270/SUM($F270:$S270))/(F$4/SUM($F$4:$S$4)))*4+2,2)))-3)/7,IF(F270&gt;F$5,ABS(LOG(((F$5/SUM($F270:$S270))/(F$4/SUM($F$4:$S$4)))*4+2,2)),ABS(LOG(((F270/SUM($F270:$S270))/(F$4/SUM($F$4:$S$4)))*4+2,2)))-3))</f>
        <v>3.1981766348542697</v>
      </c>
      <c r="V270" s="2">
        <f t="shared" si="271"/>
        <v>-0.666849952378334</v>
      </c>
      <c r="W270" s="2">
        <f t="shared" si="271"/>
        <v>5.513070123254284</v>
      </c>
      <c r="X270" s="2">
        <f t="shared" si="271"/>
        <v>4.3936154161704515</v>
      </c>
      <c r="Y270" s="2">
        <f t="shared" si="271"/>
        <v>4.7909837507748847</v>
      </c>
      <c r="Z270" s="2">
        <f t="shared" si="271"/>
        <v>1.1818193372274723</v>
      </c>
      <c r="AA270" s="2">
        <f t="shared" si="271"/>
        <v>2.3447387515900511</v>
      </c>
      <c r="AB270" s="2">
        <f t="shared" si="271"/>
        <v>3.3176553827401181</v>
      </c>
      <c r="AC270" s="2">
        <f t="shared" si="271"/>
        <v>2.9083339200635727</v>
      </c>
      <c r="AD270" s="2">
        <f t="shared" si="271"/>
        <v>8.316812231721693E-2</v>
      </c>
      <c r="AE270" s="2">
        <f t="shared" si="271"/>
        <v>-1.9999996361482886</v>
      </c>
      <c r="AF270" s="2">
        <f t="shared" si="271"/>
        <v>-0.72142236618507205</v>
      </c>
      <c r="AG270" s="2">
        <f t="shared" si="271"/>
        <v>-1.9997975803142092</v>
      </c>
      <c r="AH270" s="2">
        <f t="shared" si="271"/>
        <v>-0.50761291230934891</v>
      </c>
      <c r="AI270" s="18">
        <f t="shared" si="264"/>
        <v>257</v>
      </c>
      <c r="AJ270" s="2">
        <f t="shared" si="265"/>
        <v>1</v>
      </c>
    </row>
    <row r="271" spans="1:36" ht="10.5" customHeight="1" x14ac:dyDescent="0.25">
      <c r="A271" s="17">
        <v>263</v>
      </c>
      <c r="B271" s="2">
        <f t="shared" si="261"/>
        <v>6.6674064199826919</v>
      </c>
      <c r="C271" s="4">
        <v>2</v>
      </c>
      <c r="D271" s="4">
        <v>25.783054483227101</v>
      </c>
      <c r="E271" s="18">
        <v>258</v>
      </c>
      <c r="F271" s="5">
        <v>0.10920000000000001</v>
      </c>
      <c r="G271" s="5">
        <v>0.64159999999999995</v>
      </c>
      <c r="H271" s="5">
        <v>3.7509999999999999</v>
      </c>
      <c r="I271" s="5">
        <v>3.2989999999999999</v>
      </c>
      <c r="J271" s="5">
        <v>1.2390000000000001</v>
      </c>
      <c r="K271" s="5">
        <v>1.139</v>
      </c>
      <c r="L271" s="5">
        <v>1.6739999999999999</v>
      </c>
      <c r="M271" s="5">
        <v>1.833</v>
      </c>
      <c r="N271" s="5">
        <v>2.7909999999999999</v>
      </c>
      <c r="O271" s="5">
        <v>7.75</v>
      </c>
      <c r="P271" s="5">
        <v>6.4499999999999996E-4</v>
      </c>
      <c r="Q271" s="5">
        <v>39.340000000000003</v>
      </c>
      <c r="R271" s="5">
        <v>4.28E-3</v>
      </c>
      <c r="S271" s="5">
        <v>21.35</v>
      </c>
      <c r="T271" s="18">
        <f t="shared" si="262"/>
        <v>258</v>
      </c>
      <c r="U271" s="2">
        <f t="shared" ref="U271:AH271" si="272">IF(OR(F271=0,F271&lt;0.00001,F271&gt;100000),"",IF((IF(F271&gt;F$5,ABS(LOG(((F$5/SUM($F271:$S271))/(F$4/SUM($F$4:$S$4)))*4+2,2)),ABS(LOG(((F271/SUM($F271:$S271))/(F$4/SUM($F$4:$S$4)))*4+2,2)))-3)&gt;8,(IF(F271&gt;F$5,ABS(LOG(((F$5/SUM($F271:$S271))/(F$4/SUM($F$4:$S$4)))*4+2,2)),ABS(LOG(((F271/SUM($F271:$S271))/(F$4/SUM($F$4:$S$4)))*4+2,2)))-3)/7,IF(F271&gt;F$5,ABS(LOG(((F$5/SUM($F271:$S271))/(F$4/SUM($F$4:$S$4)))*4+2,2)),ABS(LOG(((F271/SUM($F271:$S271))/(F$4/SUM($F$4:$S$4)))*4+2,2)))-3))</f>
        <v>1.5147785779996159</v>
      </c>
      <c r="V271" s="2">
        <f t="shared" si="272"/>
        <v>2.3327570016167911</v>
      </c>
      <c r="W271" s="2">
        <f t="shared" si="272"/>
        <v>6.4889464057931825</v>
      </c>
      <c r="X271" s="2">
        <f t="shared" si="272"/>
        <v>3.3358494324649159</v>
      </c>
      <c r="Y271" s="2">
        <f t="shared" si="272"/>
        <v>2.1240367250554169</v>
      </c>
      <c r="Z271" s="2">
        <f t="shared" si="272"/>
        <v>1.3777414248943065</v>
      </c>
      <c r="AA271" s="2">
        <f t="shared" si="272"/>
        <v>4.3388834967816621</v>
      </c>
      <c r="AB271" s="2">
        <f t="shared" si="272"/>
        <v>3.5568354384037528</v>
      </c>
      <c r="AC271" s="2">
        <f t="shared" si="272"/>
        <v>4.3111812506244984</v>
      </c>
      <c r="AD271" s="2">
        <f t="shared" si="272"/>
        <v>1.610668677519655</v>
      </c>
      <c r="AE271" s="2">
        <f t="shared" si="272"/>
        <v>-1.9999998277518882</v>
      </c>
      <c r="AF271" s="2">
        <f t="shared" si="272"/>
        <v>-0.4358388359809342</v>
      </c>
      <c r="AG271" s="2">
        <f t="shared" si="272"/>
        <v>-1.9973216805133298</v>
      </c>
      <c r="AH271" s="2">
        <f t="shared" si="272"/>
        <v>-0.88099209557468638</v>
      </c>
      <c r="AI271" s="18">
        <f t="shared" si="264"/>
        <v>258</v>
      </c>
      <c r="AJ271" s="2">
        <f t="shared" si="265"/>
        <v>1</v>
      </c>
    </row>
    <row r="272" spans="1:36" ht="10.5" customHeight="1" x14ac:dyDescent="0.25">
      <c r="A272" s="17">
        <v>264</v>
      </c>
      <c r="B272" s="2">
        <f t="shared" si="261"/>
        <v>6.1769510462838086</v>
      </c>
      <c r="C272" s="4">
        <v>2</v>
      </c>
      <c r="D272" s="4">
        <v>31.073819360724499</v>
      </c>
      <c r="E272" s="18">
        <v>259</v>
      </c>
      <c r="F272" s="5">
        <v>0.01</v>
      </c>
      <c r="G272" s="5">
        <v>1.6899999999999998E-2</v>
      </c>
      <c r="H272" s="5">
        <v>77.48</v>
      </c>
      <c r="I272" s="5">
        <v>12.29</v>
      </c>
      <c r="J272" s="5">
        <v>16.97</v>
      </c>
      <c r="K272" s="5">
        <v>3.0339999999999998</v>
      </c>
      <c r="L272" s="5">
        <v>15.75</v>
      </c>
      <c r="M272" s="5">
        <v>5.8070000000000004</v>
      </c>
      <c r="N272" s="5">
        <v>8.7710000000000008</v>
      </c>
      <c r="O272" s="5">
        <v>0.65059999999999996</v>
      </c>
      <c r="P272" s="5"/>
      <c r="Q272" s="5">
        <v>133.30000000000001</v>
      </c>
      <c r="R272" s="5">
        <v>2.0600000000000002E-3</v>
      </c>
      <c r="S272" s="5">
        <v>13.76</v>
      </c>
      <c r="T272" s="18">
        <f t="shared" si="262"/>
        <v>259</v>
      </c>
      <c r="U272" s="2">
        <f t="shared" ref="U272:AH272" si="273">IF(OR(F272=0,F272&lt;0.00001,F272&gt;100000),"",IF((IF(F272&gt;F$5,ABS(LOG(((F$5/SUM($F272:$S272))/(F$4/SUM($F$4:$S$4)))*4+2,2)),ABS(LOG(((F272/SUM($F272:$S272))/(F$4/SUM($F$4:$S$4)))*4+2,2)))-3)&gt;8,(IF(F272&gt;F$5,ABS(LOG(((F$5/SUM($F272:$S272))/(F$4/SUM($F$4:$S$4)))*4+2,2)),ABS(LOG(((F272/SUM($F272:$S272))/(F$4/SUM($F$4:$S$4)))*4+2,2)))-3)/7,IF(F272&gt;F$5,ABS(LOG(((F$5/SUM($F272:$S272))/(F$4/SUM($F$4:$S$4)))*4+2,2)),ABS(LOG(((F272/SUM($F272:$S272))/(F$4/SUM($F$4:$S$4)))*4+2,2)))-3))</f>
        <v>-1.6418330152555052</v>
      </c>
      <c r="V272" s="2">
        <f t="shared" si="273"/>
        <v>-1.7998426346038308</v>
      </c>
      <c r="W272" s="2">
        <f t="shared" si="273"/>
        <v>1.1628268691126407</v>
      </c>
      <c r="X272" s="2">
        <f t="shared" si="273"/>
        <v>3.4689401368562258</v>
      </c>
      <c r="Y272" s="2">
        <f t="shared" si="273"/>
        <v>4.075058007737189</v>
      </c>
      <c r="Z272" s="2">
        <f t="shared" si="273"/>
        <v>7.9593863314206548</v>
      </c>
      <c r="AA272" s="2">
        <f t="shared" si="273"/>
        <v>5.8003470943762387</v>
      </c>
      <c r="AB272" s="2">
        <f t="shared" si="273"/>
        <v>3.4614932170180257</v>
      </c>
      <c r="AC272" s="2">
        <f t="shared" si="273"/>
        <v>4.2034977978743688</v>
      </c>
      <c r="AD272" s="2">
        <f t="shared" si="273"/>
        <v>-1.6463573580840845</v>
      </c>
      <c r="AE272" s="2" t="str">
        <f t="shared" si="273"/>
        <v/>
      </c>
      <c r="AF272" s="2">
        <f t="shared" si="273"/>
        <v>-0.43614419317539976</v>
      </c>
      <c r="AG272" s="2">
        <f t="shared" si="273"/>
        <v>-1.9996193752377511</v>
      </c>
      <c r="AH272" s="2">
        <f t="shared" si="273"/>
        <v>-1.7097575174837949</v>
      </c>
      <c r="AI272" s="18">
        <f t="shared" si="264"/>
        <v>259</v>
      </c>
      <c r="AJ272" s="2">
        <f t="shared" si="265"/>
        <v>3.3598718808004406</v>
      </c>
    </row>
    <row r="273" spans="1:36" ht="10.5" customHeight="1" x14ac:dyDescent="0.25">
      <c r="A273" s="17">
        <v>265</v>
      </c>
      <c r="B273" s="2">
        <f t="shared" si="261"/>
        <v>5.2699094425708441</v>
      </c>
      <c r="C273" s="4">
        <v>2</v>
      </c>
      <c r="D273" s="4">
        <v>23.5854365404779</v>
      </c>
      <c r="E273" s="18">
        <v>269</v>
      </c>
      <c r="F273" s="5">
        <v>5.3199999999999997E-2</v>
      </c>
      <c r="G273" s="5">
        <v>0.72509999999999997</v>
      </c>
      <c r="H273" s="5">
        <v>1.1919999999999999</v>
      </c>
      <c r="I273" s="5">
        <v>1.7569999999999999</v>
      </c>
      <c r="J273" s="5">
        <v>1.9410000000000001</v>
      </c>
      <c r="K273" s="5">
        <v>4.3900000000000002E-2</v>
      </c>
      <c r="L273" s="5">
        <v>3.6579999999999999</v>
      </c>
      <c r="M273" s="5">
        <v>7.5259999999999998</v>
      </c>
      <c r="N273" s="5">
        <v>0.84670000000000001</v>
      </c>
      <c r="O273" s="5">
        <v>2.7989999999999999</v>
      </c>
      <c r="P273" s="5">
        <v>5.6699999999999997E-3</v>
      </c>
      <c r="Q273" s="5">
        <v>63.19</v>
      </c>
      <c r="R273" s="5">
        <v>3.1199999999999999E-3</v>
      </c>
      <c r="S273" s="5">
        <v>44.07</v>
      </c>
      <c r="T273" s="18">
        <f t="shared" si="262"/>
        <v>269</v>
      </c>
      <c r="U273" s="2">
        <f t="shared" ref="U273:AH273" si="274">IF(OR(F273=0,F273&lt;0.00001,F273&gt;100000),"",IF((IF(F273&gt;F$5,ABS(LOG(((F$5/SUM($F273:$S273))/(F$4/SUM($F$4:$S$4)))*4+2,2)),ABS(LOG(((F273/SUM($F273:$S273))/(F$4/SUM($F$4:$S$4)))*4+2,2)))-3)&gt;8,(IF(F273&gt;F$5,ABS(LOG(((F$5/SUM($F273:$S273))/(F$4/SUM($F$4:$S$4)))*4+2,2)),ABS(LOG(((F273/SUM($F273:$S273))/(F$4/SUM($F$4:$S$4)))*4+2,2)))-3)/7,IF(F273&gt;F$5,ABS(LOG(((F$5/SUM($F273:$S273))/(F$4/SUM($F$4:$S$4)))*4+2,2)),ABS(LOG(((F273/SUM($F273:$S273))/(F$4/SUM($F$4:$S$4)))*4+2,2)))-3))</f>
        <v>0.12969158554849569</v>
      </c>
      <c r="V273" s="2">
        <f t="shared" si="274"/>
        <v>1.9430165591947848</v>
      </c>
      <c r="W273" s="2">
        <f t="shared" si="274"/>
        <v>4.2601774765091722</v>
      </c>
      <c r="X273" s="2">
        <f t="shared" si="274"/>
        <v>1.9009240429137533</v>
      </c>
      <c r="Y273" s="2">
        <f t="shared" si="274"/>
        <v>2.1786035414469342</v>
      </c>
      <c r="Z273" s="2">
        <f t="shared" si="274"/>
        <v>4.3740329486030278</v>
      </c>
      <c r="AA273" s="2">
        <f t="shared" si="274"/>
        <v>4.8712779790904888</v>
      </c>
      <c r="AB273" s="2">
        <f t="shared" si="274"/>
        <v>4.9851636631157374</v>
      </c>
      <c r="AC273" s="2">
        <f t="shared" si="274"/>
        <v>2.0707490106610962</v>
      </c>
      <c r="AD273" s="2">
        <f t="shared" si="274"/>
        <v>-0.11582638599705586</v>
      </c>
      <c r="AE273" s="2">
        <f t="shared" si="274"/>
        <v>-1.9999998855525536</v>
      </c>
      <c r="AF273" s="2">
        <f t="shared" si="274"/>
        <v>-0.37301680155457717</v>
      </c>
      <c r="AG273" s="2">
        <f t="shared" si="274"/>
        <v>-1.9987021256203714</v>
      </c>
      <c r="AH273" s="2">
        <f t="shared" si="274"/>
        <v>-0.6174056688584324</v>
      </c>
      <c r="AI273" s="18">
        <f t="shared" si="264"/>
        <v>269</v>
      </c>
      <c r="AJ273" s="2">
        <f t="shared" si="265"/>
        <v>1</v>
      </c>
    </row>
    <row r="274" spans="1:36" ht="10.5" customHeight="1" x14ac:dyDescent="0.25">
      <c r="A274" s="17">
        <v>266</v>
      </c>
      <c r="B274" s="2">
        <f t="shared" si="261"/>
        <v>4.4814602174086122</v>
      </c>
      <c r="C274" s="4">
        <v>2</v>
      </c>
      <c r="D274" s="4">
        <v>25.213409998937198</v>
      </c>
      <c r="E274" s="18">
        <v>270</v>
      </c>
      <c r="F274" s="5">
        <v>0.32774999999999999</v>
      </c>
      <c r="G274" s="5">
        <v>0.20786770000000002</v>
      </c>
      <c r="H274" s="5">
        <v>2.1764999999999999</v>
      </c>
      <c r="I274" s="5">
        <v>2.4845000000000002</v>
      </c>
      <c r="J274" s="5">
        <v>5.8175000000000008</v>
      </c>
      <c r="K274" s="5">
        <v>1.3891500000000001</v>
      </c>
      <c r="L274" s="5">
        <v>2.2814999999999999</v>
      </c>
      <c r="M274" s="5">
        <v>0.5554</v>
      </c>
      <c r="N274" s="5">
        <v>0.58274999999999999</v>
      </c>
      <c r="O274" s="5">
        <v>11.734999999999999</v>
      </c>
      <c r="P274" s="5">
        <v>2.5899999999999999E-2</v>
      </c>
      <c r="Q274" s="5">
        <v>123.69499999999999</v>
      </c>
      <c r="R274" s="5">
        <v>4.0454999999999996E-3</v>
      </c>
      <c r="S274" s="5">
        <v>9.5850000000000009</v>
      </c>
      <c r="T274" s="18">
        <f t="shared" si="262"/>
        <v>270</v>
      </c>
      <c r="U274" s="2">
        <f t="shared" ref="U274:AH274" si="275">IF(OR(F274=0,F274&lt;0.00001,F274&gt;100000),"",IF((IF(F274&gt;F$5,ABS(LOG(((F$5/SUM($F274:$S274))/(F$4/SUM($F$4:$S$4)))*4+2,2)),ABS(LOG(((F274/SUM($F274:$S274))/(F$4/SUM($F$4:$S$4)))*4+2,2)))-3)&gt;8,(IF(F274&gt;F$5,ABS(LOG(((F$5/SUM($F274:$S274))/(F$4/SUM($F$4:$S$4)))*4+2,2)),ABS(LOG(((F274/SUM($F274:$S274))/(F$4/SUM($F$4:$S$4)))*4+2,2)))-3)/7,IF(F274&gt;F$5,ABS(LOG(((F$5/SUM($F274:$S274))/(F$4/SUM($F$4:$S$4)))*4+2,2)),ABS(LOG(((F274/SUM($F274:$S274))/(F$4/SUM($F$4:$S$4)))*4+2,2)))-3))</f>
        <v>2.1314073480004279</v>
      </c>
      <c r="V274" s="2">
        <f t="shared" si="275"/>
        <v>9.6039413498035131E-2</v>
      </c>
      <c r="W274" s="2">
        <f t="shared" si="275"/>
        <v>4.7910759827350384</v>
      </c>
      <c r="X274" s="2">
        <f t="shared" si="275"/>
        <v>2.0582437848846187</v>
      </c>
      <c r="Y274" s="2">
        <f t="shared" si="275"/>
        <v>3.3833662456548685</v>
      </c>
      <c r="Z274" s="2">
        <f t="shared" si="275"/>
        <v>1.2568779599169997</v>
      </c>
      <c r="AA274" s="2">
        <f t="shared" si="275"/>
        <v>3.8708286668079248</v>
      </c>
      <c r="AB274" s="2">
        <f t="shared" si="275"/>
        <v>1.0651522994461766</v>
      </c>
      <c r="AC274" s="2">
        <f t="shared" si="275"/>
        <v>1.2693579191689945</v>
      </c>
      <c r="AD274" s="2">
        <f t="shared" si="275"/>
        <v>1.3168946767864984</v>
      </c>
      <c r="AE274" s="2">
        <f t="shared" si="275"/>
        <v>-1.9999999090706688</v>
      </c>
      <c r="AF274" s="2">
        <f t="shared" si="275"/>
        <v>8.6921822107901558E-2</v>
      </c>
      <c r="AG274" s="2">
        <f t="shared" si="275"/>
        <v>-1.998662966581735</v>
      </c>
      <c r="AH274" s="2">
        <f t="shared" si="275"/>
        <v>-1.646388444705315</v>
      </c>
      <c r="AI274" s="18">
        <f t="shared" si="264"/>
        <v>270</v>
      </c>
      <c r="AJ274" s="2">
        <f t="shared" si="265"/>
        <v>1</v>
      </c>
    </row>
    <row r="275" spans="1:36" ht="10.5" customHeight="1" x14ac:dyDescent="0.25">
      <c r="A275" s="17">
        <v>267</v>
      </c>
      <c r="B275" s="2">
        <f t="shared" si="261"/>
        <v>3.3012451617879321</v>
      </c>
      <c r="C275" s="4">
        <v>2</v>
      </c>
      <c r="D275" s="4">
        <v>25.738570542807501</v>
      </c>
      <c r="E275" s="18">
        <v>271</v>
      </c>
      <c r="F275" s="5">
        <v>0.57320000000000004</v>
      </c>
      <c r="G275" s="5">
        <v>6.6199999999999995E-2</v>
      </c>
      <c r="H275" s="5">
        <v>2.7280000000000002</v>
      </c>
      <c r="I275" s="5">
        <v>0.75890000000000002</v>
      </c>
      <c r="J275" s="5">
        <v>2.8479999999999999</v>
      </c>
      <c r="K275" s="5">
        <v>0.2737</v>
      </c>
      <c r="L275" s="5">
        <v>0.66120000000000001</v>
      </c>
      <c r="M275" s="5">
        <v>15.58</v>
      </c>
      <c r="N275" s="5">
        <v>1.7969999999999999</v>
      </c>
      <c r="O275" s="5">
        <v>9.3100000000000002E-2</v>
      </c>
      <c r="P275" s="5">
        <v>4.9200000000000003E-4</v>
      </c>
      <c r="Q275" s="5">
        <v>227.6</v>
      </c>
      <c r="R275" s="5">
        <v>9.7199999999999995E-3</v>
      </c>
      <c r="S275" s="5">
        <v>23.62</v>
      </c>
      <c r="T275" s="18">
        <f t="shared" si="262"/>
        <v>271</v>
      </c>
      <c r="U275" s="2">
        <f t="shared" ref="U275:AH275" si="276">IF(OR(F275=0,F275&lt;0.00001,F275&gt;100000),"",IF((IF(F275&gt;F$5,ABS(LOG(((F$5/SUM($F275:$S275))/(F$4/SUM($F$4:$S$4)))*4+2,2)),ABS(LOG(((F275/SUM($F275:$S275))/(F$4/SUM($F$4:$S$4)))*4+2,2)))-3)&gt;8,(IF(F275&gt;F$5,ABS(LOG(((F$5/SUM($F275:$S275))/(F$4/SUM($F$4:$S$4)))*4+2,2)),ABS(LOG(((F275/SUM($F275:$S275))/(F$4/SUM($F$4:$S$4)))*4+2,2)))-3)/7,IF(F275&gt;F$5,ABS(LOG(((F$5/SUM($F275:$S275))/(F$4/SUM($F$4:$S$4)))*4+2,2)),ABS(LOG(((F275/SUM($F275:$S275))/(F$4/SUM($F$4:$S$4)))*4+2,2)))-3))</f>
        <v>2.1544905362801865</v>
      </c>
      <c r="V275" s="2">
        <f t="shared" si="276"/>
        <v>-1.3159550448547126</v>
      </c>
      <c r="W275" s="2">
        <f t="shared" si="276"/>
        <v>4.3397713247096217</v>
      </c>
      <c r="X275" s="2">
        <f t="shared" si="276"/>
        <v>-8.0950625049768021E-2</v>
      </c>
      <c r="Y275" s="2">
        <f t="shared" si="276"/>
        <v>1.6552635660611017</v>
      </c>
      <c r="Z275" s="2">
        <f t="shared" si="276"/>
        <v>5.8890922927897229</v>
      </c>
      <c r="AA275" s="2">
        <f t="shared" si="276"/>
        <v>1.4187943423061684</v>
      </c>
      <c r="AB275" s="2">
        <f t="shared" si="276"/>
        <v>4.9215787325757043</v>
      </c>
      <c r="AC275" s="2">
        <f t="shared" si="276"/>
        <v>2.0442664945487818</v>
      </c>
      <c r="AD275" s="2">
        <f t="shared" si="276"/>
        <v>-1.9415249205177478</v>
      </c>
      <c r="AE275" s="2">
        <f t="shared" si="276"/>
        <v>-1.9999999471182055</v>
      </c>
      <c r="AF275" s="2">
        <f t="shared" si="276"/>
        <v>0.16224331974938178</v>
      </c>
      <c r="AG275" s="2">
        <f t="shared" si="276"/>
        <v>-1.9981320786630616</v>
      </c>
      <c r="AH275" s="2">
        <f t="shared" si="276"/>
        <v>-1.5165701785479995</v>
      </c>
      <c r="AI275" s="18">
        <f t="shared" si="264"/>
        <v>271</v>
      </c>
      <c r="AJ275" s="2">
        <f t="shared" si="265"/>
        <v>1</v>
      </c>
    </row>
    <row r="276" spans="1:36" ht="10.5" customHeight="1" x14ac:dyDescent="0.25">
      <c r="A276" s="17">
        <v>268</v>
      </c>
      <c r="B276" s="2">
        <f t="shared" si="261"/>
        <v>2.0799196700596676</v>
      </c>
      <c r="C276" s="4">
        <v>2</v>
      </c>
      <c r="D276" s="4">
        <v>22.262141017217399</v>
      </c>
      <c r="E276" s="18">
        <v>273</v>
      </c>
      <c r="F276" s="5">
        <v>0.17480000000000001</v>
      </c>
      <c r="G276" s="5">
        <v>0.15859999999999999</v>
      </c>
      <c r="H276" s="5">
        <v>0.56140000000000001</v>
      </c>
      <c r="I276" s="5">
        <v>1.1140000000000001</v>
      </c>
      <c r="J276" s="5">
        <v>0.29880000000000001</v>
      </c>
      <c r="K276" s="5">
        <v>4.7699999999999999E-2</v>
      </c>
      <c r="L276" s="5">
        <v>1.401</v>
      </c>
      <c r="M276" s="5">
        <v>2.2069999999999999</v>
      </c>
      <c r="N276" s="5">
        <v>0.29120000000000001</v>
      </c>
      <c r="O276" s="5">
        <v>8.8999999999999999E-3</v>
      </c>
      <c r="P276" s="5">
        <v>1.2600000000000001E-3</v>
      </c>
      <c r="Q276" s="5">
        <v>76.62</v>
      </c>
      <c r="R276" s="5">
        <v>6.2700000000000006E-2</v>
      </c>
      <c r="S276" s="5">
        <v>30.04</v>
      </c>
      <c r="T276" s="18">
        <f t="shared" si="262"/>
        <v>273</v>
      </c>
      <c r="U276" s="2">
        <f t="shared" ref="U276:AH276" si="277">IF(OR(F276=0,F276&lt;0.00001,F276&gt;100000),"",IF((IF(F276&gt;F$5,ABS(LOG(((F$5/SUM($F276:$S276))/(F$4/SUM($F$4:$S$4)))*4+2,2)),ABS(LOG(((F276/SUM($F276:$S276))/(F$4/SUM($F$4:$S$4)))*4+2,2)))-3)&gt;8,(IF(F276&gt;F$5,ABS(LOG(((F$5/SUM($F276:$S276))/(F$4/SUM($F$4:$S$4)))*4+2,2)),ABS(LOG(((F276/SUM($F276:$S276))/(F$4/SUM($F$4:$S$4)))*4+2,2)))-3)/7,IF(F276&gt;F$5,ABS(LOG(((F$5/SUM($F276:$S276))/(F$4/SUM($F$4:$S$4)))*4+2,2)),ABS(LOG(((F276/SUM($F276:$S276))/(F$4/SUM($F$4:$S$4)))*4+2,2)))-3))</f>
        <v>1.7600873910422843</v>
      </c>
      <c r="V276" s="2">
        <f t="shared" si="277"/>
        <v>0.18841687374668403</v>
      </c>
      <c r="W276" s="2">
        <f t="shared" si="277"/>
        <v>3.3681549716662964</v>
      </c>
      <c r="X276" s="2">
        <f t="shared" si="277"/>
        <v>1.4589909972579305</v>
      </c>
      <c r="Y276" s="2">
        <f t="shared" si="277"/>
        <v>-7.5033641273556384E-3</v>
      </c>
      <c r="Z276" s="2">
        <f t="shared" si="277"/>
        <v>4.6684024372533601</v>
      </c>
      <c r="AA276" s="2">
        <f t="shared" si="277"/>
        <v>3.6805580909902371</v>
      </c>
      <c r="AB276" s="2">
        <f t="shared" si="277"/>
        <v>3.4159746144040763</v>
      </c>
      <c r="AC276" s="2">
        <f t="shared" si="277"/>
        <v>0.83764673523932176</v>
      </c>
      <c r="AD276" s="2">
        <f t="shared" si="277"/>
        <v>-1.9861009281052975</v>
      </c>
      <c r="AE276" s="2">
        <f t="shared" si="277"/>
        <v>-1.9999998705376691</v>
      </c>
      <c r="AF276" s="2">
        <f t="shared" si="277"/>
        <v>-4.9592697480237646E-2</v>
      </c>
      <c r="AG276" s="2">
        <f t="shared" si="277"/>
        <v>-1.9707804924902832</v>
      </c>
      <c r="AH276" s="2">
        <f t="shared" si="277"/>
        <v>-0.8368912895106253</v>
      </c>
      <c r="AI276" s="18">
        <f t="shared" si="264"/>
        <v>273</v>
      </c>
      <c r="AJ276" s="2">
        <f t="shared" si="265"/>
        <v>1</v>
      </c>
    </row>
    <row r="277" spans="1:36" ht="10.5" customHeight="1" x14ac:dyDescent="0.25">
      <c r="A277" s="17">
        <v>269</v>
      </c>
      <c r="B277" s="2">
        <f t="shared" si="261"/>
        <v>5.6745678615355217</v>
      </c>
      <c r="C277" s="4">
        <v>2</v>
      </c>
      <c r="D277" s="4">
        <v>23.702105509926401</v>
      </c>
      <c r="E277" s="18">
        <v>275</v>
      </c>
      <c r="F277" s="5">
        <v>0.2772</v>
      </c>
      <c r="G277" s="5">
        <v>1.2410000000000001</v>
      </c>
      <c r="H277" s="5">
        <v>0.80210000000000004</v>
      </c>
      <c r="I277" s="5">
        <v>5.5170000000000003</v>
      </c>
      <c r="J277" s="5">
        <v>0.66569999999999996</v>
      </c>
      <c r="K277" s="5">
        <v>0.42020000000000002</v>
      </c>
      <c r="L277" s="5">
        <v>11.37</v>
      </c>
      <c r="M277" s="5">
        <v>1.927</v>
      </c>
      <c r="N277" s="5">
        <v>0.1085</v>
      </c>
      <c r="O277" s="5">
        <v>1.6500000000000001E-2</v>
      </c>
      <c r="P277" s="5">
        <v>7.3099999999999997E-3</v>
      </c>
      <c r="Q277" s="5">
        <v>5.5759999999999996</v>
      </c>
      <c r="R277" s="5">
        <v>1.607</v>
      </c>
      <c r="S277" s="5">
        <v>8.2279999999999998</v>
      </c>
      <c r="T277" s="18">
        <f t="shared" si="262"/>
        <v>275</v>
      </c>
      <c r="U277" s="2">
        <f t="shared" ref="U277:AH277" si="278">IF(OR(F277=0,F277&lt;0.00001,F277&gt;100000),"",IF((IF(F277&gt;F$5,ABS(LOG(((F$5/SUM($F277:$S277))/(F$4/SUM($F$4:$S$4)))*4+2,2)),ABS(LOG(((F277/SUM($F277:$S277))/(F$4/SUM($F$4:$S$4)))*4+2,2)))-3)&gt;8,(IF(F277&gt;F$5,ABS(LOG(((F$5/SUM($F277:$S277))/(F$4/SUM($F$4:$S$4)))*4+2,2)),ABS(LOG(((F277/SUM($F277:$S277))/(F$4/SUM($F$4:$S$4)))*4+2,2)))-3)/7,IF(F277&gt;F$5,ABS(LOG(((F$5/SUM($F277:$S277))/(F$4/SUM($F$4:$S$4)))*4+2,2)),ABS(LOG(((F277/SUM($F277:$S277))/(F$4/SUM($F$4:$S$4)))*4+2,2)))-3))</f>
        <v>3.9198193599820055</v>
      </c>
      <c r="V277" s="2">
        <f t="shared" si="278"/>
        <v>4.3974384012429111</v>
      </c>
      <c r="W277" s="2">
        <f t="shared" si="278"/>
        <v>5.4369945317392929</v>
      </c>
      <c r="X277" s="2">
        <f t="shared" si="278"/>
        <v>5.2203817287238135</v>
      </c>
      <c r="Y277" s="2">
        <f t="shared" si="278"/>
        <v>2.3826141623908486</v>
      </c>
      <c r="Z277" s="2">
        <f t="shared" si="278"/>
        <v>1.3392576674714067</v>
      </c>
      <c r="AA277" s="2">
        <f t="shared" si="278"/>
        <v>1.1793045909192081</v>
      </c>
      <c r="AB277" s="2">
        <f t="shared" si="278"/>
        <v>4.780332754159307</v>
      </c>
      <c r="AC277" s="2">
        <f t="shared" si="278"/>
        <v>0.97349461703964302</v>
      </c>
      <c r="AD277" s="2">
        <f t="shared" si="278"/>
        <v>-1.9245388526823926</v>
      </c>
      <c r="AE277" s="2">
        <f t="shared" si="278"/>
        <v>-1.9999996126523809</v>
      </c>
      <c r="AF277" s="2">
        <f t="shared" si="278"/>
        <v>-1.300635540829596</v>
      </c>
      <c r="AG277" s="2">
        <f t="shared" si="278"/>
        <v>-0.63882019577570359</v>
      </c>
      <c r="AH277" s="2">
        <f t="shared" si="278"/>
        <v>-0.98872579397082827</v>
      </c>
      <c r="AI277" s="18">
        <f t="shared" si="264"/>
        <v>275</v>
      </c>
      <c r="AJ277" s="2">
        <f t="shared" si="265"/>
        <v>1</v>
      </c>
    </row>
    <row r="278" spans="1:36" ht="10.5" customHeight="1" x14ac:dyDescent="0.25">
      <c r="A278" s="17">
        <v>270</v>
      </c>
      <c r="B278" s="2">
        <f t="shared" si="261"/>
        <v>5.3901629517230774</v>
      </c>
      <c r="C278" s="4">
        <v>2</v>
      </c>
      <c r="D278" s="4">
        <v>25.798801843629501</v>
      </c>
      <c r="E278" s="18">
        <v>276</v>
      </c>
      <c r="F278" s="5">
        <v>0.1147</v>
      </c>
      <c r="G278" s="5">
        <v>3.9380000000000002</v>
      </c>
      <c r="H278" s="5">
        <v>5.57</v>
      </c>
      <c r="I278" s="5">
        <v>27.99</v>
      </c>
      <c r="J278" s="5">
        <v>0.21659999999999999</v>
      </c>
      <c r="K278" s="5">
        <v>0.31459999999999999</v>
      </c>
      <c r="L278" s="5">
        <v>63.51</v>
      </c>
      <c r="M278" s="5">
        <v>3.0649999999999999</v>
      </c>
      <c r="N278" s="5">
        <v>2.0179999999999998</v>
      </c>
      <c r="O278" s="5">
        <v>2.4500000000000001E-2</v>
      </c>
      <c r="P278" s="5">
        <v>1.49E-3</v>
      </c>
      <c r="Q278" s="5">
        <v>239.6</v>
      </c>
      <c r="R278" s="5">
        <v>3.0270000000000001</v>
      </c>
      <c r="S278" s="5">
        <v>114</v>
      </c>
      <c r="T278" s="18">
        <f t="shared" si="262"/>
        <v>276</v>
      </c>
      <c r="U278" s="2">
        <f t="shared" ref="U278:AH278" si="279">IF(OR(F278=0,F278&lt;0.00001,F278&gt;100000),"",IF((IF(F278&gt;F$5,ABS(LOG(((F$5/SUM($F278:$S278))/(F$4/SUM($F$4:$S$4)))*4+2,2)),ABS(LOG(((F278/SUM($F278:$S278))/(F$4/SUM($F$4:$S$4)))*4+2,2)))-3)&gt;8,(IF(F278&gt;F$5,ABS(LOG(((F$5/SUM($F278:$S278))/(F$4/SUM($F$4:$S$4)))*4+2,2)),ABS(LOG(((F278/SUM($F278:$S278))/(F$4/SUM($F$4:$S$4)))*4+2,2)))-3)/7,IF(F278&gt;F$5,ABS(LOG(((F$5/SUM($F278:$S278))/(F$4/SUM($F$4:$S$4)))*4+2,2)),ABS(LOG(((F278/SUM($F278:$S278))/(F$4/SUM($F$4:$S$4)))*4+2,2)))-3))</f>
        <v>-0.41132425724676569</v>
      </c>
      <c r="V278" s="2">
        <f t="shared" si="279"/>
        <v>2.4944861841920547</v>
      </c>
      <c r="W278" s="2">
        <f t="shared" si="279"/>
        <v>4.6220280656625414</v>
      </c>
      <c r="X278" s="2">
        <f t="shared" si="279"/>
        <v>3.9598352845588618</v>
      </c>
      <c r="Y278" s="2">
        <f t="shared" si="279"/>
        <v>-1.3896924589905468</v>
      </c>
      <c r="Z278" s="2">
        <f t="shared" si="279"/>
        <v>5.3484210552599087</v>
      </c>
      <c r="AA278" s="2">
        <f t="shared" si="279"/>
        <v>7.1211340169558763</v>
      </c>
      <c r="AB278" s="2">
        <f t="shared" si="279"/>
        <v>1.9182447180066475</v>
      </c>
      <c r="AC278" s="2">
        <f t="shared" si="279"/>
        <v>1.5096015821352475</v>
      </c>
      <c r="AD278" s="2">
        <f t="shared" si="279"/>
        <v>-1.9906560239471072</v>
      </c>
      <c r="AE278" s="2">
        <f t="shared" si="279"/>
        <v>-1.9999999684334773</v>
      </c>
      <c r="AF278" s="2">
        <f t="shared" si="279"/>
        <v>-0.3289884275586874</v>
      </c>
      <c r="AG278" s="2">
        <f t="shared" si="279"/>
        <v>-1.6886807612583177</v>
      </c>
      <c r="AH278" s="2">
        <f t="shared" si="279"/>
        <v>-0.89779425654673117</v>
      </c>
      <c r="AI278" s="18">
        <f t="shared" si="264"/>
        <v>276</v>
      </c>
      <c r="AJ278" s="2">
        <f t="shared" si="265"/>
        <v>1</v>
      </c>
    </row>
    <row r="279" spans="1:36" ht="10.5" customHeight="1" x14ac:dyDescent="0.25">
      <c r="A279" s="17">
        <v>271</v>
      </c>
      <c r="B279" s="2">
        <f t="shared" si="261"/>
        <v>7.0988645669498665</v>
      </c>
      <c r="C279" s="4">
        <v>2</v>
      </c>
      <c r="D279" s="4">
        <v>24.5480714881521</v>
      </c>
      <c r="E279" s="18">
        <v>278</v>
      </c>
      <c r="F279" s="5">
        <v>4.2999999999999997E-2</v>
      </c>
      <c r="G279" s="5">
        <v>0.81889999999999996</v>
      </c>
      <c r="H279" s="5">
        <v>2.1019999999999999</v>
      </c>
      <c r="I279" s="5">
        <v>2.5790000000000002</v>
      </c>
      <c r="J279" s="5">
        <v>2.5619999999999998</v>
      </c>
      <c r="K279" s="5">
        <v>0.53820000000000001</v>
      </c>
      <c r="L279" s="5">
        <v>3.6459999999999999</v>
      </c>
      <c r="M279" s="5">
        <v>1.81</v>
      </c>
      <c r="N279" s="5">
        <v>1.01E-2</v>
      </c>
      <c r="O279" s="5">
        <v>1.4039999999999999</v>
      </c>
      <c r="P279" s="5">
        <v>6.5399999999999998E-3</v>
      </c>
      <c r="Q279" s="5">
        <v>2.3119999999999998</v>
      </c>
      <c r="R279" s="5">
        <v>0.1105</v>
      </c>
      <c r="S279" s="5">
        <v>18.260000000000002</v>
      </c>
      <c r="T279" s="18">
        <f t="shared" si="262"/>
        <v>278</v>
      </c>
      <c r="U279" s="2">
        <f t="shared" ref="U279:AH279" si="280">IF(OR(F279=0,F279&lt;0.00001,F279&gt;100000),"",IF((IF(F279&gt;F$5,ABS(LOG(((F$5/SUM($F279:$S279))/(F$4/SUM($F$4:$S$4)))*4+2,2)),ABS(LOG(((F279/SUM($F279:$S279))/(F$4/SUM($F$4:$S$4)))*4+2,2)))-3)&gt;8,(IF(F279&gt;F$5,ABS(LOG(((F$5/SUM($F279:$S279))/(F$4/SUM($F$4:$S$4)))*4+2,2)),ABS(LOG(((F279/SUM($F279:$S279))/(F$4/SUM($F$4:$S$4)))*4+2,2)))-3)/7,IF(F279&gt;F$5,ABS(LOG(((F$5/SUM($F279:$S279))/(F$4/SUM($F$4:$S$4)))*4+2,2)),ABS(LOG(((F279/SUM($F279:$S279))/(F$4/SUM($F$4:$S$4)))*4+2,2)))-3))</f>
        <v>1.4106579748270383</v>
      </c>
      <c r="V279" s="2">
        <f t="shared" si="280"/>
        <v>3.8663367929316852</v>
      </c>
      <c r="W279" s="2">
        <f t="shared" si="280"/>
        <v>6.8825274005359631</v>
      </c>
      <c r="X279" s="2">
        <f t="shared" si="280"/>
        <v>4.1943532184363903</v>
      </c>
      <c r="Y279" s="2">
        <f t="shared" si="280"/>
        <v>4.3349613758466434</v>
      </c>
      <c r="Z279" s="2">
        <f t="shared" si="280"/>
        <v>1.3989495921666344</v>
      </c>
      <c r="AA279" s="2">
        <f t="shared" si="280"/>
        <v>6.6775470433529804</v>
      </c>
      <c r="AB279" s="2">
        <f t="shared" si="280"/>
        <v>4.7511504518538663</v>
      </c>
      <c r="AC279" s="2">
        <f t="shared" si="280"/>
        <v>-1.2639813218932165</v>
      </c>
      <c r="AD279" s="2">
        <f t="shared" si="280"/>
        <v>0.52763245844210482</v>
      </c>
      <c r="AE279" s="2">
        <f t="shared" si="280"/>
        <v>-1.9999995959474992</v>
      </c>
      <c r="AF279" s="2">
        <f t="shared" si="280"/>
        <v>-1.6554001543990395</v>
      </c>
      <c r="AG279" s="2">
        <f t="shared" si="280"/>
        <v>-1.8461474990324029</v>
      </c>
      <c r="AH279" s="2">
        <f t="shared" si="280"/>
        <v>-0.25528664550273206</v>
      </c>
      <c r="AI279" s="18">
        <f t="shared" si="264"/>
        <v>278</v>
      </c>
      <c r="AJ279" s="2">
        <f t="shared" si="265"/>
        <v>1</v>
      </c>
    </row>
    <row r="280" spans="1:36" ht="10.5" customHeight="1" x14ac:dyDescent="0.25">
      <c r="A280" s="17">
        <v>272</v>
      </c>
      <c r="B280" s="2">
        <f t="shared" si="261"/>
        <v>8.0037622299566706</v>
      </c>
      <c r="C280" s="4">
        <v>2</v>
      </c>
      <c r="D280" s="4">
        <v>25.704648448414801</v>
      </c>
      <c r="E280" s="18">
        <v>279</v>
      </c>
      <c r="F280" s="5">
        <v>0.48580000000000001</v>
      </c>
      <c r="G280" s="5">
        <v>1.2046999999999999</v>
      </c>
      <c r="H280" s="5">
        <v>2.597</v>
      </c>
      <c r="I280" s="5">
        <v>4.1369999999999996</v>
      </c>
      <c r="J280" s="5">
        <v>0.72384999999999999</v>
      </c>
      <c r="K280" s="5">
        <v>0.57769999999999999</v>
      </c>
      <c r="L280" s="5">
        <v>9.027000000000001</v>
      </c>
      <c r="M280" s="5">
        <v>2.1029999999999998</v>
      </c>
      <c r="N280" s="5">
        <v>1.5205E-2</v>
      </c>
      <c r="O280" s="5">
        <v>1.1820999999999999</v>
      </c>
      <c r="P280" s="5">
        <v>1.555E-2</v>
      </c>
      <c r="Q280" s="5">
        <v>17.674500000000002</v>
      </c>
      <c r="R280" s="5">
        <v>0.38009999999999999</v>
      </c>
      <c r="S280" s="5">
        <v>2.8395000000000001</v>
      </c>
      <c r="T280" s="18">
        <f t="shared" si="262"/>
        <v>279</v>
      </c>
      <c r="U280" s="2">
        <f t="shared" ref="U280:AH280" si="281">IF(OR(F280=0,F280&lt;0.00001,F280&gt;100000),"",IF((IF(F280&gt;F$5,ABS(LOG(((F$5/SUM($F280:$S280))/(F$4/SUM($F$4:$S$4)))*4+2,2)),ABS(LOG(((F280/SUM($F280:$S280))/(F$4/SUM($F$4:$S$4)))*4+2,2)))-3)&gt;8,(IF(F280&gt;F$5,ABS(LOG(((F$5/SUM($F280:$S280))/(F$4/SUM($F$4:$S$4)))*4+2,2)),ABS(LOG(((F280/SUM($F280:$S280))/(F$4/SUM($F$4:$S$4)))*4+2,2)))-3)/7,IF(F280&gt;F$5,ABS(LOG(((F$5/SUM($F280:$S280))/(F$4/SUM($F$4:$S$4)))*4+2,2)),ABS(LOG(((F280/SUM($F280:$S280))/(F$4/SUM($F$4:$S$4)))*4+2,2)))-3))</f>
        <v>4.5347677996777644</v>
      </c>
      <c r="V280" s="2">
        <f t="shared" si="281"/>
        <v>4.1714472207862823</v>
      </c>
      <c r="W280" s="2">
        <f t="shared" si="281"/>
        <v>6.9404742110282172</v>
      </c>
      <c r="X280" s="2">
        <f t="shared" si="281"/>
        <v>4.6239754942210896</v>
      </c>
      <c r="Y280" s="2">
        <f t="shared" si="281"/>
        <v>2.3205287789114113</v>
      </c>
      <c r="Z280" s="2">
        <f t="shared" si="281"/>
        <v>1.3782646080122032</v>
      </c>
      <c r="AA280" s="2">
        <f t="shared" si="281"/>
        <v>7.7366274015252543</v>
      </c>
      <c r="AB280" s="2">
        <f t="shared" si="281"/>
        <v>4.720880330295115</v>
      </c>
      <c r="AC280" s="2">
        <f t="shared" si="281"/>
        <v>-1.1169193229382286</v>
      </c>
      <c r="AD280" s="2">
        <f t="shared" si="281"/>
        <v>0.13141201692858573</v>
      </c>
      <c r="AE280" s="2">
        <f t="shared" si="281"/>
        <v>-1.9999996595301954</v>
      </c>
      <c r="AF280" s="2">
        <f t="shared" si="281"/>
        <v>-0.54689814049517071</v>
      </c>
      <c r="AG280" s="2">
        <f t="shared" si="281"/>
        <v>-1.5927136238717876</v>
      </c>
      <c r="AH280" s="2">
        <f t="shared" si="281"/>
        <v>-1.6125310562921791</v>
      </c>
      <c r="AI280" s="18">
        <f t="shared" si="264"/>
        <v>279</v>
      </c>
      <c r="AJ280" s="2">
        <f t="shared" si="265"/>
        <v>1</v>
      </c>
    </row>
    <row r="281" spans="1:36" ht="10.5" customHeight="1" x14ac:dyDescent="0.25">
      <c r="A281" s="17">
        <v>273</v>
      </c>
      <c r="B281" s="2">
        <f t="shared" si="261"/>
        <v>6.6322207385955156</v>
      </c>
      <c r="C281" s="4">
        <v>2</v>
      </c>
      <c r="D281" s="4">
        <v>20.495027085443301</v>
      </c>
      <c r="E281" s="18" t="s">
        <v>55</v>
      </c>
      <c r="F281" s="5">
        <v>2.8400000000000001E-3</v>
      </c>
      <c r="G281" s="5">
        <v>1.7370000000000001</v>
      </c>
      <c r="H281" s="5">
        <v>0.29859999999999998</v>
      </c>
      <c r="I281" s="5">
        <v>1.706</v>
      </c>
      <c r="J281" s="5">
        <v>2.9129999999999998</v>
      </c>
      <c r="K281" s="5">
        <v>7.5200000000000003E-2</v>
      </c>
      <c r="L281" s="5">
        <v>3.0110000000000001</v>
      </c>
      <c r="M281" s="5">
        <v>1.387</v>
      </c>
      <c r="N281" s="5">
        <v>0.31509999999999999</v>
      </c>
      <c r="O281" s="5">
        <v>0.99509999999999998</v>
      </c>
      <c r="P281" s="5">
        <v>1.3480000000000001</v>
      </c>
      <c r="Q281" s="5">
        <v>0.15409999999999999</v>
      </c>
      <c r="R281" s="5">
        <v>0.1036</v>
      </c>
      <c r="S281" s="5">
        <v>38.409999999999997</v>
      </c>
      <c r="T281" s="18" t="str">
        <f t="shared" si="262"/>
        <v>GG-C</v>
      </c>
      <c r="U281" s="2">
        <f t="shared" ref="U281:AH281" si="282">IF(OR(F281=0,F281&lt;0.00001,F281&gt;100000),"",IF((IF(F281&gt;F$5,ABS(LOG(((F$5/SUM($F281:$S281))/(F$4/SUM($F$4:$S$4)))*4+2,2)),ABS(LOG(((F281/SUM($F281:$S281))/(F$4/SUM($F$4:$S$4)))*4+2,2)))-3)&gt;8,(IF(F281&gt;F$5,ABS(LOG(((F$5/SUM($F281:$S281))/(F$4/SUM($F$4:$S$4)))*4+2,2)),ABS(LOG(((F281/SUM($F281:$S281))/(F$4/SUM($F$4:$S$4)))*4+2,2)))-3)/7,IF(F281&gt;F$5,ABS(LOG(((F$5/SUM($F281:$S281))/(F$4/SUM($F$4:$S$4)))*4+2,2)),ABS(LOG(((F281/SUM($F281:$S281))/(F$4/SUM($F$4:$S$4)))*4+2,2)))-3))</f>
        <v>-1.4747885424309322</v>
      </c>
      <c r="V281" s="2">
        <f t="shared" si="282"/>
        <v>4.4082736690342195</v>
      </c>
      <c r="W281" s="2">
        <f t="shared" si="282"/>
        <v>3.5598595990536364</v>
      </c>
      <c r="X281" s="2">
        <f t="shared" si="282"/>
        <v>3.0863801895884286</v>
      </c>
      <c r="Y281" s="2">
        <f t="shared" si="282"/>
        <v>3.9900483889994183</v>
      </c>
      <c r="Z281" s="2">
        <f t="shared" si="282"/>
        <v>6.422071148891769</v>
      </c>
      <c r="AA281" s="2">
        <f t="shared" si="282"/>
        <v>5.8690877666408117</v>
      </c>
      <c r="AB281" s="2">
        <f t="shared" si="282"/>
        <v>3.8439674220248339</v>
      </c>
      <c r="AC281" s="2">
        <f t="shared" si="282"/>
        <v>1.9383243131150385</v>
      </c>
      <c r="AD281" s="2">
        <f t="shared" si="282"/>
        <v>-0.26388278429504286</v>
      </c>
      <c r="AE281" s="2">
        <f t="shared" si="282"/>
        <v>-1.9999997211480924</v>
      </c>
      <c r="AF281" s="2">
        <f t="shared" si="282"/>
        <v>-1.9822055742367684</v>
      </c>
      <c r="AG281" s="2">
        <f t="shared" si="282"/>
        <v>-1.8985974840634143</v>
      </c>
      <c r="AH281" s="2">
        <f t="shared" si="282"/>
        <v>0.14188276094298224</v>
      </c>
      <c r="AI281" s="18" t="str">
        <f t="shared" si="264"/>
        <v>GG-C</v>
      </c>
      <c r="AJ281" s="2">
        <f t="shared" si="265"/>
        <v>1</v>
      </c>
    </row>
    <row r="282" spans="1:36" ht="10.5" customHeight="1" x14ac:dyDescent="0.25">
      <c r="A282" s="17">
        <v>274</v>
      </c>
      <c r="B282" s="2">
        <f t="shared" si="261"/>
        <v>6.3231753999295472</v>
      </c>
      <c r="C282" s="4">
        <v>2</v>
      </c>
      <c r="D282" s="4">
        <v>22.84762965644935</v>
      </c>
      <c r="E282" s="18" t="s">
        <v>56</v>
      </c>
      <c r="F282" s="5">
        <v>7.9750000000000001E-2</v>
      </c>
      <c r="G282" s="5">
        <v>4</v>
      </c>
      <c r="H282" s="5">
        <v>2.9750000000000001</v>
      </c>
      <c r="I282" s="5">
        <v>1.5609999999999999</v>
      </c>
      <c r="J282" s="5">
        <v>3.91</v>
      </c>
      <c r="K282" s="5">
        <v>0.76029999999999998</v>
      </c>
      <c r="L282" s="5">
        <v>5.4979999999999993</v>
      </c>
      <c r="M282" s="5">
        <v>2.8085</v>
      </c>
      <c r="N282" s="5">
        <v>7.7059999999999995</v>
      </c>
      <c r="O282" s="5">
        <v>35.519999999999996</v>
      </c>
      <c r="P282" s="5">
        <v>1.2734999999999999</v>
      </c>
      <c r="Q282" s="5">
        <v>13.06</v>
      </c>
      <c r="R282" s="5">
        <v>0.57945000000000002</v>
      </c>
      <c r="S282" s="5">
        <v>65.960000000000008</v>
      </c>
      <c r="T282" s="18" t="str">
        <f t="shared" si="262"/>
        <v>JH-C</v>
      </c>
      <c r="U282" s="2">
        <f t="shared" ref="U282:AH282" si="283">IF(OR(F282=0,F282&lt;0.00001,F282&gt;100000),"",IF((IF(F282&gt;F$5,ABS(LOG(((F$5/SUM($F282:$S282))/(F$4/SUM($F$4:$S$4)))*4+2,2)),ABS(LOG(((F282/SUM($F282:$S282))/(F$4/SUM($F$4:$S$4)))*4+2,2)))-3)&gt;8,(IF(F282&gt;F$5,ABS(LOG(((F$5/SUM($F282:$S282))/(F$4/SUM($F$4:$S$4)))*4+2,2)),ABS(LOG(((F282/SUM($F282:$S282))/(F$4/SUM($F$4:$S$4)))*4+2,2)))-3)/7,IF(F282&gt;F$5,ABS(LOG(((F$5/SUM($F282:$S282))/(F$4/SUM($F$4:$S$4)))*4+2,2)),ABS(LOG(((F282/SUM($F282:$S282))/(F$4/SUM($F$4:$S$4)))*4+2,2)))-3))</f>
        <v>0.44361277310975566</v>
      </c>
      <c r="V282" s="2">
        <f t="shared" si="283"/>
        <v>4.1414499230737745</v>
      </c>
      <c r="W282" s="2">
        <f t="shared" si="283"/>
        <v>5.3805126257173566</v>
      </c>
      <c r="X282" s="2">
        <f t="shared" si="283"/>
        <v>1.5684507488371704</v>
      </c>
      <c r="Y282" s="2">
        <f t="shared" si="283"/>
        <v>2.9650556883281283</v>
      </c>
      <c r="Z282" s="2">
        <f t="shared" si="283"/>
        <v>1.1832941909744246</v>
      </c>
      <c r="AA282" s="2">
        <f t="shared" si="283"/>
        <v>5.2672414797168781</v>
      </c>
      <c r="AB282" s="2">
        <f t="shared" si="283"/>
        <v>3.3973813614506376</v>
      </c>
      <c r="AC282" s="2">
        <f t="shared" si="283"/>
        <v>4.9907744772196647</v>
      </c>
      <c r="AD282" s="2">
        <f t="shared" si="283"/>
        <v>2.9524677734262017</v>
      </c>
      <c r="AE282" s="2">
        <f t="shared" si="283"/>
        <v>-1.9999998995987607</v>
      </c>
      <c r="AF282" s="2">
        <f t="shared" si="283"/>
        <v>-1.5366903579767781</v>
      </c>
      <c r="AG282" s="2">
        <f t="shared" si="283"/>
        <v>-1.8025894539117298</v>
      </c>
      <c r="AH282" s="2">
        <f t="shared" si="283"/>
        <v>-0.36285219000605151</v>
      </c>
      <c r="AI282" s="18" t="str">
        <f t="shared" si="264"/>
        <v>JH-C</v>
      </c>
      <c r="AJ282" s="2">
        <f t="shared" si="265"/>
        <v>1</v>
      </c>
    </row>
    <row r="283" spans="1:36" ht="10.5" customHeight="1" x14ac:dyDescent="0.25">
      <c r="A283" s="17">
        <v>275</v>
      </c>
      <c r="B283" s="2">
        <f t="shared" si="261"/>
        <v>7.0871866780681749</v>
      </c>
      <c r="C283" s="4">
        <v>2</v>
      </c>
      <c r="D283" s="4">
        <v>25.514019644784899</v>
      </c>
      <c r="E283" s="18" t="s">
        <v>57</v>
      </c>
      <c r="F283" s="5">
        <v>0.1668</v>
      </c>
      <c r="G283" s="5">
        <v>4.093</v>
      </c>
      <c r="H283" s="5">
        <v>2.5830000000000002</v>
      </c>
      <c r="I283" s="5">
        <v>1.571</v>
      </c>
      <c r="J283" s="5">
        <v>3.512</v>
      </c>
      <c r="K283" s="5">
        <v>1.07</v>
      </c>
      <c r="L283" s="5">
        <v>5.157</v>
      </c>
      <c r="M283" s="5">
        <v>2.5350000000000001</v>
      </c>
      <c r="N283" s="5">
        <v>2.4500000000000002</v>
      </c>
      <c r="O283" s="5">
        <v>14.35</v>
      </c>
      <c r="P283" s="5">
        <v>1.954</v>
      </c>
      <c r="Q283" s="5">
        <v>20.58</v>
      </c>
      <c r="R283" s="5">
        <v>1.44</v>
      </c>
      <c r="S283" s="5">
        <v>37.5</v>
      </c>
      <c r="T283" s="18" t="str">
        <f t="shared" si="262"/>
        <v>LH-C</v>
      </c>
      <c r="U283" s="2">
        <f t="shared" ref="U283:AH283" si="284">IF(OR(F283=0,F283&lt;0.00001,F283&gt;100000),"",IF((IF(F283&gt;F$5,ABS(LOG(((F$5/SUM($F283:$S283))/(F$4/SUM($F$4:$S$4)))*4+2,2)),ABS(LOG(((F283/SUM($F283:$S283))/(F$4/SUM($F$4:$S$4)))*4+2,2)))-3)&gt;8,(IF(F283&gt;F$5,ABS(LOG(((F$5/SUM($F283:$S283))/(F$4/SUM($F$4:$S$4)))*4+2,2)),ABS(LOG(((F283/SUM($F283:$S283))/(F$4/SUM($F$4:$S$4)))*4+2,2)))-3)/7,IF(F283&gt;F$5,ABS(LOG(((F$5/SUM($F283:$S283))/(F$4/SUM($F$4:$S$4)))*4+2,2)),ABS(LOG(((F283/SUM($F283:$S283))/(F$4/SUM($F$4:$S$4)))*4+2,2)))-3))</f>
        <v>1.874947706215802</v>
      </c>
      <c r="V283" s="2">
        <f t="shared" si="284"/>
        <v>4.7256948223021711</v>
      </c>
      <c r="W283" s="2">
        <f t="shared" si="284"/>
        <v>5.732757932178318</v>
      </c>
      <c r="X283" s="2">
        <f t="shared" si="284"/>
        <v>2.0955537540024638</v>
      </c>
      <c r="Y283" s="2">
        <f t="shared" si="284"/>
        <v>3.3568493300244393</v>
      </c>
      <c r="Z283" s="2">
        <f t="shared" si="284"/>
        <v>1.3333433353046562</v>
      </c>
      <c r="AA283" s="2">
        <f t="shared" si="284"/>
        <v>5.7302541708343799</v>
      </c>
      <c r="AB283" s="2">
        <f t="shared" si="284"/>
        <v>3.7990449816892093</v>
      </c>
      <c r="AC283" s="2">
        <f t="shared" si="284"/>
        <v>3.9083812084798115</v>
      </c>
      <c r="AD283" s="2">
        <f t="shared" si="284"/>
        <v>2.2342621316968945</v>
      </c>
      <c r="AE283" s="2">
        <f t="shared" si="284"/>
        <v>-1.9999998521893612</v>
      </c>
      <c r="AF283" s="2">
        <f t="shared" si="284"/>
        <v>-1.0903823120360787</v>
      </c>
      <c r="AG283" s="2">
        <f t="shared" si="284"/>
        <v>-1.3803623824117024</v>
      </c>
      <c r="AH283" s="2">
        <f t="shared" si="284"/>
        <v>-0.53196025793772561</v>
      </c>
      <c r="AI283" s="18" t="str">
        <f t="shared" si="264"/>
        <v>LH-C</v>
      </c>
      <c r="AJ283" s="2">
        <f t="shared" si="265"/>
        <v>1</v>
      </c>
    </row>
    <row r="284" spans="1:36" ht="10.5" customHeight="1" x14ac:dyDescent="0.25">
      <c r="A284" s="17">
        <v>276</v>
      </c>
      <c r="B284" s="2">
        <f t="shared" si="261"/>
        <v>5.5577988831451934</v>
      </c>
      <c r="C284" s="4">
        <v>2</v>
      </c>
      <c r="D284" s="4">
        <v>32.029934256829698</v>
      </c>
      <c r="E284" s="18" t="s">
        <v>58</v>
      </c>
      <c r="F284" s="5">
        <v>0.65010000000000001</v>
      </c>
      <c r="G284" s="5">
        <v>5.694399999999999</v>
      </c>
      <c r="H284" s="5">
        <v>50.234999999999999</v>
      </c>
      <c r="I284" s="5">
        <v>1.9824999999999999</v>
      </c>
      <c r="J284" s="5">
        <v>3.048</v>
      </c>
      <c r="K284" s="5">
        <v>18.600000000000001</v>
      </c>
      <c r="L284" s="5">
        <v>4.0265000000000004</v>
      </c>
      <c r="M284" s="5">
        <v>6.4850000000000003</v>
      </c>
      <c r="N284" s="5">
        <v>14.559999999999999</v>
      </c>
      <c r="O284" s="5">
        <v>13.746500000000001</v>
      </c>
      <c r="P284" s="5">
        <v>3.21</v>
      </c>
      <c r="Q284" s="5">
        <v>4.7125000000000004</v>
      </c>
      <c r="R284" s="5">
        <v>0.45004999999999995</v>
      </c>
      <c r="S284" s="5">
        <v>67.634999999999991</v>
      </c>
      <c r="T284" s="18" t="str">
        <f t="shared" si="262"/>
        <v>MB-C</v>
      </c>
      <c r="U284" s="2">
        <f t="shared" ref="U284:AH284" si="285">IF(OR(F284=0,F284&lt;0.00001,F284&gt;100000),"",IF((IF(F284&gt;F$5,ABS(LOG(((F$5/SUM($F284:$S284))/(F$4/SUM($F$4:$S$4)))*4+2,2)),ABS(LOG(((F284/SUM($F284:$S284))/(F$4/SUM($F$4:$S$4)))*4+2,2)))-3)&gt;8,(IF(F284&gt;F$5,ABS(LOG(((F$5/SUM($F284:$S284))/(F$4/SUM($F$4:$S$4)))*4+2,2)),ABS(LOG(((F284/SUM($F284:$S284))/(F$4/SUM($F$4:$S$4)))*4+2,2)))-3)/7,IF(F284&gt;F$5,ABS(LOG(((F$5/SUM($F284:$S284))/(F$4/SUM($F$4:$S$4)))*4+2,2)),ABS(LOG(((F284/SUM($F284:$S284))/(F$4/SUM($F$4:$S$4)))*4+2,2)))-3))</f>
        <v>2.8092493074152065</v>
      </c>
      <c r="V284" s="2">
        <f t="shared" si="285"/>
        <v>4.0440068971099121</v>
      </c>
      <c r="W284" s="2">
        <f t="shared" si="285"/>
        <v>1.2429876454013393</v>
      </c>
      <c r="X284" s="2">
        <f t="shared" si="285"/>
        <v>1.4990410503540668</v>
      </c>
      <c r="Y284" s="2">
        <f t="shared" si="285"/>
        <v>2.217685780082749</v>
      </c>
      <c r="Z284" s="2">
        <f t="shared" si="285"/>
        <v>1.2172081185921575</v>
      </c>
      <c r="AA284" s="2">
        <f t="shared" si="285"/>
        <v>4.4047733500613342</v>
      </c>
      <c r="AB284" s="2">
        <f t="shared" si="285"/>
        <v>4.169410725419973</v>
      </c>
      <c r="AC284" s="2">
        <f t="shared" si="285"/>
        <v>5.4846000882495627</v>
      </c>
      <c r="AD284" s="2">
        <f t="shared" si="285"/>
        <v>1.2723367225848916</v>
      </c>
      <c r="AE284" s="2">
        <f t="shared" si="285"/>
        <v>-1.9999999250003024</v>
      </c>
      <c r="AF284" s="2">
        <f t="shared" si="285"/>
        <v>-1.8597758332244183</v>
      </c>
      <c r="AG284" s="2">
        <f t="shared" si="285"/>
        <v>-1.8822023444903384</v>
      </c>
      <c r="AH284" s="2">
        <f t="shared" si="285"/>
        <v>-0.61231759790875628</v>
      </c>
      <c r="AI284" s="18" t="str">
        <f t="shared" si="264"/>
        <v>MB-C</v>
      </c>
      <c r="AJ284" s="2">
        <f t="shared" si="265"/>
        <v>2.7630959941937689</v>
      </c>
    </row>
    <row r="285" spans="1:36" ht="10.5" customHeight="1" x14ac:dyDescent="0.25">
      <c r="A285" s="17">
        <v>277</v>
      </c>
      <c r="B285" s="2">
        <f t="shared" si="261"/>
        <v>6.5729437930885455</v>
      </c>
      <c r="C285" s="4">
        <v>2</v>
      </c>
      <c r="D285" s="4">
        <v>24.589756911609499</v>
      </c>
      <c r="E285" s="18" t="s">
        <v>59</v>
      </c>
      <c r="F285" s="5">
        <v>8.5800000000000001E-2</v>
      </c>
      <c r="G285" s="5">
        <v>5.673</v>
      </c>
      <c r="H285" s="5">
        <v>4.0090000000000003</v>
      </c>
      <c r="I285" s="5">
        <v>0.6633</v>
      </c>
      <c r="J285" s="5">
        <v>7.9409999999999998</v>
      </c>
      <c r="K285" s="5">
        <v>1.88</v>
      </c>
      <c r="L285" s="5">
        <v>1.4419999999999999</v>
      </c>
      <c r="M285" s="5">
        <v>1.982</v>
      </c>
      <c r="N285" s="5">
        <v>1.9259999999999999</v>
      </c>
      <c r="O285" s="5">
        <v>16.739999999999998</v>
      </c>
      <c r="P285" s="5">
        <v>0.2326</v>
      </c>
      <c r="Q285" s="5">
        <v>17.46</v>
      </c>
      <c r="R285" s="5">
        <v>5.5E-2</v>
      </c>
      <c r="S285" s="5">
        <v>48.94</v>
      </c>
      <c r="T285" s="18" t="str">
        <f t="shared" si="262"/>
        <v>MP-C</v>
      </c>
      <c r="U285" s="2">
        <f t="shared" ref="U285:AH285" si="286">IF(OR(F285=0,F285&lt;0.00001,F285&gt;100000),"",IF((IF(F285&gt;F$5,ABS(LOG(((F$5/SUM($F285:$S285))/(F$4/SUM($F$4:$S$4)))*4+2,2)),ABS(LOG(((F285/SUM($F285:$S285))/(F$4/SUM($F$4:$S$4)))*4+2,2)))-3)&gt;8,(IF(F285&gt;F$5,ABS(LOG(((F$5/SUM($F285:$S285))/(F$4/SUM($F$4:$S$4)))*4+2,2)),ABS(LOG(((F285/SUM($F285:$S285))/(F$4/SUM($F$4:$S$4)))*4+2,2)))-3)/7,IF(F285&gt;F$5,ABS(LOG(((F$5/SUM($F285:$S285))/(F$4/SUM($F$4:$S$4)))*4+2,2)),ABS(LOG(((F285/SUM($F285:$S285))/(F$4/SUM($F$4:$S$4)))*4+2,2)))-3))</f>
        <v>0.88422547386819828</v>
      </c>
      <c r="V285" s="2">
        <f t="shared" si="286"/>
        <v>4.8733485925680338</v>
      </c>
      <c r="W285" s="2">
        <f t="shared" si="286"/>
        <v>6.2252059064375054</v>
      </c>
      <c r="X285" s="2">
        <f t="shared" si="286"/>
        <v>0.84162660417231105</v>
      </c>
      <c r="Y285" s="2">
        <f t="shared" si="286"/>
        <v>4.3759346761062403</v>
      </c>
      <c r="Z285" s="2">
        <f t="shared" si="286"/>
        <v>1.3370056527623631</v>
      </c>
      <c r="AA285" s="2">
        <f t="shared" si="286"/>
        <v>3.7718543674023461</v>
      </c>
      <c r="AB285" s="2">
        <f t="shared" si="286"/>
        <v>3.3148010042464673</v>
      </c>
      <c r="AC285" s="2">
        <f t="shared" si="286"/>
        <v>3.4310411325420604</v>
      </c>
      <c r="AD285" s="2">
        <f t="shared" si="286"/>
        <v>2.3124680775508795</v>
      </c>
      <c r="AE285" s="2">
        <f t="shared" si="286"/>
        <v>-1.9999998658383269</v>
      </c>
      <c r="AF285" s="2">
        <f t="shared" si="286"/>
        <v>-1.2545218553301134</v>
      </c>
      <c r="AG285" s="2">
        <f t="shared" si="286"/>
        <v>-1.9734141368272387</v>
      </c>
      <c r="AH285" s="2">
        <f t="shared" si="286"/>
        <v>-0.37124172560677504</v>
      </c>
      <c r="AI285" s="18" t="str">
        <f t="shared" si="264"/>
        <v>MP-C</v>
      </c>
      <c r="AJ285" s="2">
        <f t="shared" si="265"/>
        <v>1</v>
      </c>
    </row>
    <row r="286" spans="1:36" ht="10.5" customHeight="1" x14ac:dyDescent="0.25">
      <c r="A286" s="17">
        <v>278</v>
      </c>
      <c r="B286" s="2">
        <f t="shared" si="261"/>
        <v>5.2404279063900159</v>
      </c>
      <c r="C286" s="4">
        <v>2</v>
      </c>
      <c r="D286" s="4">
        <v>20.331386590473052</v>
      </c>
      <c r="E286" s="18" t="s">
        <v>60</v>
      </c>
      <c r="F286" s="5">
        <v>0.33139999999999997</v>
      </c>
      <c r="G286" s="5">
        <v>1.6020000000000001</v>
      </c>
      <c r="H286" s="5">
        <v>0.38840000000000002</v>
      </c>
      <c r="I286" s="5">
        <v>2.0950000000000002</v>
      </c>
      <c r="J286" s="5">
        <v>2.536</v>
      </c>
      <c r="K286" s="5">
        <v>0.1721</v>
      </c>
      <c r="L286" s="5">
        <v>3.5659999999999998</v>
      </c>
      <c r="M286" s="5">
        <v>1.631</v>
      </c>
      <c r="N286" s="5">
        <v>0.59599999999999997</v>
      </c>
      <c r="O286" s="5">
        <v>3.6190000000000002</v>
      </c>
      <c r="P286" s="5">
        <v>2.3090000000000002</v>
      </c>
      <c r="Q286" s="5">
        <v>26.03</v>
      </c>
      <c r="R286" s="5">
        <v>0.19969999999999999</v>
      </c>
      <c r="S286" s="5">
        <v>128.4</v>
      </c>
      <c r="T286" s="18" t="str">
        <f t="shared" si="262"/>
        <v>OPMD</v>
      </c>
      <c r="U286" s="2">
        <f t="shared" ref="U286:AH286" si="287">IF(OR(F286=0,F286&lt;0.00001,F286&gt;100000),"",IF((IF(F286&gt;F$5,ABS(LOG(((F$5/SUM($F286:$S286))/(F$4/SUM($F$4:$S$4)))*4+2,2)),ABS(LOG(((F286/SUM($F286:$S286))/(F$4/SUM($F$4:$S$4)))*4+2,2)))-3)&gt;8,(IF(F286&gt;F$5,ABS(LOG(((F$5/SUM($F286:$S286))/(F$4/SUM($F$4:$S$4)))*4+2,2)),ABS(LOG(((F286/SUM($F286:$S286))/(F$4/SUM($F$4:$S$4)))*4+2,2)))-3)/7,IF(F286&gt;F$5,ABS(LOG(((F$5/SUM($F286:$S286))/(F$4/SUM($F$4:$S$4)))*4+2,2)),ABS(LOG(((F286/SUM($F286:$S286))/(F$4/SUM($F$4:$S$4)))*4+2,2)))-3))</f>
        <v>2.0439920605513731</v>
      </c>
      <c r="V286" s="2">
        <f t="shared" si="287"/>
        <v>2.6092776474838475</v>
      </c>
      <c r="W286" s="2">
        <f t="shared" si="287"/>
        <v>2.2600688846974952</v>
      </c>
      <c r="X286" s="2">
        <f t="shared" si="287"/>
        <v>1.7273317252947411</v>
      </c>
      <c r="Y286" s="2">
        <f t="shared" si="287"/>
        <v>2.1267247308327217</v>
      </c>
      <c r="Z286" s="2">
        <f t="shared" si="287"/>
        <v>5.8928460861185457</v>
      </c>
      <c r="AA286" s="2">
        <f t="shared" si="287"/>
        <v>4.3986315891128722</v>
      </c>
      <c r="AB286" s="2">
        <f t="shared" si="287"/>
        <v>2.3970340643832326</v>
      </c>
      <c r="AC286" s="2">
        <f t="shared" si="287"/>
        <v>1.2010530841241653</v>
      </c>
      <c r="AD286" s="2">
        <f t="shared" si="287"/>
        <v>-0.16655767853284464</v>
      </c>
      <c r="AE286" s="2">
        <f t="shared" si="287"/>
        <v>-1.9999999156791661</v>
      </c>
      <c r="AF286" s="2">
        <f t="shared" si="287"/>
        <v>-1.2916770375032214</v>
      </c>
      <c r="AG286" s="2">
        <f t="shared" si="287"/>
        <v>-1.9400315452139987</v>
      </c>
      <c r="AH286" s="2">
        <f t="shared" si="287"/>
        <v>0.1539264677428811</v>
      </c>
      <c r="AI286" s="18" t="str">
        <f t="shared" si="264"/>
        <v>OPMD</v>
      </c>
      <c r="AJ286" s="2">
        <f t="shared" si="265"/>
        <v>1</v>
      </c>
    </row>
    <row r="287" spans="1:36" ht="10.5" customHeight="1" x14ac:dyDescent="0.25">
      <c r="A287" s="17">
        <v>279</v>
      </c>
      <c r="B287" s="2">
        <f t="shared" si="261"/>
        <v>5.2158064776642048</v>
      </c>
      <c r="C287" s="4">
        <v>2</v>
      </c>
      <c r="D287" s="4">
        <v>21.44802451584885</v>
      </c>
      <c r="E287" s="18" t="s">
        <v>61</v>
      </c>
      <c r="F287" s="5">
        <v>3.7550000000000001E-3</v>
      </c>
      <c r="G287" s="5">
        <v>0.2319</v>
      </c>
      <c r="H287" s="5">
        <v>6.0450000000000004E-2</v>
      </c>
      <c r="I287" s="5">
        <v>1.7380000000000002</v>
      </c>
      <c r="J287" s="5">
        <v>1.9715000000000003</v>
      </c>
      <c r="K287" s="5">
        <v>0.25549999999999995</v>
      </c>
      <c r="L287" s="5">
        <v>1.2545000000000002</v>
      </c>
      <c r="M287" s="5">
        <v>0.17995</v>
      </c>
      <c r="N287" s="5">
        <v>7.685E-3</v>
      </c>
      <c r="O287" s="5">
        <v>2.7160000000000002</v>
      </c>
      <c r="P287" s="5">
        <v>7.2785000000000002</v>
      </c>
      <c r="Q287" s="5">
        <v>0.25324999999999998</v>
      </c>
      <c r="R287" s="5">
        <v>3.8264999999999998</v>
      </c>
      <c r="S287" s="5">
        <v>11.395</v>
      </c>
      <c r="T287" s="18" t="str">
        <f t="shared" si="262"/>
        <v>PSCC</v>
      </c>
      <c r="U287" s="2">
        <f t="shared" ref="U287:AH287" si="288">IF(OR(F287=0,F287&lt;0.00001,F287&gt;100000),"",IF((IF(F287&gt;F$5,ABS(LOG(((F$5/SUM($F287:$S287))/(F$4/SUM($F$4:$S$4)))*4+2,2)),ABS(LOG(((F287/SUM($F287:$S287))/(F$4/SUM($F$4:$S$4)))*4+2,2)))-3)&gt;8,(IF(F287&gt;F$5,ABS(LOG(((F$5/SUM($F287:$S287))/(F$4/SUM($F$4:$S$4)))*4+2,2)),ABS(LOG(((F287/SUM($F287:$S287))/(F$4/SUM($F$4:$S$4)))*4+2,2)))-3)/7,IF(F287&gt;F$5,ABS(LOG(((F$5/SUM($F287:$S287))/(F$4/SUM($F$4:$S$4)))*4+2,2)),ABS(LOG(((F287/SUM($F287:$S287))/(F$4/SUM($F$4:$S$4)))*4+2,2)))-3))</f>
        <v>-1.0166335541890927</v>
      </c>
      <c r="V287" s="2">
        <f t="shared" si="288"/>
        <v>2.3115613418627428</v>
      </c>
      <c r="W287" s="2">
        <f t="shared" si="288"/>
        <v>2.0643181875994134</v>
      </c>
      <c r="X287" s="2">
        <f t="shared" si="288"/>
        <v>3.8462362204992901</v>
      </c>
      <c r="Y287" s="2">
        <f t="shared" si="288"/>
        <v>4.1749147831961464</v>
      </c>
      <c r="Z287" s="2">
        <f t="shared" si="288"/>
        <v>1.276280645037088</v>
      </c>
      <c r="AA287" s="2">
        <f t="shared" si="288"/>
        <v>5.3594350293009541</v>
      </c>
      <c r="AB287" s="2">
        <f t="shared" si="288"/>
        <v>1.7357520141007088</v>
      </c>
      <c r="AC287" s="2">
        <f t="shared" si="288"/>
        <v>-1.3326600651765623</v>
      </c>
      <c r="AD287" s="2">
        <f t="shared" si="288"/>
        <v>1.5494067167981509</v>
      </c>
      <c r="AE287" s="2">
        <f t="shared" si="288"/>
        <v>-1.9999995307527481</v>
      </c>
      <c r="AF287" s="2">
        <f t="shared" si="288"/>
        <v>-1.9513153949424173</v>
      </c>
      <c r="AG287" s="2">
        <f t="shared" si="288"/>
        <v>0.46618589134493016</v>
      </c>
      <c r="AH287" s="2">
        <f t="shared" si="288"/>
        <v>-0.5648781626912398</v>
      </c>
      <c r="AI287" s="18" t="str">
        <f t="shared" si="264"/>
        <v>PSCC</v>
      </c>
      <c r="AJ287" s="2">
        <f t="shared" si="265"/>
        <v>1</v>
      </c>
    </row>
    <row r="288" spans="1:36" ht="10.5" customHeight="1" x14ac:dyDescent="0.25">
      <c r="A288" s="17">
        <v>280</v>
      </c>
      <c r="B288" s="2">
        <f t="shared" si="261"/>
        <v>8.1946408402545536</v>
      </c>
      <c r="C288" s="4">
        <v>2</v>
      </c>
      <c r="D288" s="4">
        <v>23.752514873627799</v>
      </c>
      <c r="E288" s="18" t="s">
        <v>62</v>
      </c>
      <c r="F288" s="5">
        <v>1.93</v>
      </c>
      <c r="G288" s="5">
        <v>9.1389999999999993</v>
      </c>
      <c r="H288" s="5">
        <v>2.5139999999999998</v>
      </c>
      <c r="I288" s="5">
        <v>1.722</v>
      </c>
      <c r="J288" s="5">
        <v>1.4390000000000001</v>
      </c>
      <c r="K288" s="5">
        <v>0.54900000000000004</v>
      </c>
      <c r="L288" s="5">
        <v>9.59</v>
      </c>
      <c r="M288" s="5">
        <v>3.0430000000000001</v>
      </c>
      <c r="N288" s="5">
        <v>2.9550000000000001</v>
      </c>
      <c r="O288" s="5">
        <v>21.86</v>
      </c>
      <c r="P288" s="5">
        <v>0.80889999999999995</v>
      </c>
      <c r="Q288" s="5">
        <v>6.3230000000000004</v>
      </c>
      <c r="R288" s="5">
        <v>0.4743</v>
      </c>
      <c r="S288" s="5">
        <v>132.5</v>
      </c>
      <c r="T288" s="18" t="str">
        <f t="shared" si="262"/>
        <v>RM-C</v>
      </c>
      <c r="U288" s="2">
        <f t="shared" ref="U288:AH288" si="289">IF(OR(F288=0,F288&lt;0.00001,F288&gt;100000),"",IF((IF(F288&gt;F$5,ABS(LOG(((F$5/SUM($F288:$S288))/(F$4/SUM($F$4:$S$4)))*4+2,2)),ABS(LOG(((F288/SUM($F288:$S288))/(F$4/SUM($F$4:$S$4)))*4+2,2)))-3)&gt;8,(IF(F288&gt;F$5,ABS(LOG(((F$5/SUM($F288:$S288))/(F$4/SUM($F$4:$S$4)))*4+2,2)),ABS(LOG(((F288/SUM($F288:$S288))/(F$4/SUM($F$4:$S$4)))*4+2,2)))-3)/7,IF(F288&gt;F$5,ABS(LOG(((F$5/SUM($F288:$S288))/(F$4/SUM($F$4:$S$4)))*4+2,2)),ABS(LOG(((F288/SUM($F288:$S288))/(F$4/SUM($F$4:$S$4)))*4+2,2)))-3))</f>
        <v>4.3459589150888984</v>
      </c>
      <c r="V288" s="2">
        <f t="shared" si="289"/>
        <v>4.0453796961870161</v>
      </c>
      <c r="W288" s="2">
        <f t="shared" si="289"/>
        <v>4.7232168145745543</v>
      </c>
      <c r="X288" s="2">
        <f t="shared" si="289"/>
        <v>1.3162345941301155</v>
      </c>
      <c r="Y288" s="2">
        <f t="shared" si="289"/>
        <v>1.2203286289483453</v>
      </c>
      <c r="Z288" s="2">
        <f t="shared" si="289"/>
        <v>7.3948565411304781</v>
      </c>
      <c r="AA288" s="2">
        <f t="shared" si="289"/>
        <v>5.6482526828870103</v>
      </c>
      <c r="AB288" s="2">
        <f t="shared" si="289"/>
        <v>3.1016483021106316</v>
      </c>
      <c r="AC288" s="2">
        <f t="shared" si="289"/>
        <v>3.2164696940213968</v>
      </c>
      <c r="AD288" s="2">
        <f t="shared" si="289"/>
        <v>1.8863535847072823</v>
      </c>
      <c r="AE288" s="2">
        <f t="shared" si="289"/>
        <v>-1.9999999249278038</v>
      </c>
      <c r="AF288" s="2">
        <f t="shared" si="289"/>
        <v>-1.8146492440413218</v>
      </c>
      <c r="AG288" s="2">
        <f t="shared" si="289"/>
        <v>-1.8760053767017757</v>
      </c>
      <c r="AH288" s="2">
        <f t="shared" si="289"/>
        <v>6.0052306595067328E-2</v>
      </c>
      <c r="AI288" s="18" t="str">
        <f t="shared" si="264"/>
        <v>RM-C</v>
      </c>
      <c r="AJ288" s="2">
        <f t="shared" si="265"/>
        <v>1</v>
      </c>
    </row>
    <row r="289" spans="1:36" ht="10.5" customHeight="1" x14ac:dyDescent="0.25">
      <c r="A289" s="17">
        <v>281</v>
      </c>
      <c r="B289" s="2">
        <f t="shared" si="261"/>
        <v>7.190038923773721</v>
      </c>
      <c r="C289" s="4">
        <v>2</v>
      </c>
      <c r="D289" s="4">
        <v>20</v>
      </c>
      <c r="E289" s="18" t="s">
        <v>63</v>
      </c>
      <c r="F289" s="5">
        <v>2.7499999999999998E-3</v>
      </c>
      <c r="G289" s="5">
        <v>0.83139999999999992</v>
      </c>
      <c r="H289" s="5">
        <v>0.14100000000000001</v>
      </c>
      <c r="I289" s="5">
        <v>1.2069999999999999</v>
      </c>
      <c r="J289" s="5">
        <v>3.6315</v>
      </c>
      <c r="K289" s="5">
        <v>8.9499999999999996E-2</v>
      </c>
      <c r="L289" s="5">
        <v>1.8025000000000002</v>
      </c>
      <c r="M289" s="5">
        <v>0.76844999999999997</v>
      </c>
      <c r="N289" s="5">
        <v>4.1500000000000002E-2</v>
      </c>
      <c r="O289" s="5">
        <v>3.085</v>
      </c>
      <c r="P289" s="5">
        <v>0.5455000000000001</v>
      </c>
      <c r="Q289" s="5">
        <v>1.9544999999999999</v>
      </c>
      <c r="R289" s="5">
        <v>5.4600000000000003E-2</v>
      </c>
      <c r="S289" s="5">
        <v>51.795000000000002</v>
      </c>
      <c r="T289" s="18" t="str">
        <f t="shared" si="262"/>
        <v>S1-10</v>
      </c>
      <c r="U289" s="2">
        <f t="shared" ref="U289:AH289" si="290">IF(OR(F289=0,F289&lt;0.00001,F289&gt;100000),"",IF((IF(F289&gt;F$5,ABS(LOG(((F$5/SUM($F289:$S289))/(F$4/SUM($F$4:$S$4)))*4+2,2)),ABS(LOG(((F289/SUM($F289:$S289))/(F$4/SUM($F$4:$S$4)))*4+2,2)))-3)&gt;8,(IF(F289&gt;F$5,ABS(LOG(((F$5/SUM($F289:$S289))/(F$4/SUM($F$4:$S$4)))*4+2,2)),ABS(LOG(((F289/SUM($F289:$S289))/(F$4/SUM($F$4:$S$4)))*4+2,2)))-3)/7,IF(F289&gt;F$5,ABS(LOG(((F$5/SUM($F289:$S289))/(F$4/SUM($F$4:$S$4)))*4+2,2)),ABS(LOG(((F289/SUM($F289:$S289))/(F$4/SUM($F$4:$S$4)))*4+2,2)))-3))</f>
        <v>-1.5796796157921777</v>
      </c>
      <c r="V289" s="2">
        <f t="shared" si="290"/>
        <v>3.0424056682351006</v>
      </c>
      <c r="W289" s="2">
        <f t="shared" si="290"/>
        <v>2.1970557002617825</v>
      </c>
      <c r="X289" s="2">
        <f t="shared" si="290"/>
        <v>2.2895569095724699</v>
      </c>
      <c r="Y289" s="2">
        <f t="shared" si="290"/>
        <v>3.978046542761045</v>
      </c>
      <c r="Z289" s="2">
        <f t="shared" si="290"/>
        <v>6.3432088151721082</v>
      </c>
      <c r="AA289" s="2">
        <f t="shared" si="290"/>
        <v>4.8053628915359488</v>
      </c>
      <c r="AB289" s="2">
        <f t="shared" si="290"/>
        <v>2.6933003365157422</v>
      </c>
      <c r="AC289" s="2">
        <f t="shared" si="290"/>
        <v>-0.67737308198053681</v>
      </c>
      <c r="AD289" s="2">
        <f t="shared" si="290"/>
        <v>0.75464986581364935</v>
      </c>
      <c r="AE289" s="2">
        <f t="shared" si="290"/>
        <v>-1.9999997782022416</v>
      </c>
      <c r="AF289" s="2">
        <f t="shared" si="290"/>
        <v>-1.8298175253135058</v>
      </c>
      <c r="AG289" s="2">
        <f t="shared" si="290"/>
        <v>-1.9566217823762511</v>
      </c>
      <c r="AH289" s="2">
        <f t="shared" si="290"/>
        <v>0.22066950398665686</v>
      </c>
      <c r="AI289" s="18" t="str">
        <f t="shared" si="264"/>
        <v>S1-10</v>
      </c>
      <c r="AJ289" s="2">
        <f t="shared" si="265"/>
        <v>1</v>
      </c>
    </row>
    <row r="290" spans="1:36" ht="10.5" customHeight="1" x14ac:dyDescent="0.25">
      <c r="A290" s="17">
        <v>282</v>
      </c>
      <c r="B290" s="2">
        <f t="shared" si="261"/>
        <v>6.6729176974169411</v>
      </c>
      <c r="C290" s="4">
        <v>2</v>
      </c>
      <c r="D290" s="4">
        <v>26.368805180195899</v>
      </c>
      <c r="E290" s="18" t="s">
        <v>64</v>
      </c>
      <c r="F290" s="5">
        <v>0.46839999999999998</v>
      </c>
      <c r="G290" s="5">
        <v>2.762</v>
      </c>
      <c r="H290" s="5">
        <v>41</v>
      </c>
      <c r="I290" s="5">
        <v>1.2909999999999999</v>
      </c>
      <c r="J290" s="5">
        <v>0.3281</v>
      </c>
      <c r="K290" s="5">
        <v>11.75</v>
      </c>
      <c r="L290" s="5">
        <v>2.9020000000000001</v>
      </c>
      <c r="M290" s="5">
        <v>3.09</v>
      </c>
      <c r="N290" s="5">
        <v>5.1790000000000003</v>
      </c>
      <c r="O290" s="5">
        <v>10.58</v>
      </c>
      <c r="P290" s="5">
        <v>0.49780000000000002</v>
      </c>
      <c r="Q290" s="5">
        <v>107</v>
      </c>
      <c r="R290" s="5">
        <v>0.49340000000000001</v>
      </c>
      <c r="S290" s="5">
        <v>144.80000000000001</v>
      </c>
      <c r="T290" s="18" t="str">
        <f t="shared" si="262"/>
        <v>SC-C</v>
      </c>
      <c r="U290" s="2">
        <f t="shared" ref="U290:AH290" si="291">IF(OR(F290=0,F290&lt;0.00001,F290&gt;100000),"",IF((IF(F290&gt;F$5,ABS(LOG(((F$5/SUM($F290:$S290))/(F$4/SUM($F$4:$S$4)))*4+2,2)),ABS(LOG(((F290/SUM($F290:$S290))/(F$4/SUM($F$4:$S$4)))*4+2,2)))-3)&gt;8,(IF(F290&gt;F$5,ABS(LOG(((F$5/SUM($F290:$S290))/(F$4/SUM($F$4:$S$4)))*4+2,2)),ABS(LOG(((F290/SUM($F290:$S290))/(F$4/SUM($F$4:$S$4)))*4+2,2)))-3)/7,IF(F290&gt;F$5,ABS(LOG(((F$5/SUM($F290:$S290))/(F$4/SUM($F$4:$S$4)))*4+2,2)),ABS(LOG(((F290/SUM($F290:$S290))/(F$4/SUM($F$4:$S$4)))*4+2,2)))-3))</f>
        <v>1.6367808031606419</v>
      </c>
      <c r="V290" s="2">
        <f t="shared" si="291"/>
        <v>2.4645681630190257</v>
      </c>
      <c r="W290" s="2">
        <f t="shared" si="291"/>
        <v>7.9334609274818497</v>
      </c>
      <c r="X290" s="2">
        <f t="shared" si="291"/>
        <v>0.30479025064112086</v>
      </c>
      <c r="Y290" s="2">
        <f t="shared" si="291"/>
        <v>-0.92080536430764148</v>
      </c>
      <c r="Z290" s="2">
        <f t="shared" si="291"/>
        <v>7.7530853861919109</v>
      </c>
      <c r="AA290" s="2">
        <f t="shared" si="291"/>
        <v>3.1872541261535412</v>
      </c>
      <c r="AB290" s="2">
        <f t="shared" si="291"/>
        <v>2.3825438623129029</v>
      </c>
      <c r="AC290" s="2">
        <f t="shared" si="291"/>
        <v>3.2554664452195752</v>
      </c>
      <c r="AD290" s="2">
        <f t="shared" si="291"/>
        <v>0.29712609253672051</v>
      </c>
      <c r="AE290" s="2">
        <f t="shared" si="291"/>
        <v>-1.9999999559597381</v>
      </c>
      <c r="AF290" s="2">
        <f t="shared" si="291"/>
        <v>-0.76062154704730833</v>
      </c>
      <c r="AG290" s="2">
        <f t="shared" si="291"/>
        <v>-1.923071716945157</v>
      </c>
      <c r="AH290" s="2">
        <f t="shared" si="291"/>
        <v>-0.39959453510000742</v>
      </c>
      <c r="AI290" s="18" t="str">
        <f t="shared" si="264"/>
        <v>SC-C</v>
      </c>
      <c r="AJ290" s="2">
        <f t="shared" si="265"/>
        <v>1</v>
      </c>
    </row>
    <row r="291" spans="1:36" ht="10.5" customHeight="1" x14ac:dyDescent="0.25">
      <c r="A291" s="17">
        <v>283</v>
      </c>
      <c r="B291" s="2">
        <f t="shared" si="261"/>
        <v>7.8797367233249869</v>
      </c>
      <c r="C291" s="4">
        <v>2</v>
      </c>
      <c r="D291" s="4">
        <v>23.888797630636351</v>
      </c>
      <c r="E291" s="18" t="s">
        <v>65</v>
      </c>
      <c r="F291" s="5">
        <v>0.52134999999999998</v>
      </c>
      <c r="G291" s="5">
        <v>2.4329999999999998</v>
      </c>
      <c r="H291" s="5">
        <v>4.3625000000000007</v>
      </c>
      <c r="I291" s="5">
        <v>1.0085500000000001</v>
      </c>
      <c r="J291" s="5">
        <v>4.7675000000000001</v>
      </c>
      <c r="K291" s="5">
        <v>2.6245000000000003</v>
      </c>
      <c r="L291" s="5">
        <v>2.0434999999999999</v>
      </c>
      <c r="M291" s="5">
        <v>2.3185000000000002</v>
      </c>
      <c r="N291" s="5">
        <v>2.8109999999999999</v>
      </c>
      <c r="O291" s="5">
        <v>4.0914999999999999</v>
      </c>
      <c r="P291" s="5">
        <v>0.12625</v>
      </c>
      <c r="Q291" s="5">
        <v>24.895</v>
      </c>
      <c r="R291" s="5">
        <v>2.2449999999999998E-2</v>
      </c>
      <c r="S291" s="5">
        <v>25.864999999999998</v>
      </c>
      <c r="T291" s="18" t="str">
        <f t="shared" si="262"/>
        <v>SHR-C</v>
      </c>
      <c r="U291" s="2">
        <f t="shared" ref="U291:AH291" si="292">IF(OR(F291=0,F291&lt;0.00001,F291&gt;100000),"",IF((IF(F291&gt;F$5,ABS(LOG(((F$5/SUM($F291:$S291))/(F$4/SUM($F$4:$S$4)))*4+2,2)),ABS(LOG(((F291/SUM($F291:$S291))/(F$4/SUM($F$4:$S$4)))*4+2,2)))-3)&gt;8,(IF(F291&gt;F$5,ABS(LOG(((F$5/SUM($F291:$S291))/(F$4/SUM($F$4:$S$4)))*4+2,2)),ABS(LOG(((F291/SUM($F291:$S291))/(F$4/SUM($F$4:$S$4)))*4+2,2)))-3)/7,IF(F291&gt;F$5,ABS(LOG(((F$5/SUM($F291:$S291))/(F$4/SUM($F$4:$S$4)))*4+2,2)),ABS(LOG(((F291/SUM($F291:$S291))/(F$4/SUM($F$4:$S$4)))*4+2,2)))-3))</f>
        <v>3.7889898465043128</v>
      </c>
      <c r="V291" s="2">
        <f t="shared" si="292"/>
        <v>4.3251060009225446</v>
      </c>
      <c r="W291" s="2">
        <f t="shared" si="292"/>
        <v>6.8306617323912704</v>
      </c>
      <c r="X291" s="2">
        <f t="shared" si="292"/>
        <v>1.8205241759773605</v>
      </c>
      <c r="Y291" s="2">
        <f t="shared" si="292"/>
        <v>4.1283426460953718</v>
      </c>
      <c r="Z291" s="2">
        <f t="shared" si="292"/>
        <v>1.4062975346862407</v>
      </c>
      <c r="AA291" s="2">
        <f t="shared" si="292"/>
        <v>4.7468722988648739</v>
      </c>
      <c r="AB291" s="2">
        <f t="shared" si="292"/>
        <v>4.0120562465140122</v>
      </c>
      <c r="AC291" s="2">
        <f t="shared" si="292"/>
        <v>4.4445432776926452</v>
      </c>
      <c r="AD291" s="2">
        <f t="shared" si="292"/>
        <v>0.89834088045636262</v>
      </c>
      <c r="AE291" s="2">
        <f t="shared" si="292"/>
        <v>-1.9999998122031839</v>
      </c>
      <c r="AF291" s="2">
        <f t="shared" si="292"/>
        <v>-0.76718497617270565</v>
      </c>
      <c r="AG291" s="2">
        <f t="shared" si="292"/>
        <v>-1.9847498363261835</v>
      </c>
      <c r="AH291" s="2">
        <f t="shared" si="292"/>
        <v>-0.65064283597299966</v>
      </c>
      <c r="AI291" s="18" t="str">
        <f t="shared" si="264"/>
        <v>SHR-C</v>
      </c>
      <c r="AJ291" s="2">
        <f t="shared" si="265"/>
        <v>1</v>
      </c>
    </row>
    <row r="292" spans="1:36" ht="10.5" customHeight="1" x14ac:dyDescent="0.25">
      <c r="A292" s="17">
        <v>284</v>
      </c>
      <c r="B292" s="2">
        <f t="shared" si="261"/>
        <v>6.4146336713519219</v>
      </c>
      <c r="C292" s="4">
        <v>2</v>
      </c>
      <c r="D292" s="4">
        <v>24.810545917846401</v>
      </c>
      <c r="E292" s="18" t="s">
        <v>66</v>
      </c>
      <c r="F292" s="5">
        <v>1.9E-2</v>
      </c>
      <c r="G292" s="5">
        <v>3.76</v>
      </c>
      <c r="H292" s="5">
        <v>0.33789999999999998</v>
      </c>
      <c r="I292" s="5">
        <v>1.9930000000000001</v>
      </c>
      <c r="J292" s="5">
        <v>9.2149999999999999</v>
      </c>
      <c r="K292" s="5">
        <v>0.5413</v>
      </c>
      <c r="L292" s="5">
        <v>4.8390000000000004</v>
      </c>
      <c r="M292" s="5">
        <v>3.3620000000000001</v>
      </c>
      <c r="N292" s="5">
        <v>0.18579999999999999</v>
      </c>
      <c r="O292" s="5">
        <v>9.1240000000000006</v>
      </c>
      <c r="P292" s="5">
        <v>1.7190000000000001</v>
      </c>
      <c r="Q292" s="5">
        <v>13.04</v>
      </c>
      <c r="R292" s="5">
        <v>0.1661</v>
      </c>
      <c r="S292" s="5">
        <v>112.7</v>
      </c>
      <c r="T292" s="18" t="str">
        <f t="shared" si="262"/>
        <v>SP</v>
      </c>
      <c r="U292" s="2">
        <f t="shared" ref="U292:AH292" si="293">IF(OR(F292=0,F292&lt;0.00001,F292&gt;100000),"",IF((IF(F292&gt;F$5,ABS(LOG(((F$5/SUM($F292:$S292))/(F$4/SUM($F$4:$S$4)))*4+2,2)),ABS(LOG(((F292/SUM($F292:$S292))/(F$4/SUM($F$4:$S$4)))*4+2,2)))-3)&gt;8,(IF(F292&gt;F$5,ABS(LOG(((F$5/SUM($F292:$S292))/(F$4/SUM($F$4:$S$4)))*4+2,2)),ABS(LOG(((F292/SUM($F292:$S292))/(F$4/SUM($F$4:$S$4)))*4+2,2)))-3)/7,IF(F292&gt;F$5,ABS(LOG(((F$5/SUM($F292:$S292))/(F$4/SUM($F$4:$S$4)))*4+2,2)),ABS(LOG(((F292/SUM($F292:$S292))/(F$4/SUM($F$4:$S$4)))*4+2,2)))-3))</f>
        <v>-1.0311956179578667</v>
      </c>
      <c r="V292" s="2">
        <f t="shared" si="293"/>
        <v>3.9116045887997002</v>
      </c>
      <c r="W292" s="2">
        <f t="shared" si="293"/>
        <v>2.1717964571002009</v>
      </c>
      <c r="X292" s="2">
        <f t="shared" si="293"/>
        <v>1.7603156991862825</v>
      </c>
      <c r="Y292" s="2">
        <f t="shared" si="293"/>
        <v>4.0329661410191084</v>
      </c>
      <c r="Z292" s="2">
        <f t="shared" si="293"/>
        <v>7.6493953654527171</v>
      </c>
      <c r="AA292" s="2">
        <f t="shared" si="293"/>
        <v>4.9412723444144504</v>
      </c>
      <c r="AB292" s="2">
        <f t="shared" si="293"/>
        <v>3.5101056757302072</v>
      </c>
      <c r="AC292" s="2">
        <f t="shared" si="293"/>
        <v>-9.191235555212085E-2</v>
      </c>
      <c r="AD292" s="2">
        <f t="shared" si="293"/>
        <v>0.99360880073961244</v>
      </c>
      <c r="AE292" s="2">
        <f t="shared" si="293"/>
        <v>-1.9999999091464822</v>
      </c>
      <c r="AF292" s="2">
        <f t="shared" si="293"/>
        <v>-1.5754396616005724</v>
      </c>
      <c r="AG292" s="2">
        <f t="shared" si="293"/>
        <v>-1.946142386655402</v>
      </c>
      <c r="AH292" s="2">
        <f t="shared" si="293"/>
        <v>9.1906697808441518E-2</v>
      </c>
      <c r="AI292" s="18" t="str">
        <f t="shared" si="264"/>
        <v>SP</v>
      </c>
      <c r="AJ292" s="2">
        <f t="shared" si="265"/>
        <v>1</v>
      </c>
    </row>
    <row r="293" spans="1:36" ht="10.5" customHeight="1" x14ac:dyDescent="0.25">
      <c r="A293" s="17">
        <v>285</v>
      </c>
      <c r="B293" s="2">
        <f t="shared" si="261"/>
        <v>7.649475760375366</v>
      </c>
      <c r="C293" s="4">
        <v>2</v>
      </c>
      <c r="D293" s="4">
        <v>22.366054719982198</v>
      </c>
      <c r="E293" s="18">
        <v>147</v>
      </c>
      <c r="F293" s="5">
        <v>0.15229999999999999</v>
      </c>
      <c r="G293" s="5">
        <v>9.1300000000000006E-2</v>
      </c>
      <c r="H293" s="5">
        <v>0.71079999999999999</v>
      </c>
      <c r="I293" s="5">
        <v>2.1080000000000001</v>
      </c>
      <c r="J293" s="5">
        <v>2.6520000000000001</v>
      </c>
      <c r="K293" s="5">
        <v>7.5499999999999998E-2</v>
      </c>
      <c r="L293" s="5">
        <v>1.8420000000000001</v>
      </c>
      <c r="M293" s="5">
        <v>0.90659999999999996</v>
      </c>
      <c r="N293" s="5">
        <v>0.66449999999999998</v>
      </c>
      <c r="O293" s="5">
        <v>6.0949999999999998</v>
      </c>
      <c r="P293" s="5">
        <v>5.7600000000000004E-3</v>
      </c>
      <c r="Q293" s="5">
        <v>27.52</v>
      </c>
      <c r="R293" s="5">
        <v>8.5199999999999998E-2</v>
      </c>
      <c r="S293" s="5">
        <v>5.0460000000000003</v>
      </c>
      <c r="T293" s="18">
        <f t="shared" si="262"/>
        <v>147</v>
      </c>
      <c r="U293" s="2">
        <f t="shared" ref="U293:AH293" si="294">IF(OR(F293=0,F293&lt;0.00001,F293&gt;100000),"",IF((IF(F293&gt;F$5,ABS(LOG(((F$5/SUM($F293:$S293))/(F$4/SUM($F$4:$S$4)))*4+2,2)),ABS(LOG(((F293/SUM($F293:$S293))/(F$4/SUM($F$4:$S$4)))*4+2,2)))-3)&gt;8,(IF(F293&gt;F$5,ABS(LOG(((F$5/SUM($F293:$S293))/(F$4/SUM($F$4:$S$4)))*4+2,2)),ABS(LOG(((F293/SUM($F293:$S293))/(F$4/SUM($F$4:$S$4)))*4+2,2)))-3)/7,IF(F293&gt;F$5,ABS(LOG(((F$5/SUM($F293:$S293))/(F$4/SUM($F$4:$S$4)))*4+2,2)),ABS(LOG(((F293/SUM($F293:$S293))/(F$4/SUM($F$4:$S$4)))*4+2,2)))-3))</f>
        <v>2.7420358304069934</v>
      </c>
      <c r="V293" s="2">
        <f t="shared" si="294"/>
        <v>0.5424746055119205</v>
      </c>
      <c r="W293" s="2">
        <f t="shared" si="294"/>
        <v>4.9215693096112663</v>
      </c>
      <c r="X293" s="2">
        <f t="shared" si="294"/>
        <v>3.5099903828062846</v>
      </c>
      <c r="Y293" s="2">
        <f t="shared" si="294"/>
        <v>3.9841603860210579</v>
      </c>
      <c r="Z293" s="2">
        <f t="shared" si="294"/>
        <v>6.5568814663549251</v>
      </c>
      <c r="AA293" s="2">
        <f t="shared" si="294"/>
        <v>5.2926081127901181</v>
      </c>
      <c r="AB293" s="2">
        <f t="shared" si="294"/>
        <v>3.3699573960996894</v>
      </c>
      <c r="AC293" s="2">
        <f t="shared" si="294"/>
        <v>3.0899047579088759</v>
      </c>
      <c r="AD293" s="2">
        <f t="shared" si="294"/>
        <v>2.0548608488253715</v>
      </c>
      <c r="AE293" s="2">
        <f t="shared" si="294"/>
        <v>-1.9999996949719883</v>
      </c>
      <c r="AF293" s="2">
        <f t="shared" si="294"/>
        <v>-0.22415313547522109</v>
      </c>
      <c r="AG293" s="2">
        <f t="shared" si="294"/>
        <v>-1.9084631104916063</v>
      </c>
      <c r="AH293" s="2">
        <f t="shared" si="294"/>
        <v>-1.4241880967356737</v>
      </c>
      <c r="AI293" s="18">
        <f t="shared" si="264"/>
        <v>147</v>
      </c>
      <c r="AJ293" s="2">
        <f t="shared" si="265"/>
        <v>1</v>
      </c>
    </row>
    <row r="294" spans="1:36" ht="10.5" customHeight="1" x14ac:dyDescent="0.25">
      <c r="A294" s="17">
        <v>286</v>
      </c>
      <c r="B294" s="2">
        <f t="shared" si="261"/>
        <v>6.8294119327520235</v>
      </c>
      <c r="C294" s="4">
        <v>2</v>
      </c>
      <c r="D294" s="4">
        <v>28.540941979977202</v>
      </c>
      <c r="E294" s="18">
        <v>147</v>
      </c>
      <c r="F294" s="5">
        <v>4.6499999999999996E-3</v>
      </c>
      <c r="G294" s="5">
        <v>2.3679999999999999</v>
      </c>
      <c r="H294" s="5">
        <v>2.9060000000000001</v>
      </c>
      <c r="I294" s="5">
        <v>9.3309999999999995</v>
      </c>
      <c r="J294" s="5">
        <v>3.9630000000000001</v>
      </c>
      <c r="K294" s="5">
        <v>0.4108</v>
      </c>
      <c r="L294" s="5"/>
      <c r="M294" s="5">
        <v>1.427</v>
      </c>
      <c r="N294" s="5">
        <v>6.8500000000000002E-3</v>
      </c>
      <c r="O294" s="5">
        <v>5.4859999999999998</v>
      </c>
      <c r="P294" s="5">
        <v>7.1700000000000002E-3</v>
      </c>
      <c r="Q294" s="5">
        <v>7.1269999999999998</v>
      </c>
      <c r="R294" s="5"/>
      <c r="S294" s="5">
        <v>2.569</v>
      </c>
      <c r="T294" s="18">
        <f t="shared" si="262"/>
        <v>147</v>
      </c>
      <c r="U294" s="2">
        <f t="shared" ref="U294:AH294" si="295">IF(OR(F294=0,F294&lt;0.00001,F294&gt;100000),"",IF((IF(F294&gt;F$5,ABS(LOG(((F$5/SUM($F294:$S294))/(F$4/SUM($F$4:$S$4)))*4+2,2)),ABS(LOG(((F294/SUM($F294:$S294))/(F$4/SUM($F$4:$S$4)))*4+2,2)))-3)&gt;8,(IF(F294&gt;F$5,ABS(LOG(((F$5/SUM($F294:$S294))/(F$4/SUM($F$4:$S$4)))*4+2,2)),ABS(LOG(((F294/SUM($F294:$S294))/(F$4/SUM($F$4:$S$4)))*4+2,2)))-3)/7,IF(F294&gt;F$5,ABS(LOG(((F$5/SUM($F294:$S294))/(F$4/SUM($F$4:$S$4)))*4+2,2)),ABS(LOG(((F294/SUM($F294:$S294))/(F$4/SUM($F$4:$S$4)))*4+2,2)))-3))</f>
        <v>-0.95785655713669415</v>
      </c>
      <c r="V294" s="2">
        <f t="shared" si="295"/>
        <v>5.4057743398796205</v>
      </c>
      <c r="W294" s="2">
        <f t="shared" si="295"/>
        <v>7.372856606233757</v>
      </c>
      <c r="X294" s="2">
        <f t="shared" si="295"/>
        <v>6.059095456035223</v>
      </c>
      <c r="Y294" s="2">
        <f t="shared" si="295"/>
        <v>4.9817006257188607</v>
      </c>
      <c r="Z294" s="2">
        <f t="shared" si="295"/>
        <v>1.3467139759064366</v>
      </c>
      <c r="AA294" s="2" t="str">
        <f t="shared" si="295"/>
        <v/>
      </c>
      <c r="AB294" s="2">
        <f t="shared" si="295"/>
        <v>4.4353968785489881</v>
      </c>
      <c r="AC294" s="2">
        <f t="shared" si="295"/>
        <v>-1.4550631727898475</v>
      </c>
      <c r="AD294" s="2">
        <f t="shared" si="295"/>
        <v>2.3172518594800708</v>
      </c>
      <c r="AE294" s="2">
        <f t="shared" si="295"/>
        <v>-1.9999995891868649</v>
      </c>
      <c r="AF294" s="2">
        <f t="shared" si="295"/>
        <v>-1.1159095025234693</v>
      </c>
      <c r="AG294" s="2" t="str">
        <f t="shared" si="295"/>
        <v/>
      </c>
      <c r="AH294" s="2">
        <f t="shared" si="295"/>
        <v>-1.5817160907656578</v>
      </c>
      <c r="AI294" s="18">
        <f t="shared" si="264"/>
        <v>147</v>
      </c>
      <c r="AJ294" s="2">
        <f t="shared" si="265"/>
        <v>2.1540941979977202</v>
      </c>
    </row>
    <row r="295" spans="1:36" ht="10.5" customHeight="1" x14ac:dyDescent="0.25">
      <c r="A295" s="17">
        <v>287</v>
      </c>
      <c r="B295" s="2">
        <f t="shared" si="261"/>
        <v>7.7254170683935586</v>
      </c>
      <c r="C295" s="4">
        <v>2</v>
      </c>
      <c r="D295" s="4">
        <v>29.1002829364507</v>
      </c>
      <c r="E295" s="18">
        <v>150</v>
      </c>
      <c r="F295" s="5">
        <v>0.26500000000000001</v>
      </c>
      <c r="G295" s="5">
        <v>5.8029999999999999</v>
      </c>
      <c r="H295" s="5">
        <v>15.48</v>
      </c>
      <c r="I295" s="5">
        <v>0.1103</v>
      </c>
      <c r="J295" s="5">
        <v>129</v>
      </c>
      <c r="K295" s="5">
        <v>2.125</v>
      </c>
      <c r="L295" s="5">
        <v>12.86</v>
      </c>
      <c r="M295" s="5">
        <v>7.2990000000000004</v>
      </c>
      <c r="N295" s="5">
        <v>7.9640000000000004</v>
      </c>
      <c r="O295" s="5">
        <v>45.44</v>
      </c>
      <c r="P295" s="5">
        <v>5.2300000000000003E-4</v>
      </c>
      <c r="Q295" s="5">
        <v>122.1</v>
      </c>
      <c r="R295" s="5">
        <v>5.2300000000000003E-4</v>
      </c>
      <c r="S295" s="5">
        <v>90.29</v>
      </c>
      <c r="T295" s="18">
        <f t="shared" si="262"/>
        <v>150</v>
      </c>
      <c r="U295" s="2">
        <f t="shared" ref="U295:AH295" si="296">IF(OR(F295=0,F295&lt;0.00001,F295&gt;100000),"",IF((IF(F295&gt;F$5,ABS(LOG(((F$5/SUM($F295:$S295))/(F$4/SUM($F$4:$S$4)))*4+2,2)),ABS(LOG(((F295/SUM($F295:$S295))/(F$4/SUM($F$4:$S$4)))*4+2,2)))-3)&gt;8,(IF(F295&gt;F$5,ABS(LOG(((F$5/SUM($F295:$S295))/(F$4/SUM($F$4:$S$4)))*4+2,2)),ABS(LOG(((F295/SUM($F295:$S295))/(F$4/SUM($F$4:$S$4)))*4+2,2)))-3)/7,IF(F295&gt;F$5,ABS(LOG(((F$5/SUM($F295:$S295))/(F$4/SUM($F$4:$S$4)))*4+2,2)),ABS(LOG(((F295/SUM($F295:$S295))/(F$4/SUM($F$4:$S$4)))*4+2,2)))-3))</f>
        <v>0.5605327074552493</v>
      </c>
      <c r="V295" s="2">
        <f t="shared" si="296"/>
        <v>2.9014517443724426</v>
      </c>
      <c r="W295" s="2">
        <f t="shared" si="296"/>
        <v>6.165863852806817</v>
      </c>
      <c r="X295" s="2">
        <f t="shared" si="296"/>
        <v>-1.6724277060962738</v>
      </c>
      <c r="Y295" s="2">
        <f t="shared" si="296"/>
        <v>6.3760772803655446</v>
      </c>
      <c r="Z295" s="2">
        <f t="shared" si="296"/>
        <v>7.352063194609018</v>
      </c>
      <c r="AA295" s="2">
        <f t="shared" si="296"/>
        <v>4.9054021258342813</v>
      </c>
      <c r="AB295" s="2">
        <f t="shared" si="296"/>
        <v>3.1902625473604047</v>
      </c>
      <c r="AC295" s="2">
        <f t="shared" si="296"/>
        <v>3.4693925467904387</v>
      </c>
      <c r="AD295" s="2">
        <f t="shared" si="296"/>
        <v>1.7791061243087656</v>
      </c>
      <c r="AE295" s="2">
        <f t="shared" si="296"/>
        <v>-1.9999999666597621</v>
      </c>
      <c r="AF295" s="2">
        <f t="shared" si="296"/>
        <v>-0.87851665269857326</v>
      </c>
      <c r="AG295" s="2">
        <f t="shared" si="296"/>
        <v>-1.9999365943220366</v>
      </c>
      <c r="AH295" s="2">
        <f t="shared" si="296"/>
        <v>-1.0296289816217785</v>
      </c>
      <c r="AI295" s="18">
        <f t="shared" si="264"/>
        <v>150</v>
      </c>
      <c r="AJ295" s="2">
        <f t="shared" si="265"/>
        <v>2.2100282936450699</v>
      </c>
    </row>
    <row r="296" spans="1:36" ht="10.5" customHeight="1" x14ac:dyDescent="0.25">
      <c r="A296" s="17">
        <v>288</v>
      </c>
      <c r="B296" s="2">
        <f t="shared" si="261"/>
        <v>7.4879166790156235</v>
      </c>
      <c r="C296" s="4">
        <v>2</v>
      </c>
      <c r="D296" s="4">
        <v>25.430855684779001</v>
      </c>
      <c r="E296" s="18">
        <v>150</v>
      </c>
      <c r="F296" s="5">
        <v>8.6900000000000005E-2</v>
      </c>
      <c r="G296" s="5">
        <v>4.5609999999999999</v>
      </c>
      <c r="H296" s="5">
        <v>1.835</v>
      </c>
      <c r="I296" s="5">
        <v>2.173</v>
      </c>
      <c r="J296" s="5">
        <v>26.64</v>
      </c>
      <c r="K296" s="5">
        <v>0.873</v>
      </c>
      <c r="L296" s="5">
        <v>3.8690000000000002</v>
      </c>
      <c r="M296" s="5">
        <v>1.54</v>
      </c>
      <c r="N296" s="5">
        <v>4.7720000000000002</v>
      </c>
      <c r="O296" s="5">
        <v>17.05</v>
      </c>
      <c r="P296" s="5">
        <v>1.3500000000000001E-3</v>
      </c>
      <c r="Q296" s="5">
        <v>4.2699999999999996</v>
      </c>
      <c r="R296" s="5">
        <v>0.2092</v>
      </c>
      <c r="S296" s="5">
        <v>32.08</v>
      </c>
      <c r="T296" s="18">
        <f t="shared" si="262"/>
        <v>150</v>
      </c>
      <c r="U296" s="2">
        <f t="shared" ref="U296:AH296" si="297">IF(OR(F296=0,F296&lt;0.00001,F296&gt;100000),"",IF((IF(F296&gt;F$5,ABS(LOG(((F$5/SUM($F296:$S296))/(F$4/SUM($F$4:$S$4)))*4+2,2)),ABS(LOG(((F296/SUM($F296:$S296))/(F$4/SUM($F$4:$S$4)))*4+2,2)))-3)&gt;8,(IF(F296&gt;F$5,ABS(LOG(((F$5/SUM($F296:$S296))/(F$4/SUM($F$4:$S$4)))*4+2,2)),ABS(LOG(((F296/SUM($F296:$S296))/(F$4/SUM($F$4:$S$4)))*4+2,2)))-3)/7,IF(F296&gt;F$5,ABS(LOG(((F$5/SUM($F296:$S296))/(F$4/SUM($F$4:$S$4)))*4+2,2)),ABS(LOG(((F296/SUM($F296:$S296))/(F$4/SUM($F$4:$S$4)))*4+2,2)))-3))</f>
        <v>1.0092541345357446</v>
      </c>
      <c r="V296" s="2">
        <f t="shared" si="297"/>
        <v>4.8661248504467194</v>
      </c>
      <c r="W296" s="2">
        <f t="shared" si="297"/>
        <v>5.2278629059893227</v>
      </c>
      <c r="X296" s="2">
        <f t="shared" si="297"/>
        <v>2.5261282277072157</v>
      </c>
      <c r="Y296" s="2">
        <f t="shared" si="297"/>
        <v>6.2347487509882882</v>
      </c>
      <c r="Z296" s="2">
        <f t="shared" si="297"/>
        <v>1.2893562181134377</v>
      </c>
      <c r="AA296" s="2">
        <f t="shared" si="297"/>
        <v>5.3035484637912624</v>
      </c>
      <c r="AB296" s="2">
        <f t="shared" si="297"/>
        <v>3.0825743066497804</v>
      </c>
      <c r="AC296" s="2">
        <f t="shared" si="297"/>
        <v>4.8440978081388124</v>
      </c>
      <c r="AD296" s="2">
        <f t="shared" si="297"/>
        <v>2.4569637878371005</v>
      </c>
      <c r="AE296" s="2">
        <f t="shared" si="297"/>
        <v>-1.9999998536660559</v>
      </c>
      <c r="AF296" s="2">
        <f t="shared" si="297"/>
        <v>-1.7606476737325216</v>
      </c>
      <c r="AG296" s="2">
        <f t="shared" si="297"/>
        <v>-1.8927656941217763</v>
      </c>
      <c r="AH296" s="2">
        <f t="shared" si="297"/>
        <v>-0.68035405948823735</v>
      </c>
      <c r="AI296" s="18">
        <f t="shared" si="264"/>
        <v>150</v>
      </c>
      <c r="AJ296" s="2">
        <f t="shared" si="265"/>
        <v>1</v>
      </c>
    </row>
    <row r="297" spans="1:36" ht="10.5" customHeight="1" x14ac:dyDescent="0.25">
      <c r="A297" s="17">
        <v>289</v>
      </c>
      <c r="B297" s="2">
        <f t="shared" si="261"/>
        <v>5.3952946630629963</v>
      </c>
      <c r="C297" s="4">
        <v>2</v>
      </c>
      <c r="D297" s="4">
        <v>23.1357919431398</v>
      </c>
      <c r="E297" s="18">
        <v>153</v>
      </c>
      <c r="F297" s="5">
        <v>1.5900000000000001E-2</v>
      </c>
      <c r="G297" s="5">
        <v>1.8360000000000001</v>
      </c>
      <c r="H297" s="5">
        <v>1.1040000000000001</v>
      </c>
      <c r="I297" s="5">
        <v>1.9810000000000001</v>
      </c>
      <c r="J297" s="5">
        <v>0.52759999999999996</v>
      </c>
      <c r="K297" s="5">
        <v>0.29120000000000001</v>
      </c>
      <c r="L297" s="5">
        <v>4.8849999999999998</v>
      </c>
      <c r="M297" s="5">
        <v>1.0169999999999999</v>
      </c>
      <c r="N297" s="5">
        <v>4.65E-2</v>
      </c>
      <c r="O297" s="5">
        <v>1.512</v>
      </c>
      <c r="P297" s="5">
        <v>6.6100000000000002E-4</v>
      </c>
      <c r="Q297" s="5">
        <v>1.9159999999999999</v>
      </c>
      <c r="R297" s="5">
        <v>0.35149999999999998</v>
      </c>
      <c r="S297" s="5">
        <v>41.47</v>
      </c>
      <c r="T297" s="18">
        <f t="shared" si="262"/>
        <v>153</v>
      </c>
      <c r="U297" s="2">
        <f t="shared" ref="U297:AH297" si="298">IF(OR(F297=0,F297&lt;0.00001,F297&gt;100000),"",IF((IF(F297&gt;F$5,ABS(LOG(((F$5/SUM($F297:$S297))/(F$4/SUM($F$4:$S$4)))*4+2,2)),ABS(LOG(((F297/SUM($F297:$S297))/(F$4/SUM($F$4:$S$4)))*4+2,2)))-3)&gt;8,(IF(F297&gt;F$5,ABS(LOG(((F$5/SUM($F297:$S297))/(F$4/SUM($F$4:$S$4)))*4+2,2)),ABS(LOG(((F297/SUM($F297:$S297))/(F$4/SUM($F$4:$S$4)))*4+2,2)))-3)/7,IF(F297&gt;F$5,ABS(LOG(((F$5/SUM($F297:$S297))/(F$4/SUM($F$4:$S$4)))*4+2,2)),ABS(LOG(((F297/SUM($F297:$S297))/(F$4/SUM($F$4:$S$4)))*4+2,2)))-3))</f>
        <v>-0.29316891351912755</v>
      </c>
      <c r="V297" s="2">
        <f t="shared" si="298"/>
        <v>4.3700202367442085</v>
      </c>
      <c r="W297" s="2">
        <f t="shared" si="298"/>
        <v>5.3058642491177412</v>
      </c>
      <c r="X297" s="2">
        <f t="shared" si="298"/>
        <v>3.1805458953279686</v>
      </c>
      <c r="Y297" s="2">
        <f t="shared" si="298"/>
        <v>1.5155105814368994</v>
      </c>
      <c r="Z297" s="2">
        <f t="shared" si="298"/>
        <v>1.1790804754743267</v>
      </c>
      <c r="AA297" s="2">
        <f t="shared" si="298"/>
        <v>6.4464773726635851</v>
      </c>
      <c r="AB297" s="2">
        <f t="shared" si="298"/>
        <v>3.2896604165565346</v>
      </c>
      <c r="AC297" s="2">
        <f t="shared" si="298"/>
        <v>-0.44038014073764042</v>
      </c>
      <c r="AD297" s="2">
        <f t="shared" si="298"/>
        <v>9.1748404345743939E-2</v>
      </c>
      <c r="AE297" s="2">
        <f t="shared" si="298"/>
        <v>-1.9999997431696872</v>
      </c>
      <c r="AF297" s="2">
        <f t="shared" si="298"/>
        <v>-1.8082854115013012</v>
      </c>
      <c r="AG297" s="2">
        <f t="shared" si="298"/>
        <v>-1.7042258614979999</v>
      </c>
      <c r="AH297" s="2">
        <f t="shared" si="298"/>
        <v>0.13562394978468983</v>
      </c>
      <c r="AI297" s="18">
        <f t="shared" si="264"/>
        <v>153</v>
      </c>
      <c r="AJ297" s="2">
        <f t="shared" si="265"/>
        <v>1</v>
      </c>
    </row>
    <row r="298" spans="1:36" ht="10.5" customHeight="1" x14ac:dyDescent="0.25">
      <c r="A298" s="17">
        <v>290</v>
      </c>
      <c r="B298" s="2">
        <f t="shared" si="261"/>
        <v>8.8543386792650729</v>
      </c>
      <c r="C298" s="4">
        <v>2</v>
      </c>
      <c r="D298" s="4">
        <v>25.008832308738</v>
      </c>
      <c r="E298" s="18">
        <v>156</v>
      </c>
      <c r="F298" s="5">
        <v>0.10589999999999999</v>
      </c>
      <c r="G298" s="5">
        <v>2.1150000000000002</v>
      </c>
      <c r="H298" s="5">
        <v>1.288</v>
      </c>
      <c r="I298" s="5">
        <v>3.9169999999999998</v>
      </c>
      <c r="J298" s="5">
        <v>0.49220000000000003</v>
      </c>
      <c r="K298" s="5">
        <v>0.63390000000000002</v>
      </c>
      <c r="L298" s="5">
        <v>5.2930000000000001</v>
      </c>
      <c r="M298" s="5">
        <v>2.5640000000000001</v>
      </c>
      <c r="N298" s="5">
        <v>0.13669999999999999</v>
      </c>
      <c r="O298" s="5">
        <v>0.42820000000000003</v>
      </c>
      <c r="P298" s="5">
        <v>1.01E-3</v>
      </c>
      <c r="Q298" s="5">
        <v>4.2469999999999999</v>
      </c>
      <c r="R298" s="5">
        <v>2.2770000000000001</v>
      </c>
      <c r="S298" s="5">
        <v>4.6520000000000001</v>
      </c>
      <c r="T298" s="18">
        <f t="shared" si="262"/>
        <v>156</v>
      </c>
      <c r="U298" s="2">
        <f t="shared" ref="U298:AH298" si="299">IF(OR(F298=0,F298&lt;0.00001,F298&gt;100000),"",IF((IF(F298&gt;F$5,ABS(LOG(((F$5/SUM($F298:$S298))/(F$4/SUM($F$4:$S$4)))*4+2,2)),ABS(LOG(((F298/SUM($F298:$S298))/(F$4/SUM($F$4:$S$4)))*4+2,2)))-3)&gt;8,(IF(F298&gt;F$5,ABS(LOG(((F$5/SUM($F298:$S298))/(F$4/SUM($F$4:$S$4)))*4+2,2)),ABS(LOG(((F298/SUM($F298:$S298))/(F$4/SUM($F$4:$S$4)))*4+2,2)))-3)/7,IF(F298&gt;F$5,ABS(LOG(((F$5/SUM($F298:$S298))/(F$4/SUM($F$4:$S$4)))*4+2,2)),ABS(LOG(((F298/SUM($F298:$S298))/(F$4/SUM($F$4:$S$4)))*4+2,2)))-3))</f>
        <v>2.9778988840144383</v>
      </c>
      <c r="V298" s="2">
        <f t="shared" si="299"/>
        <v>5.5807436445937757</v>
      </c>
      <c r="W298" s="2">
        <f t="shared" si="299"/>
        <v>6.5396168863586102</v>
      </c>
      <c r="X298" s="2">
        <f t="shared" si="299"/>
        <v>5.1505413569922958</v>
      </c>
      <c r="Y298" s="2">
        <f t="shared" si="299"/>
        <v>2.3713666452335751</v>
      </c>
      <c r="Z298" s="2">
        <f t="shared" si="299"/>
        <v>1.4845027487713476</v>
      </c>
      <c r="AA298" s="2">
        <f t="shared" si="299"/>
        <v>7.5765784429577643</v>
      </c>
      <c r="AB298" s="2">
        <f t="shared" si="299"/>
        <v>5.6104005985939125</v>
      </c>
      <c r="AC298" s="2">
        <f t="shared" si="299"/>
        <v>1.6536023403236149</v>
      </c>
      <c r="AD298" s="2">
        <f t="shared" si="299"/>
        <v>-0.47925782523311167</v>
      </c>
      <c r="AE298" s="2">
        <f t="shared" si="299"/>
        <v>-1.9999994803860686</v>
      </c>
      <c r="AF298" s="2">
        <f t="shared" si="299"/>
        <v>-1.288638089039057</v>
      </c>
      <c r="AG298" s="2">
        <f t="shared" si="299"/>
        <v>-6.4345773496685688E-3</v>
      </c>
      <c r="AH298" s="2">
        <f t="shared" si="299"/>
        <v>-1.1759672922517308</v>
      </c>
      <c r="AI298" s="18">
        <f t="shared" si="264"/>
        <v>156</v>
      </c>
      <c r="AJ298" s="2">
        <f t="shared" si="265"/>
        <v>1</v>
      </c>
    </row>
    <row r="299" spans="1:36" ht="10.5" customHeight="1" x14ac:dyDescent="0.25">
      <c r="A299" s="17">
        <v>291</v>
      </c>
      <c r="B299" s="2">
        <f t="shared" si="261"/>
        <v>6.6640571558921025</v>
      </c>
      <c r="C299" s="4">
        <v>2</v>
      </c>
      <c r="D299" s="4">
        <v>22.200388415084699</v>
      </c>
      <c r="E299" s="18">
        <v>159</v>
      </c>
      <c r="F299" s="5">
        <v>0.70406435000000001</v>
      </c>
      <c r="G299" s="5">
        <v>0.46810750000000007</v>
      </c>
      <c r="H299" s="5">
        <v>1.40425</v>
      </c>
      <c r="I299" s="5">
        <v>6.3417499999999993</v>
      </c>
      <c r="J299" s="5">
        <v>1.6017999999999999</v>
      </c>
      <c r="K299" s="5">
        <v>6.1174500000000007</v>
      </c>
      <c r="L299" s="5">
        <v>1.4998750000000001</v>
      </c>
      <c r="M299" s="5">
        <v>0.5072000000000001</v>
      </c>
      <c r="N299" s="5">
        <v>0.54957500000000004</v>
      </c>
      <c r="O299" s="5">
        <v>0.80620000000000003</v>
      </c>
      <c r="P299" s="5">
        <v>4.1124999999999998E-3</v>
      </c>
      <c r="Q299" s="5">
        <v>20.281499999999998</v>
      </c>
      <c r="R299" s="5">
        <v>1.4575499999999999</v>
      </c>
      <c r="S299" s="5">
        <v>11.498000000000001</v>
      </c>
      <c r="T299" s="18">
        <f t="shared" si="262"/>
        <v>159</v>
      </c>
      <c r="U299" s="2">
        <f t="shared" ref="U299:AH299" si="300">IF(OR(F299=0,F299&lt;0.00001,F299&gt;100000),"",IF((IF(F299&gt;F$5,ABS(LOG(((F$5/SUM($F299:$S299))/(F$4/SUM($F$4:$S$4)))*4+2,2)),ABS(LOG(((F299/SUM($F299:$S299))/(F$4/SUM($F$4:$S$4)))*4+2,2)))-3)&gt;8,(IF(F299&gt;F$5,ABS(LOG(((F$5/SUM($F299:$S299))/(F$4/SUM($F$4:$S$4)))*4+2,2)),ABS(LOG(((F299/SUM($F299:$S299))/(F$4/SUM($F$4:$S$4)))*4+2,2)))-3)/7,IF(F299&gt;F$5,ABS(LOG(((F$5/SUM($F299:$S299))/(F$4/SUM($F$4:$S$4)))*4+2,2)),ABS(LOG(((F299/SUM($F299:$S299))/(F$4/SUM($F$4:$S$4)))*4+2,2)))-3))</f>
        <v>4.758401131273331</v>
      </c>
      <c r="V299" s="2">
        <f t="shared" si="300"/>
        <v>2.5413988781817078</v>
      </c>
      <c r="W299" s="2">
        <f t="shared" si="300"/>
        <v>5.7477618937655386</v>
      </c>
      <c r="X299" s="2">
        <f t="shared" si="300"/>
        <v>4.9280118655179912</v>
      </c>
      <c r="Y299" s="2">
        <f t="shared" si="300"/>
        <v>3.1248811768691747</v>
      </c>
      <c r="Z299" s="2">
        <f t="shared" si="300"/>
        <v>1.4846940493697729</v>
      </c>
      <c r="AA299" s="2">
        <f t="shared" si="300"/>
        <v>4.848648843323156</v>
      </c>
      <c r="AB299" s="2">
        <f t="shared" si="300"/>
        <v>2.4151200483486157</v>
      </c>
      <c r="AC299" s="2">
        <f t="shared" si="300"/>
        <v>2.6795146280759541</v>
      </c>
      <c r="AD299" s="2">
        <f t="shared" si="300"/>
        <v>-0.48349889300683602</v>
      </c>
      <c r="AE299" s="2">
        <f t="shared" si="300"/>
        <v>-1.9999997252589747</v>
      </c>
      <c r="AF299" s="2">
        <f t="shared" si="300"/>
        <v>-0.61633546256429028</v>
      </c>
      <c r="AG299" s="2">
        <f t="shared" si="300"/>
        <v>-0.99327445882882381</v>
      </c>
      <c r="AH299" s="2">
        <f t="shared" si="300"/>
        <v>-0.99515506518224539</v>
      </c>
      <c r="AI299" s="18">
        <f t="shared" si="264"/>
        <v>159</v>
      </c>
      <c r="AJ299" s="2">
        <f t="shared" si="265"/>
        <v>1</v>
      </c>
    </row>
    <row r="300" spans="1:36" ht="10.5" customHeight="1" x14ac:dyDescent="0.25">
      <c r="A300" s="17">
        <v>292</v>
      </c>
      <c r="B300" s="2">
        <f t="shared" si="261"/>
        <v>6.251169229772283</v>
      </c>
      <c r="C300" s="4">
        <v>2</v>
      </c>
      <c r="D300" s="4">
        <v>28.627703886083101</v>
      </c>
      <c r="E300" s="18">
        <v>193</v>
      </c>
      <c r="F300" s="5">
        <v>1.8700000000000001E-2</v>
      </c>
      <c r="G300" s="5">
        <v>4.1669999999999998</v>
      </c>
      <c r="H300" s="5">
        <v>20.78</v>
      </c>
      <c r="I300" s="5">
        <v>32.340000000000003</v>
      </c>
      <c r="J300" s="5">
        <v>52.93</v>
      </c>
      <c r="K300" s="5">
        <v>31.17</v>
      </c>
      <c r="L300" s="5">
        <v>10.36</v>
      </c>
      <c r="M300" s="5">
        <v>47.2</v>
      </c>
      <c r="N300" s="5">
        <v>12.07</v>
      </c>
      <c r="O300" s="5">
        <v>2.0760000000000001</v>
      </c>
      <c r="P300" s="5">
        <v>4.9599999999999998E-2</v>
      </c>
      <c r="Q300" s="5">
        <v>549.1</v>
      </c>
      <c r="R300" s="5">
        <v>7.3700000000000002E-4</v>
      </c>
      <c r="S300" s="5">
        <v>60.44</v>
      </c>
      <c r="T300" s="18">
        <f t="shared" si="262"/>
        <v>193</v>
      </c>
      <c r="U300" s="2">
        <f t="shared" ref="U300:AH300" si="301">IF(OR(F300=0,F300&lt;0.00001,F300&gt;100000),"",IF((IF(F300&gt;F$5,ABS(LOG(((F$5/SUM($F300:$S300))/(F$4/SUM($F$4:$S$4)))*4+2,2)),ABS(LOG(((F300/SUM($F300:$S300))/(F$4/SUM($F$4:$S$4)))*4+2,2)))-3)&gt;8,(IF(F300&gt;F$5,ABS(LOG(((F$5/SUM($F300:$S300))/(F$4/SUM($F$4:$S$4)))*4+2,2)),ABS(LOG(((F300/SUM($F300:$S300))/(F$4/SUM($F$4:$S$4)))*4+2,2)))-3)/7,IF(F300&gt;F$5,ABS(LOG(((F$5/SUM($F300:$S300))/(F$4/SUM($F$4:$S$4)))*4+2,2)),ABS(LOG(((F300/SUM($F300:$S300))/(F$4/SUM($F$4:$S$4)))*4+2,2)))-3))</f>
        <v>-1.7558814249839985</v>
      </c>
      <c r="V300" s="2">
        <f t="shared" si="301"/>
        <v>1.790632356358679</v>
      </c>
      <c r="W300" s="2">
        <f t="shared" si="301"/>
        <v>5.6856339470305546</v>
      </c>
      <c r="X300" s="2">
        <f t="shared" si="301"/>
        <v>3.3524841498961564</v>
      </c>
      <c r="Y300" s="2">
        <f t="shared" si="301"/>
        <v>4.1992711730377854</v>
      </c>
      <c r="Z300" s="2">
        <f t="shared" si="301"/>
        <v>6.4469814139079133</v>
      </c>
      <c r="AA300" s="2">
        <f t="shared" si="301"/>
        <v>3.7024133442338991</v>
      </c>
      <c r="AB300" s="2">
        <f t="shared" si="301"/>
        <v>4.3007935852394077</v>
      </c>
      <c r="AC300" s="2">
        <f t="shared" si="301"/>
        <v>3.1699459522515951</v>
      </c>
      <c r="AD300" s="2">
        <f t="shared" si="301"/>
        <v>-1.6103011831955167</v>
      </c>
      <c r="AE300" s="2">
        <f t="shared" si="301"/>
        <v>-1.999999982220042</v>
      </c>
      <c r="AF300" s="2">
        <f t="shared" si="301"/>
        <v>-6.6556633393279885E-2</v>
      </c>
      <c r="AG300" s="2">
        <f t="shared" si="301"/>
        <v>-1.9999523504995065</v>
      </c>
      <c r="AH300" s="2">
        <f t="shared" si="301"/>
        <v>-1.5751111240664766</v>
      </c>
      <c r="AI300" s="18">
        <f t="shared" si="264"/>
        <v>193</v>
      </c>
      <c r="AJ300" s="2">
        <f t="shared" si="265"/>
        <v>2.1627703886083101</v>
      </c>
    </row>
    <row r="301" spans="1:36" ht="10.5" customHeight="1" x14ac:dyDescent="0.25">
      <c r="A301" s="17">
        <v>293</v>
      </c>
      <c r="B301" s="2">
        <f t="shared" si="261"/>
        <v>5.8510515008333952</v>
      </c>
      <c r="C301" s="4">
        <v>2</v>
      </c>
      <c r="D301" s="4">
        <v>22.3326499949561</v>
      </c>
      <c r="E301" s="18">
        <v>200</v>
      </c>
      <c r="F301" s="5">
        <v>0.94269999999999998</v>
      </c>
      <c r="G301" s="5">
        <v>0.14050000000000001</v>
      </c>
      <c r="H301" s="5">
        <v>2.0089999999999999</v>
      </c>
      <c r="I301" s="5">
        <v>6.923</v>
      </c>
      <c r="J301" s="5">
        <v>2.226</v>
      </c>
      <c r="K301" s="5">
        <v>5.0739999999999998</v>
      </c>
      <c r="L301" s="5">
        <v>1.9690000000000001</v>
      </c>
      <c r="M301" s="5">
        <v>5.0119999999999996</v>
      </c>
      <c r="N301" s="5">
        <v>0.86019999999999996</v>
      </c>
      <c r="O301" s="5">
        <v>4.0300000000000002E-2</v>
      </c>
      <c r="P301" s="5">
        <v>5.7500000000000002E-5</v>
      </c>
      <c r="Q301" s="5">
        <v>58.83</v>
      </c>
      <c r="R301" s="5">
        <v>0.19520000000000001</v>
      </c>
      <c r="S301" s="5">
        <v>2.7629999999999999</v>
      </c>
      <c r="T301" s="18">
        <f t="shared" si="262"/>
        <v>200</v>
      </c>
      <c r="U301" s="2">
        <f t="shared" ref="U301:AH301" si="302">IF(OR(F301=0,F301&lt;0.00001,F301&gt;100000),"",IF((IF(F301&gt;F$5,ABS(LOG(((F$5/SUM($F301:$S301))/(F$4/SUM($F$4:$S$4)))*4+2,2)),ABS(LOG(((F301/SUM($F301:$S301))/(F$4/SUM($F$4:$S$4)))*4+2,2)))-3)&gt;8,(IF(F301&gt;F$5,ABS(LOG(((F$5/SUM($F301:$S301))/(F$4/SUM($F$4:$S$4)))*4+2,2)),ABS(LOG(((F301/SUM($F301:$S301))/(F$4/SUM($F$4:$S$4)))*4+2,2)))-3)/7,IF(F301&gt;F$5,ABS(LOG(((F$5/SUM($F301:$S301))/(F$4/SUM($F$4:$S$4)))*4+2,2)),ABS(LOG(((F301/SUM($F301:$S301))/(F$4/SUM($F$4:$S$4)))*4+2,2)))-3))</f>
        <v>4.4742075129021641</v>
      </c>
      <c r="V301" s="2">
        <f t="shared" si="302"/>
        <v>0.3488606401364911</v>
      </c>
      <c r="W301" s="2">
        <f t="shared" si="302"/>
        <v>5.557175852213156</v>
      </c>
      <c r="X301" s="2">
        <f t="shared" si="302"/>
        <v>4.3521834711934719</v>
      </c>
      <c r="Y301" s="2">
        <f t="shared" si="302"/>
        <v>2.8986683673310001</v>
      </c>
      <c r="Z301" s="2">
        <f t="shared" si="302"/>
        <v>1.3835445510635913</v>
      </c>
      <c r="AA301" s="2">
        <f t="shared" si="302"/>
        <v>4.5361108498240021</v>
      </c>
      <c r="AB301" s="2">
        <f t="shared" si="302"/>
        <v>4.9540874047138903</v>
      </c>
      <c r="AC301" s="2">
        <f t="shared" si="302"/>
        <v>2.6201183025614307</v>
      </c>
      <c r="AD301" s="2">
        <f t="shared" si="302"/>
        <v>-1.9201086233562077</v>
      </c>
      <c r="AE301" s="2">
        <f t="shared" si="302"/>
        <v>-1.999999831837513</v>
      </c>
      <c r="AF301" s="2">
        <f t="shared" si="302"/>
        <v>-5.2442174766946792E-2</v>
      </c>
      <c r="AG301" s="2">
        <f t="shared" si="302"/>
        <v>-1.8853166522706633</v>
      </c>
      <c r="AH301" s="2">
        <f t="shared" si="302"/>
        <v>-1.8007854688231395</v>
      </c>
      <c r="AI301" s="18">
        <f t="shared" si="264"/>
        <v>200</v>
      </c>
      <c r="AJ301" s="2">
        <f t="shared" si="265"/>
        <v>1</v>
      </c>
    </row>
    <row r="302" spans="1:36" ht="10.5" customHeight="1" x14ac:dyDescent="0.25">
      <c r="A302" s="17">
        <v>294</v>
      </c>
      <c r="B302" s="2">
        <f t="shared" si="261"/>
        <v>6.3053819199702899</v>
      </c>
      <c r="C302" s="4">
        <v>2</v>
      </c>
      <c r="D302" s="4">
        <v>23.7527496276916</v>
      </c>
      <c r="E302" s="18">
        <v>209</v>
      </c>
      <c r="F302" s="5">
        <v>0.835225</v>
      </c>
      <c r="G302" s="5">
        <v>0.11567500000000001</v>
      </c>
      <c r="H302" s="5">
        <v>2.3796750000000002</v>
      </c>
      <c r="I302" s="5">
        <v>1.3719999999999999</v>
      </c>
      <c r="J302" s="5">
        <v>2.8425000000000002</v>
      </c>
      <c r="K302" s="5">
        <v>1.0020500000000001</v>
      </c>
      <c r="L302" s="5">
        <v>1.5859999999999999</v>
      </c>
      <c r="M302" s="5">
        <v>27.764324999999999</v>
      </c>
      <c r="N302" s="5">
        <v>1.7959000000000001</v>
      </c>
      <c r="O302" s="5">
        <v>25.577234999999998</v>
      </c>
      <c r="P302" s="5">
        <v>4.4747500000000003E-2</v>
      </c>
      <c r="Q302" s="5">
        <v>189.4375</v>
      </c>
      <c r="R302" s="5">
        <v>0.15749574999999999</v>
      </c>
      <c r="S302" s="5">
        <v>35.117249999999999</v>
      </c>
      <c r="T302" s="18">
        <f t="shared" si="262"/>
        <v>209</v>
      </c>
      <c r="U302" s="2">
        <f t="shared" ref="U302:AH302" si="303">IF(OR(F302=0,F302&lt;0.00001,F302&gt;100000),"",IF((IF(F302&gt;F$5,ABS(LOG(((F$5/SUM($F302:$S302))/(F$4/SUM($F$4:$S$4)))*4+2,2)),ABS(LOG(((F302/SUM($F302:$S302))/(F$4/SUM($F$4:$S$4)))*4+2,2)))-3)&gt;8,(IF(F302&gt;F$5,ABS(LOG(((F$5/SUM($F302:$S302))/(F$4/SUM($F$4:$S$4)))*4+2,2)),ABS(LOG(((F302/SUM($F302:$S302))/(F$4/SUM($F$4:$S$4)))*4+2,2)))-3)/7,IF(F302&gt;F$5,ABS(LOG(((F$5/SUM($F302:$S302))/(F$4/SUM($F$4:$S$4)))*4+2,2)),ABS(LOG(((F302/SUM($F302:$S302))/(F$4/SUM($F$4:$S$4)))*4+2,2)))-3))</f>
        <v>2.6063788401579142</v>
      </c>
      <c r="V302" s="2">
        <f t="shared" si="303"/>
        <v>-0.99210724443671205</v>
      </c>
      <c r="W302" s="2">
        <f t="shared" si="303"/>
        <v>4.0779461874063427</v>
      </c>
      <c r="X302" s="2">
        <f t="shared" si="303"/>
        <v>0.53515216661136478</v>
      </c>
      <c r="Y302" s="2">
        <f t="shared" si="303"/>
        <v>1.5899107878660335</v>
      </c>
      <c r="Z302" s="2">
        <f t="shared" si="303"/>
        <v>7.6886906556000394</v>
      </c>
      <c r="AA302" s="2">
        <f t="shared" si="303"/>
        <v>2.5346850139080885</v>
      </c>
      <c r="AB302" s="2">
        <f t="shared" si="303"/>
        <v>5.6818695196928353</v>
      </c>
      <c r="AC302" s="2">
        <f t="shared" si="303"/>
        <v>1.9793353681958452</v>
      </c>
      <c r="AD302" s="2">
        <f t="shared" si="303"/>
        <v>1.5653837672126967</v>
      </c>
      <c r="AE302" s="2">
        <f t="shared" si="303"/>
        <v>-1.9999999495647705</v>
      </c>
      <c r="AF302" s="2">
        <f t="shared" si="303"/>
        <v>-8.9498744730190705E-2</v>
      </c>
      <c r="AG302" s="2">
        <f t="shared" si="303"/>
        <v>-1.9714005034932931</v>
      </c>
      <c r="AH302" s="2">
        <f t="shared" si="303"/>
        <v>-1.3543501683240187</v>
      </c>
      <c r="AI302" s="18">
        <f t="shared" si="264"/>
        <v>209</v>
      </c>
      <c r="AJ302" s="2">
        <f t="shared" si="265"/>
        <v>1</v>
      </c>
    </row>
    <row r="303" spans="1:36" ht="10.5" customHeight="1" x14ac:dyDescent="0.25">
      <c r="A303" s="17">
        <v>295</v>
      </c>
      <c r="B303" s="2">
        <f t="shared" si="261"/>
        <v>6.526271210217014</v>
      </c>
      <c r="C303" s="4">
        <v>2</v>
      </c>
      <c r="D303" s="4">
        <v>22.818413382973599</v>
      </c>
      <c r="E303" s="18">
        <v>211</v>
      </c>
      <c r="F303" s="5">
        <v>2.5499999999999998E-2</v>
      </c>
      <c r="G303" s="5">
        <v>0.11700000000000001</v>
      </c>
      <c r="H303" s="5">
        <v>0.15010000000000001</v>
      </c>
      <c r="I303" s="5">
        <v>1.387</v>
      </c>
      <c r="J303" s="5">
        <v>0.31380000000000002</v>
      </c>
      <c r="K303" s="5">
        <v>0.2208</v>
      </c>
      <c r="L303" s="5">
        <v>0.94740000000000002</v>
      </c>
      <c r="M303" s="5">
        <v>0.2107</v>
      </c>
      <c r="N303" s="5">
        <v>9.3899999999999995E-4</v>
      </c>
      <c r="O303" s="5">
        <v>2.5019999999999998</v>
      </c>
      <c r="P303" s="5">
        <v>4.1100000000000002E-4</v>
      </c>
      <c r="Q303" s="5">
        <v>1.111</v>
      </c>
      <c r="R303" s="5">
        <v>0.14199999999999999</v>
      </c>
      <c r="S303" s="5">
        <v>3.7469999999999999</v>
      </c>
      <c r="T303" s="18">
        <f t="shared" si="262"/>
        <v>211</v>
      </c>
      <c r="U303" s="2">
        <f t="shared" ref="U303:AH303" si="304">IF(OR(F303=0,F303&lt;0.00001,F303&gt;100000),"",IF((IF(F303&gt;F$5,ABS(LOG(((F$5/SUM($F303:$S303))/(F$4/SUM($F$4:$S$4)))*4+2,2)),ABS(LOG(((F303/SUM($F303:$S303))/(F$4/SUM($F$4:$S$4)))*4+2,2)))-3)&gt;8,(IF(F303&gt;F$5,ABS(LOG(((F$5/SUM($F303:$S303))/(F$4/SUM($F$4:$S$4)))*4+2,2)),ABS(LOG(((F303/SUM($F303:$S303))/(F$4/SUM($F$4:$S$4)))*4+2,2)))-3)/7,IF(F303&gt;F$5,ABS(LOG(((F$5/SUM($F303:$S303))/(F$4/SUM($F$4:$S$4)))*4+2,2)),ABS(LOG(((F303/SUM($F303:$S303))/(F$4/SUM($F$4:$S$4)))*4+2,2)))-3))</f>
        <v>2.3232539162122325</v>
      </c>
      <c r="V303" s="2">
        <f t="shared" si="304"/>
        <v>2.8211495844958119</v>
      </c>
      <c r="W303" s="2">
        <f t="shared" si="304"/>
        <v>4.8195079389052271</v>
      </c>
      <c r="X303" s="2">
        <f t="shared" si="304"/>
        <v>5.0257640726660533</v>
      </c>
      <c r="Y303" s="2">
        <f t="shared" si="304"/>
        <v>3.0663167507947415</v>
      </c>
      <c r="Z303" s="2">
        <f t="shared" si="304"/>
        <v>1.4631590542333026</v>
      </c>
      <c r="AA303" s="2">
        <f t="shared" si="304"/>
        <v>6.4688053800979457</v>
      </c>
      <c r="AB303" s="2">
        <f t="shared" si="304"/>
        <v>3.4044164093003388</v>
      </c>
      <c r="AC303" s="2">
        <f t="shared" si="304"/>
        <v>-1.7297967702326418</v>
      </c>
      <c r="AD303" s="2">
        <f t="shared" si="304"/>
        <v>2.8715147585537215</v>
      </c>
      <c r="AE303" s="2">
        <f t="shared" si="304"/>
        <v>-1.9999986550136468</v>
      </c>
      <c r="AF303" s="2">
        <f t="shared" si="304"/>
        <v>-1.4824066802087057</v>
      </c>
      <c r="AG303" s="2">
        <f t="shared" si="304"/>
        <v>-1.4330461998862216</v>
      </c>
      <c r="AH303" s="2">
        <f t="shared" si="304"/>
        <v>-0.61811699250345109</v>
      </c>
      <c r="AI303" s="18">
        <f t="shared" si="264"/>
        <v>211</v>
      </c>
      <c r="AJ303" s="2">
        <f t="shared" si="265"/>
        <v>1</v>
      </c>
    </row>
    <row r="304" spans="1:36" ht="10.5" customHeight="1" x14ac:dyDescent="0.25">
      <c r="A304" s="17">
        <v>296</v>
      </c>
      <c r="B304" s="2">
        <f t="shared" si="261"/>
        <v>8.3502136260095963</v>
      </c>
      <c r="C304" s="4">
        <v>2</v>
      </c>
      <c r="D304" s="4">
        <v>23.4364754545993</v>
      </c>
      <c r="E304" s="18">
        <v>213</v>
      </c>
      <c r="F304" s="5">
        <v>7.3899999999999993E-2</v>
      </c>
      <c r="G304" s="5">
        <v>0.86909999999999998</v>
      </c>
      <c r="H304" s="5">
        <v>0.77880000000000005</v>
      </c>
      <c r="I304" s="5">
        <v>1.3620000000000001</v>
      </c>
      <c r="J304" s="5">
        <v>1.1990000000000001</v>
      </c>
      <c r="K304" s="5">
        <v>0.12520000000000001</v>
      </c>
      <c r="L304" s="5">
        <v>3.327</v>
      </c>
      <c r="M304" s="5">
        <v>1.5249999999999999</v>
      </c>
      <c r="N304" s="5">
        <v>0.58309999999999995</v>
      </c>
      <c r="O304" s="5">
        <v>3.4449999999999998</v>
      </c>
      <c r="P304" s="5">
        <v>5.0000000000000002E-5</v>
      </c>
      <c r="Q304" s="5">
        <v>4.7</v>
      </c>
      <c r="R304" s="5">
        <v>1.7699999999999999E-4</v>
      </c>
      <c r="S304" s="5">
        <v>30.19</v>
      </c>
      <c r="T304" s="18">
        <f t="shared" si="262"/>
        <v>213</v>
      </c>
      <c r="U304" s="2">
        <f t="shared" ref="U304:AH304" si="305">IF(OR(F304=0,F304&lt;0.00001,F304&gt;100000),"",IF((IF(F304&gt;F$5,ABS(LOG(((F$5/SUM($F304:$S304))/(F$4/SUM($F$4:$S$4)))*4+2,2)),ABS(LOG(((F304/SUM($F304:$S304))/(F$4/SUM($F$4:$S$4)))*4+2,2)))-3)&gt;8,(IF(F304&gt;F$5,ABS(LOG(((F$5/SUM($F304:$S304))/(F$4/SUM($F$4:$S$4)))*4+2,2)),ABS(LOG(((F304/SUM($F304:$S304))/(F$4/SUM($F$4:$S$4)))*4+2,2)))-3)/7,IF(F304&gt;F$5,ABS(LOG(((F$5/SUM($F304:$S304))/(F$4/SUM($F$4:$S$4)))*4+2,2)),ABS(LOG(((F304/SUM($F304:$S304))/(F$4/SUM($F$4:$S$4)))*4+2,2)))-3))</f>
        <v>1.7486490833826922</v>
      </c>
      <c r="V304" s="2">
        <f t="shared" si="305"/>
        <v>3.5461328149888844</v>
      </c>
      <c r="W304" s="2">
        <f t="shared" si="305"/>
        <v>5.0456854098447561</v>
      </c>
      <c r="X304" s="2">
        <f t="shared" si="305"/>
        <v>2.8906006747119886</v>
      </c>
      <c r="Y304" s="2">
        <f t="shared" si="305"/>
        <v>2.8597954220784514</v>
      </c>
      <c r="Z304" s="2">
        <f t="shared" si="305"/>
        <v>7.2783524757582612</v>
      </c>
      <c r="AA304" s="2">
        <f t="shared" si="305"/>
        <v>6.1347633216497801</v>
      </c>
      <c r="AB304" s="2">
        <f t="shared" si="305"/>
        <v>4.0994053310245278</v>
      </c>
      <c r="AC304" s="2">
        <f t="shared" si="305"/>
        <v>2.9007999201801136</v>
      </c>
      <c r="AD304" s="2">
        <f t="shared" si="305"/>
        <v>1.2909910714538944</v>
      </c>
      <c r="AE304" s="2">
        <f t="shared" si="305"/>
        <v>-1.9999996963861757</v>
      </c>
      <c r="AF304" s="2">
        <f t="shared" si="305"/>
        <v>-1.5021276381838125</v>
      </c>
      <c r="AG304" s="2">
        <f t="shared" si="305"/>
        <v>-1.9998045963152851</v>
      </c>
      <c r="AH304" s="2">
        <f t="shared" si="305"/>
        <v>-2.8730487723859888E-2</v>
      </c>
      <c r="AI304" s="18">
        <f t="shared" si="264"/>
        <v>213</v>
      </c>
      <c r="AJ304" s="2">
        <f t="shared" si="265"/>
        <v>1</v>
      </c>
    </row>
    <row r="305" spans="1:36" ht="10.5" customHeight="1" x14ac:dyDescent="0.25">
      <c r="A305" s="17">
        <v>297</v>
      </c>
      <c r="B305" s="2">
        <f t="shared" si="261"/>
        <v>6.4312411996680199</v>
      </c>
      <c r="C305" s="4">
        <v>2</v>
      </c>
      <c r="D305" s="4">
        <v>24.291604149704</v>
      </c>
      <c r="E305" s="18">
        <v>218</v>
      </c>
      <c r="F305" s="5">
        <v>0.04</v>
      </c>
      <c r="G305" s="5">
        <v>0.84009999999999996</v>
      </c>
      <c r="H305" s="5">
        <v>0.2107</v>
      </c>
      <c r="I305" s="5">
        <v>0.73770000000000002</v>
      </c>
      <c r="J305" s="5">
        <v>2.71</v>
      </c>
      <c r="K305" s="5">
        <v>5.7700000000000001E-2</v>
      </c>
      <c r="L305" s="5">
        <v>0.82130000000000003</v>
      </c>
      <c r="M305" s="5">
        <v>0.5242</v>
      </c>
      <c r="N305" s="5">
        <v>1.07E-3</v>
      </c>
      <c r="O305" s="5">
        <v>0.74539999999999995</v>
      </c>
      <c r="P305" s="5">
        <v>2.24E-4</v>
      </c>
      <c r="Q305" s="5">
        <v>2.6440000000000001</v>
      </c>
      <c r="R305" s="5">
        <v>0.45229999999999998</v>
      </c>
      <c r="S305" s="5">
        <v>22.99</v>
      </c>
      <c r="T305" s="18">
        <f t="shared" si="262"/>
        <v>218</v>
      </c>
      <c r="U305" s="2">
        <f t="shared" ref="U305:AH305" si="306">IF(OR(F305=0,F305&lt;0.00001,F305&gt;100000),"",IF((IF(F305&gt;F$5,ABS(LOG(((F$5/SUM($F305:$S305))/(F$4/SUM($F$4:$S$4)))*4+2,2)),ABS(LOG(((F305/SUM($F305:$S305))/(F$4/SUM($F$4:$S$4)))*4+2,2)))-3)&gt;8,(IF(F305&gt;F$5,ABS(LOG(((F$5/SUM($F305:$S305))/(F$4/SUM($F$4:$S$4)))*4+2,2)),ABS(LOG(((F305/SUM($F305:$S305))/(F$4/SUM($F$4:$S$4)))*4+2,2)))-3)/7,IF(F305&gt;F$5,ABS(LOG(((F$5/SUM($F305:$S305))/(F$4/SUM($F$4:$S$4)))*4+2,2)),ABS(LOG(((F305/SUM($F305:$S305))/(F$4/SUM($F$4:$S$4)))*4+2,2)))-3))</f>
        <v>1.4461805054683987</v>
      </c>
      <c r="V305" s="2">
        <f t="shared" si="306"/>
        <v>4.043797889494031</v>
      </c>
      <c r="W305" s="2">
        <f t="shared" si="306"/>
        <v>3.7318684793127641</v>
      </c>
      <c r="X305" s="2">
        <f t="shared" si="306"/>
        <v>2.5741787202986881</v>
      </c>
      <c r="Y305" s="2">
        <f t="shared" si="306"/>
        <v>4.5569024695271949</v>
      </c>
      <c r="Z305" s="2">
        <f t="shared" si="306"/>
        <v>6.7176688373626572</v>
      </c>
      <c r="AA305" s="2">
        <f t="shared" si="306"/>
        <v>4.6813087224377421</v>
      </c>
      <c r="AB305" s="2">
        <f t="shared" si="306"/>
        <v>3.1350423137895937</v>
      </c>
      <c r="AC305" s="2">
        <f t="shared" si="306"/>
        <v>-1.8917964613815237</v>
      </c>
      <c r="AD305" s="2">
        <f t="shared" si="306"/>
        <v>-7.5866483522673445E-2</v>
      </c>
      <c r="AE305" s="2">
        <f t="shared" si="306"/>
        <v>-1.9999995536920836</v>
      </c>
      <c r="AF305" s="2">
        <f t="shared" si="306"/>
        <v>-1.5768968762482936</v>
      </c>
      <c r="AG305" s="2">
        <f t="shared" si="306"/>
        <v>-1.4065906785126427</v>
      </c>
      <c r="AH305" s="2">
        <f t="shared" si="306"/>
        <v>9.4215910666114677E-2</v>
      </c>
      <c r="AI305" s="18">
        <f t="shared" si="264"/>
        <v>218</v>
      </c>
      <c r="AJ305" s="2">
        <f t="shared" si="265"/>
        <v>1</v>
      </c>
    </row>
    <row r="306" spans="1:36" ht="10.5" customHeight="1" x14ac:dyDescent="0.25">
      <c r="A306" s="17">
        <v>298</v>
      </c>
      <c r="B306" s="2">
        <f t="shared" si="261"/>
        <v>7.3269221825354336</v>
      </c>
      <c r="C306" s="4">
        <v>2</v>
      </c>
      <c r="D306" s="4">
        <v>21.602264731826899</v>
      </c>
      <c r="E306" s="18">
        <v>219</v>
      </c>
      <c r="F306" s="5">
        <v>7.4099999999999999E-3</v>
      </c>
      <c r="G306" s="5">
        <v>7.2700000000000005E-5</v>
      </c>
      <c r="H306" s="5">
        <v>6.7400000000000002E-2</v>
      </c>
      <c r="I306" s="5">
        <v>0.1434</v>
      </c>
      <c r="J306" s="5">
        <v>7.3700000000000002E-2</v>
      </c>
      <c r="K306" s="5">
        <v>1.83E-2</v>
      </c>
      <c r="L306" s="5">
        <v>2.64E-2</v>
      </c>
      <c r="M306" s="5">
        <v>1.7299999999999999E-2</v>
      </c>
      <c r="N306" s="5">
        <v>6.0299999999999999E-6</v>
      </c>
      <c r="O306" s="5">
        <v>0.2041</v>
      </c>
      <c r="P306" s="5">
        <v>6.9499999999999998E-4</v>
      </c>
      <c r="Q306" s="5">
        <v>0.13239999999999999</v>
      </c>
      <c r="R306" s="5">
        <v>2.9899999999999999E-2</v>
      </c>
      <c r="S306" s="5">
        <v>0.13980000000000001</v>
      </c>
      <c r="T306" s="18">
        <f t="shared" si="262"/>
        <v>219</v>
      </c>
      <c r="U306" s="2">
        <f t="shared" ref="U306:AH306" si="307">IF(OR(F306=0,F306&lt;0.00001,F306&gt;100000),"",IF((IF(F306&gt;F$5,ABS(LOG(((F$5/SUM($F306:$S306))/(F$4/SUM($F$4:$S$4)))*4+2,2)),ABS(LOG(((F306/SUM($F306:$S306))/(F$4/SUM($F$4:$S$4)))*4+2,2)))-3)&gt;8,(IF(F306&gt;F$5,ABS(LOG(((F$5/SUM($F306:$S306))/(F$4/SUM($F$4:$S$4)))*4+2,2)),ABS(LOG(((F306/SUM($F306:$S306))/(F$4/SUM($F$4:$S$4)))*4+2,2)))-3)/7,IF(F306&gt;F$5,ABS(LOG(((F$5/SUM($F306:$S306))/(F$4/SUM($F$4:$S$4)))*4+2,2)),ABS(LOG(((F306/SUM($F306:$S306))/(F$4/SUM($F$4:$S$4)))*4+2,2)))-3))</f>
        <v>4.1460280002328922</v>
      </c>
      <c r="V306" s="2">
        <f t="shared" si="307"/>
        <v>-1.7201642821994592</v>
      </c>
      <c r="W306" s="2">
        <f t="shared" si="307"/>
        <v>7.3129838563703551</v>
      </c>
      <c r="X306" s="2">
        <f t="shared" si="307"/>
        <v>5.4084554064990584</v>
      </c>
      <c r="Y306" s="2">
        <f t="shared" si="307"/>
        <v>4.6065146939125148</v>
      </c>
      <c r="Z306" s="2">
        <f t="shared" si="307"/>
        <v>1.4726306854692781</v>
      </c>
      <c r="AA306" s="2">
        <f t="shared" si="307"/>
        <v>4.9700567501034261</v>
      </c>
      <c r="AB306" s="2">
        <f t="shared" si="307"/>
        <v>3.4559849857792111</v>
      </c>
      <c r="AC306" s="2" t="str">
        <f t="shared" si="307"/>
        <v/>
      </c>
      <c r="AD306" s="2">
        <f t="shared" si="307"/>
        <v>2.9134590429556759</v>
      </c>
      <c r="AE306" s="2">
        <f t="shared" si="307"/>
        <v>-1.9999830087141839</v>
      </c>
      <c r="AF306" s="2">
        <f t="shared" si="307"/>
        <v>-1.2777725745850597</v>
      </c>
      <c r="AG306" s="2">
        <f t="shared" si="307"/>
        <v>-0.81062525381347639</v>
      </c>
      <c r="AH306" s="2">
        <f t="shared" si="307"/>
        <v>-1.1868767996818479</v>
      </c>
      <c r="AI306" s="18">
        <f t="shared" si="264"/>
        <v>219</v>
      </c>
      <c r="AJ306" s="2">
        <f t="shared" si="265"/>
        <v>1</v>
      </c>
    </row>
    <row r="307" spans="1:36" ht="10.5" customHeight="1" x14ac:dyDescent="0.25">
      <c r="A307" s="17">
        <v>299</v>
      </c>
      <c r="B307" s="2">
        <f t="shared" si="261"/>
        <v>5.7403135539887762</v>
      </c>
      <c r="C307" s="4">
        <v>2</v>
      </c>
      <c r="D307" s="4">
        <v>21.510422577492299</v>
      </c>
      <c r="E307" s="18">
        <v>220</v>
      </c>
      <c r="F307" s="5">
        <v>7.1599999999999997E-3</v>
      </c>
      <c r="G307" s="5">
        <v>1.6800000000000001E-3</v>
      </c>
      <c r="H307" s="5">
        <v>7.8700000000000006E-2</v>
      </c>
      <c r="I307" s="5">
        <v>1.071</v>
      </c>
      <c r="J307" s="5">
        <v>0.18160000000000001</v>
      </c>
      <c r="K307" s="5">
        <v>8.2600000000000007E-2</v>
      </c>
      <c r="L307" s="5">
        <v>0.44900000000000001</v>
      </c>
      <c r="M307" s="5">
        <v>0.21809999999999999</v>
      </c>
      <c r="N307" s="5">
        <v>0.1167</v>
      </c>
      <c r="O307" s="5">
        <v>1.155</v>
      </c>
      <c r="P307" s="5">
        <v>1.04E-2</v>
      </c>
      <c r="Q307" s="5">
        <v>0.83819999999999995</v>
      </c>
      <c r="R307" s="5">
        <v>0.26919999999999999</v>
      </c>
      <c r="S307" s="5">
        <v>4.2709999999999999</v>
      </c>
      <c r="T307" s="18">
        <f t="shared" si="262"/>
        <v>220</v>
      </c>
      <c r="U307" s="2">
        <f t="shared" ref="U307:AH307" si="308">IF(OR(F307=0,F307&lt;0.00001,F307&gt;100000),"",IF((IF(F307&gt;F$5,ABS(LOG(((F$5/SUM($F307:$S307))/(F$4/SUM($F$4:$S$4)))*4+2,2)),ABS(LOG(((F307/SUM($F307:$S307))/(F$4/SUM($F$4:$S$4)))*4+2,2)))-3)&gt;8,(IF(F307&gt;F$5,ABS(LOG(((F$5/SUM($F307:$S307))/(F$4/SUM($F$4:$S$4)))*4+2,2)),ABS(LOG(((F307/SUM($F307:$S307))/(F$4/SUM($F$4:$S$4)))*4+2,2)))-3)/7,IF(F307&gt;F$5,ABS(LOG(((F$5/SUM($F307:$S307))/(F$4/SUM($F$4:$S$4)))*4+2,2)),ABS(LOG(((F307/SUM($F307:$S307))/(F$4/SUM($F$4:$S$4)))*4+2,2)))-3))</f>
        <v>0.93302053774011684</v>
      </c>
      <c r="V307" s="2">
        <f t="shared" si="308"/>
        <v>-1.4279280064896684</v>
      </c>
      <c r="W307" s="2">
        <f t="shared" si="308"/>
        <v>4.2085216917868813</v>
      </c>
      <c r="X307" s="2">
        <f t="shared" si="308"/>
        <v>4.9669100514152307</v>
      </c>
      <c r="Y307" s="2">
        <f t="shared" si="308"/>
        <v>2.6076347065741814</v>
      </c>
      <c r="Z307" s="2">
        <f t="shared" si="308"/>
        <v>1.3053743141064413</v>
      </c>
      <c r="AA307" s="2">
        <f t="shared" si="308"/>
        <v>5.7080759906896379</v>
      </c>
      <c r="AB307" s="2">
        <f t="shared" si="308"/>
        <v>3.7603000478081503</v>
      </c>
      <c r="AC307" s="2">
        <f t="shared" si="308"/>
        <v>3.0363602908310146</v>
      </c>
      <c r="AD307" s="2">
        <f t="shared" si="308"/>
        <v>2.1061728856233275</v>
      </c>
      <c r="AE307" s="2">
        <f t="shared" si="308"/>
        <v>-1.9999983283393359</v>
      </c>
      <c r="AF307" s="2">
        <f t="shared" si="308"/>
        <v>-1.5097599190026583</v>
      </c>
      <c r="AG307" s="2">
        <f t="shared" si="308"/>
        <v>-0.90625773948323562</v>
      </c>
      <c r="AH307" s="2">
        <f t="shared" si="308"/>
        <v>-0.28836030000153601</v>
      </c>
      <c r="AI307" s="18">
        <f t="shared" si="264"/>
        <v>220</v>
      </c>
      <c r="AJ307" s="2">
        <f t="shared" si="265"/>
        <v>1</v>
      </c>
    </row>
    <row r="308" spans="1:36" ht="10.5" customHeight="1" x14ac:dyDescent="0.25">
      <c r="A308" s="17">
        <v>300</v>
      </c>
      <c r="B308" s="2">
        <f t="shared" si="261"/>
        <v>5.7219812446895206</v>
      </c>
      <c r="C308" s="4">
        <v>2</v>
      </c>
      <c r="D308" s="4">
        <v>24.422780442117599</v>
      </c>
      <c r="E308" s="18">
        <v>260</v>
      </c>
      <c r="F308" s="5">
        <v>0.48899999999999999</v>
      </c>
      <c r="G308" s="5">
        <v>2.0999999999999999E-3</v>
      </c>
      <c r="H308" s="5">
        <v>1.0389999999999999</v>
      </c>
      <c r="I308" s="5">
        <v>1.2150000000000001</v>
      </c>
      <c r="J308" s="5">
        <v>2.7530000000000001</v>
      </c>
      <c r="K308" s="5">
        <v>1.4790000000000001</v>
      </c>
      <c r="L308" s="5">
        <v>0.53069999999999995</v>
      </c>
      <c r="M308" s="5">
        <v>0.75560000000000005</v>
      </c>
      <c r="N308" s="5">
        <v>7.2599999999999998E-2</v>
      </c>
      <c r="O308" s="5">
        <v>11.79</v>
      </c>
      <c r="P308" s="5">
        <v>4.4999999999999997E-3</v>
      </c>
      <c r="Q308" s="5">
        <v>17.66</v>
      </c>
      <c r="R308" s="5">
        <v>0.52139999999999997</v>
      </c>
      <c r="S308" s="5">
        <v>2.2189999999999999</v>
      </c>
      <c r="T308" s="18">
        <f t="shared" si="262"/>
        <v>260</v>
      </c>
      <c r="U308" s="2">
        <f t="shared" ref="U308:AH308" si="309">IF(OR(F308=0,F308&lt;0.00001,F308&gt;100000),"",IF((IF(F308&gt;F$5,ABS(LOG(((F$5/SUM($F308:$S308))/(F$4/SUM($F$4:$S$4)))*4+2,2)),ABS(LOG(((F308/SUM($F308:$S308))/(F$4/SUM($F$4:$S$4)))*4+2,2)))-3)&gt;8,(IF(F308&gt;F$5,ABS(LOG(((F$5/SUM($F308:$S308))/(F$4/SUM($F$4:$S$4)))*4+2,2)),ABS(LOG(((F308/SUM($F308:$S308))/(F$4/SUM($F$4:$S$4)))*4+2,2)))-3)/7,IF(F308&gt;F$5,ABS(LOG(((F$5/SUM($F308:$S308))/(F$4/SUM($F$4:$S$4)))*4+2,2)),ABS(LOG(((F308/SUM($F308:$S308))/(F$4/SUM($F$4:$S$4)))*4+2,2)))-3))</f>
        <v>4.6273352283389748</v>
      </c>
      <c r="V308" s="2">
        <f t="shared" si="309"/>
        <v>-1.8219771495195465</v>
      </c>
      <c r="W308" s="2">
        <f t="shared" si="309"/>
        <v>5.7068788188002717</v>
      </c>
      <c r="X308" s="2">
        <f t="shared" si="309"/>
        <v>2.9724199613417692</v>
      </c>
      <c r="Y308" s="2">
        <f t="shared" si="309"/>
        <v>4.2765007876132568</v>
      </c>
      <c r="Z308" s="2">
        <f t="shared" si="309"/>
        <v>1.5409030756307682</v>
      </c>
      <c r="AA308" s="2">
        <f t="shared" si="309"/>
        <v>3.7576449655112674</v>
      </c>
      <c r="AB308" s="2">
        <f t="shared" si="309"/>
        <v>3.3502632310333018</v>
      </c>
      <c r="AC308" s="2">
        <f t="shared" si="309"/>
        <v>0.39869752557390514</v>
      </c>
      <c r="AD308" s="2">
        <f t="shared" si="309"/>
        <v>3.1996604749639683</v>
      </c>
      <c r="AE308" s="2">
        <f t="shared" si="309"/>
        <v>-1.9999996390999011</v>
      </c>
      <c r="AF308" s="2">
        <f t="shared" si="309"/>
        <v>-0.4937342299682288</v>
      </c>
      <c r="AG308" s="2">
        <f t="shared" si="309"/>
        <v>-1.4399723083799321</v>
      </c>
      <c r="AH308" s="2">
        <f t="shared" si="309"/>
        <v>-1.6720625562575424</v>
      </c>
      <c r="AI308" s="18">
        <f t="shared" si="264"/>
        <v>260</v>
      </c>
      <c r="AJ308" s="2">
        <f t="shared" si="265"/>
        <v>1</v>
      </c>
    </row>
    <row r="309" spans="1:36" ht="10.5" customHeight="1" x14ac:dyDescent="0.25">
      <c r="A309" s="17">
        <v>301</v>
      </c>
      <c r="B309" s="2">
        <f t="shared" si="261"/>
        <v>1.2398307371678225</v>
      </c>
      <c r="C309" s="4">
        <v>2</v>
      </c>
      <c r="D309" s="4">
        <v>22.726378205641598</v>
      </c>
      <c r="E309" s="18">
        <v>261</v>
      </c>
      <c r="F309" s="5">
        <v>2.81E-3</v>
      </c>
      <c r="G309" s="5">
        <v>9.3099999999999997E-4</v>
      </c>
      <c r="H309" s="5">
        <v>1.33</v>
      </c>
      <c r="I309" s="5">
        <v>0.47570000000000001</v>
      </c>
      <c r="J309" s="5">
        <v>1.081</v>
      </c>
      <c r="K309" s="5">
        <v>3.78E-2</v>
      </c>
      <c r="L309" s="5">
        <v>1.038</v>
      </c>
      <c r="M309" s="5">
        <v>3.5059999999999998</v>
      </c>
      <c r="N309" s="5">
        <v>2.1930000000000001</v>
      </c>
      <c r="O309" s="5">
        <v>3.2530000000000001</v>
      </c>
      <c r="P309" s="5">
        <v>5.9300000000000004E-3</v>
      </c>
      <c r="Q309" s="5">
        <v>100.6</v>
      </c>
      <c r="R309" s="5">
        <v>0.1046</v>
      </c>
      <c r="S309" s="5">
        <v>18.29</v>
      </c>
      <c r="T309" s="18">
        <f t="shared" si="262"/>
        <v>261</v>
      </c>
      <c r="U309" s="2">
        <f t="shared" ref="U309:AH309" si="310">IF(OR(F309=0,F309&lt;0.00001,F309&gt;100000),"",IF((IF(F309&gt;F$5,ABS(LOG(((F$5/SUM($F309:$S309))/(F$4/SUM($F$4:$S$4)))*4+2,2)),ABS(LOG(((F309/SUM($F309:$S309))/(F$4/SUM($F$4:$S$4)))*4+2,2)))-3)&gt;8,(IF(F309&gt;F$5,ABS(LOG(((F$5/SUM($F309:$S309))/(F$4/SUM($F$4:$S$4)))*4+2,2)),ABS(LOG(((F309/SUM($F309:$S309))/(F$4/SUM($F$4:$S$4)))*4+2,2)))-3)/7,IF(F309&gt;F$5,ABS(LOG(((F$5/SUM($F309:$S309))/(F$4/SUM($F$4:$S$4)))*4+2,2)),ABS(LOG(((F309/SUM($F309:$S309))/(F$4/SUM($F$4:$S$4)))*4+2,2)))-3))</f>
        <v>-1.7700700389843462</v>
      </c>
      <c r="V309" s="2">
        <f t="shared" si="310"/>
        <v>-1.9744200003916386</v>
      </c>
      <c r="W309" s="2">
        <f t="shared" si="310"/>
        <v>4.3711666596215375</v>
      </c>
      <c r="X309" s="2">
        <f t="shared" si="310"/>
        <v>0.21914096259738303</v>
      </c>
      <c r="Y309" s="2">
        <f t="shared" si="310"/>
        <v>1.3549549882727439</v>
      </c>
      <c r="Z309" s="2">
        <f t="shared" si="310"/>
        <v>4.1160090197216519</v>
      </c>
      <c r="AA309" s="2">
        <f t="shared" si="310"/>
        <v>3.0405272634826179</v>
      </c>
      <c r="AB309" s="2">
        <f t="shared" si="310"/>
        <v>3.8512417660587417</v>
      </c>
      <c r="AC309" s="2">
        <f t="shared" si="310"/>
        <v>3.3455031830008508</v>
      </c>
      <c r="AD309" s="2">
        <f t="shared" si="310"/>
        <v>1.097878822506404E-2</v>
      </c>
      <c r="AE309" s="2">
        <f t="shared" si="310"/>
        <v>-1.99999988911656</v>
      </c>
      <c r="AF309" s="2">
        <f t="shared" si="310"/>
        <v>7.7808368415900553E-2</v>
      </c>
      <c r="AG309" s="2">
        <f t="shared" si="310"/>
        <v>-1.9584287035603636</v>
      </c>
      <c r="AH309" s="2">
        <f t="shared" si="310"/>
        <v>-1.2807564989390525</v>
      </c>
      <c r="AI309" s="18">
        <f t="shared" si="264"/>
        <v>261</v>
      </c>
      <c r="AJ309" s="2">
        <f t="shared" si="265"/>
        <v>1</v>
      </c>
    </row>
    <row r="310" spans="1:36" ht="10.5" customHeight="1" x14ac:dyDescent="0.25">
      <c r="A310" s="17">
        <v>302</v>
      </c>
      <c r="B310" s="2">
        <f t="shared" si="261"/>
        <v>5.2999434001243175</v>
      </c>
      <c r="C310" s="4">
        <v>2</v>
      </c>
      <c r="D310" s="4">
        <v>23.257534378137301</v>
      </c>
      <c r="E310" s="18">
        <v>262</v>
      </c>
      <c r="F310" s="5">
        <v>0.2301</v>
      </c>
      <c r="G310" s="5">
        <v>0.69815000000000005</v>
      </c>
      <c r="H310" s="5">
        <v>0.84715000000000007</v>
      </c>
      <c r="I310" s="5">
        <v>2.5964999999999998</v>
      </c>
      <c r="J310" s="5">
        <v>3.7944999999999998</v>
      </c>
      <c r="K310" s="5">
        <v>0.47935</v>
      </c>
      <c r="L310" s="5">
        <v>3.7435</v>
      </c>
      <c r="M310" s="5">
        <v>1.6487000000000001</v>
      </c>
      <c r="N310" s="5">
        <v>0.26175000000000004</v>
      </c>
      <c r="O310" s="5">
        <v>0.29089999999999999</v>
      </c>
      <c r="P310" s="5">
        <v>2.5395000000000001E-3</v>
      </c>
      <c r="Q310" s="5">
        <v>52.16</v>
      </c>
      <c r="R310" s="5">
        <v>0.37685000000000002</v>
      </c>
      <c r="S310" s="5">
        <v>18.87</v>
      </c>
      <c r="T310" s="18">
        <f t="shared" si="262"/>
        <v>262</v>
      </c>
      <c r="U310" s="2">
        <f t="shared" ref="U310:AH310" si="311">IF(OR(F310=0,F310&lt;0.00001,F310&gt;100000),"",IF((IF(F310&gt;F$5,ABS(LOG(((F$5/SUM($F310:$S310))/(F$4/SUM($F$4:$S$4)))*4+2,2)),ABS(LOG(((F310/SUM($F310:$S310))/(F$4/SUM($F$4:$S$4)))*4+2,2)))-3)&gt;8,(IF(F310&gt;F$5,ABS(LOG(((F$5/SUM($F310:$S310))/(F$4/SUM($F$4:$S$4)))*4+2,2)),ABS(LOG(((F310/SUM($F310:$S310))/(F$4/SUM($F$4:$S$4)))*4+2,2)))-3)/7,IF(F310&gt;F$5,ABS(LOG(((F$5/SUM($F310:$S310))/(F$4/SUM($F$4:$S$4)))*4+2,2)),ABS(LOG(((F310/SUM($F310:$S310))/(F$4/SUM($F$4:$S$4)))*4+2,2)))-3))</f>
        <v>2.5047703996700026</v>
      </c>
      <c r="V310" s="2">
        <f t="shared" si="311"/>
        <v>2.4314447489954771</v>
      </c>
      <c r="W310" s="2">
        <f t="shared" si="311"/>
        <v>4.3380805554187134</v>
      </c>
      <c r="X310" s="2">
        <f t="shared" si="311"/>
        <v>2.9823907189994205</v>
      </c>
      <c r="Y310" s="2">
        <f t="shared" si="311"/>
        <v>3.6640962815789688</v>
      </c>
      <c r="Z310" s="2">
        <f t="shared" si="311"/>
        <v>1.1968577847511532</v>
      </c>
      <c r="AA310" s="2">
        <f t="shared" si="311"/>
        <v>5.4719840147305412</v>
      </c>
      <c r="AB310" s="2">
        <f t="shared" si="311"/>
        <v>3.3896082175660318</v>
      </c>
      <c r="AC310" s="2">
        <f t="shared" si="311"/>
        <v>1.0463213637974595</v>
      </c>
      <c r="AD310" s="2">
        <f t="shared" si="311"/>
        <v>-1.4984745571370603</v>
      </c>
      <c r="AE310" s="2">
        <f t="shared" si="311"/>
        <v>-1.9999998299115282</v>
      </c>
      <c r="AF310" s="2">
        <f t="shared" si="311"/>
        <v>-0.16719879452325515</v>
      </c>
      <c r="AG310" s="2">
        <f t="shared" si="311"/>
        <v>-1.7839352375754303</v>
      </c>
      <c r="AH310" s="2">
        <f t="shared" si="311"/>
        <v>-0.98360888375908484</v>
      </c>
      <c r="AI310" s="18">
        <f t="shared" si="264"/>
        <v>262</v>
      </c>
      <c r="AJ310" s="2">
        <f t="shared" si="265"/>
        <v>1</v>
      </c>
    </row>
    <row r="311" spans="1:36" ht="10.5" customHeight="1" x14ac:dyDescent="0.25">
      <c r="A311" s="17">
        <v>303</v>
      </c>
      <c r="B311" s="2">
        <f t="shared" si="261"/>
        <v>7.6820591353255097</v>
      </c>
      <c r="C311" s="4">
        <v>2</v>
      </c>
      <c r="D311" s="4">
        <v>27.1956597229129</v>
      </c>
      <c r="E311" s="18">
        <v>263</v>
      </c>
      <c r="F311" s="5">
        <v>0.56020000000000003</v>
      </c>
      <c r="G311" s="5">
        <v>1.33805</v>
      </c>
      <c r="H311" s="5">
        <v>4.03</v>
      </c>
      <c r="I311" s="5">
        <v>11.541500000000001</v>
      </c>
      <c r="J311" s="5">
        <v>6.056</v>
      </c>
      <c r="K311" s="5">
        <v>6.7609500000000002</v>
      </c>
      <c r="L311" s="5">
        <v>5.0385</v>
      </c>
      <c r="M311" s="5">
        <v>1.7386000000000001</v>
      </c>
      <c r="N311" s="5">
        <v>8.5084999999999994E-2</v>
      </c>
      <c r="O311" s="5">
        <v>4.1580000000000004</v>
      </c>
      <c r="P311" s="5">
        <v>5.0390000000000001E-3</v>
      </c>
      <c r="Q311" s="5">
        <v>13.620000000000001</v>
      </c>
      <c r="R311" s="5">
        <v>5.1000000000000004E-2</v>
      </c>
      <c r="S311" s="5">
        <v>19.770499999999998</v>
      </c>
      <c r="T311" s="18">
        <f t="shared" si="262"/>
        <v>263</v>
      </c>
      <c r="U311" s="2">
        <f t="shared" ref="U311:AH311" si="312">IF(OR(F311=0,F311&lt;0.00001,F311&gt;100000),"",IF((IF(F311&gt;F$5,ABS(LOG(((F$5/SUM($F311:$S311))/(F$4/SUM($F$4:$S$4)))*4+2,2)),ABS(LOG(((F311/SUM($F311:$S311))/(F$4/SUM($F$4:$S$4)))*4+2,2)))-3)&gt;8,(IF(F311&gt;F$5,ABS(LOG(((F$5/SUM($F311:$S311))/(F$4/SUM($F$4:$S$4)))*4+2,2)),ABS(LOG(((F311/SUM($F311:$S311))/(F$4/SUM($F$4:$S$4)))*4+2,2)))-3)/7,IF(F311&gt;F$5,ABS(LOG(((F$5/SUM($F311:$S311))/(F$4/SUM($F$4:$S$4)))*4+2,2)),ABS(LOG(((F311/SUM($F311:$S311))/(F$4/SUM($F$4:$S$4)))*4+2,2)))-3))</f>
        <v>3.9491989204689553</v>
      </c>
      <c r="V311" s="2">
        <f t="shared" si="312"/>
        <v>3.5351563739215104</v>
      </c>
      <c r="W311" s="2">
        <f t="shared" si="312"/>
        <v>6.775719286608604</v>
      </c>
      <c r="X311" s="2">
        <f t="shared" si="312"/>
        <v>5.2995895561808357</v>
      </c>
      <c r="Y311" s="2">
        <f t="shared" si="312"/>
        <v>4.5277338271440408</v>
      </c>
      <c r="Z311" s="2">
        <f t="shared" si="312"/>
        <v>1.4147680723993592</v>
      </c>
      <c r="AA311" s="2">
        <f t="shared" si="312"/>
        <v>6.0999063676035146</v>
      </c>
      <c r="AB311" s="2">
        <f t="shared" si="312"/>
        <v>3.6623421579205253</v>
      </c>
      <c r="AC311" s="2">
        <f t="shared" si="312"/>
        <v>-0.10648747725521579</v>
      </c>
      <c r="AD311" s="2">
        <f t="shared" si="312"/>
        <v>0.97010625912838933</v>
      </c>
      <c r="AE311" s="2">
        <f t="shared" si="312"/>
        <v>-1.9999998043219176</v>
      </c>
      <c r="AF311" s="2">
        <f t="shared" si="312"/>
        <v>-1.1764777699412841</v>
      </c>
      <c r="AG311" s="2">
        <f t="shared" si="312"/>
        <v>-1.9641595053035767</v>
      </c>
      <c r="AH311" s="2">
        <f t="shared" si="312"/>
        <v>-0.84108463581780502</v>
      </c>
      <c r="AI311" s="18">
        <f t="shared" si="264"/>
        <v>263</v>
      </c>
      <c r="AJ311" s="2">
        <f t="shared" si="265"/>
        <v>2.0195659722912902</v>
      </c>
    </row>
    <row r="312" spans="1:36" ht="10.5" customHeight="1" x14ac:dyDescent="0.25">
      <c r="A312" s="17">
        <v>304</v>
      </c>
      <c r="B312" s="2">
        <f t="shared" si="261"/>
        <v>7.2187899812655765</v>
      </c>
      <c r="C312" s="4">
        <v>2</v>
      </c>
      <c r="D312" s="4">
        <v>20.613483822589298</v>
      </c>
      <c r="E312" s="18">
        <v>264</v>
      </c>
      <c r="F312" s="5">
        <v>0.15055000000000002</v>
      </c>
      <c r="G312" s="5">
        <v>1.4835</v>
      </c>
      <c r="H312" s="5">
        <v>1.484</v>
      </c>
      <c r="I312" s="5">
        <v>7.8334999999999999</v>
      </c>
      <c r="J312" s="5">
        <v>0.15844999999999998</v>
      </c>
      <c r="K312" s="5">
        <v>0.50065000000000004</v>
      </c>
      <c r="L312" s="5">
        <v>14.835000000000001</v>
      </c>
      <c r="M312" s="5">
        <v>4.149</v>
      </c>
      <c r="N312" s="5">
        <v>8.795E-2</v>
      </c>
      <c r="O312" s="5">
        <v>1.3945000000000001</v>
      </c>
      <c r="P312" s="5">
        <v>8.5350000000000009E-2</v>
      </c>
      <c r="Q312" s="5">
        <v>22.195</v>
      </c>
      <c r="R312" s="5">
        <v>0.84394999999999998</v>
      </c>
      <c r="S312" s="5">
        <v>7.2249999999999996</v>
      </c>
      <c r="T312" s="18">
        <f t="shared" si="262"/>
        <v>264</v>
      </c>
      <c r="U312" s="2">
        <f t="shared" ref="U312:AH312" si="313">IF(OR(F312=0,F312&lt;0.00001,F312&gt;100000),"",IF((IF(F312&gt;F$5,ABS(LOG(((F$5/SUM($F312:$S312))/(F$4/SUM($F$4:$S$4)))*4+2,2)),ABS(LOG(((F312/SUM($F312:$S312))/(F$4/SUM($F$4:$S$4)))*4+2,2)))-3)&gt;8,(IF(F312&gt;F$5,ABS(LOG(((F$5/SUM($F312:$S312))/(F$4/SUM($F$4:$S$4)))*4+2,2)),ABS(LOG(((F312/SUM($F312:$S312))/(F$4/SUM($F$4:$S$4)))*4+2,2)))-3)/7,IF(F312&gt;F$5,ABS(LOG(((F$5/SUM($F312:$S312))/(F$4/SUM($F$4:$S$4)))*4+2,2)),ABS(LOG(((F312/SUM($F312:$S312))/(F$4/SUM($F$4:$S$4)))*4+2,2)))-3))</f>
        <v>2.3618706588173382</v>
      </c>
      <c r="V312" s="2">
        <f t="shared" si="313"/>
        <v>3.9363143766559636</v>
      </c>
      <c r="W312" s="2">
        <f t="shared" si="313"/>
        <v>5.5985811811140955</v>
      </c>
      <c r="X312" s="2">
        <f t="shared" si="313"/>
        <v>5.0025794484046777</v>
      </c>
      <c r="Y312" s="2">
        <f t="shared" si="313"/>
        <v>-5.1610392544602757E-2</v>
      </c>
      <c r="Z312" s="2">
        <f t="shared" si="313"/>
        <v>1.271796708687652</v>
      </c>
      <c r="AA312" s="2">
        <f t="shared" si="313"/>
        <v>7.9140565397695024</v>
      </c>
      <c r="AB312" s="2">
        <f t="shared" si="313"/>
        <v>5.158525320604765</v>
      </c>
      <c r="AC312" s="2">
        <f t="shared" si="313"/>
        <v>0.12468171067072209</v>
      </c>
      <c r="AD312" s="2">
        <f t="shared" si="313"/>
        <v>-9.4905973749718875E-2</v>
      </c>
      <c r="AE312" s="2">
        <f t="shared" si="313"/>
        <v>-1.9999997656823643</v>
      </c>
      <c r="AF312" s="2">
        <f t="shared" si="313"/>
        <v>-0.67690933995797931</v>
      </c>
      <c r="AG312" s="2">
        <f t="shared" si="313"/>
        <v>-1.4165369043935483</v>
      </c>
      <c r="AH312" s="2">
        <f t="shared" si="313"/>
        <v>-1.3775176270411693</v>
      </c>
      <c r="AI312" s="18">
        <f t="shared" si="264"/>
        <v>264</v>
      </c>
      <c r="AJ312" s="2">
        <f t="shared" si="265"/>
        <v>1</v>
      </c>
    </row>
    <row r="313" spans="1:36" ht="10.5" customHeight="1" x14ac:dyDescent="0.25">
      <c r="A313" s="17">
        <v>305</v>
      </c>
      <c r="B313" s="2">
        <f t="shared" si="261"/>
        <v>2.4411540996344283</v>
      </c>
      <c r="C313" s="4">
        <v>2</v>
      </c>
      <c r="D313" s="4">
        <v>26.761684919803201</v>
      </c>
      <c r="E313" s="18">
        <v>265</v>
      </c>
      <c r="F313" s="5">
        <v>5.5E-2</v>
      </c>
      <c r="G313" s="5">
        <v>0.17285</v>
      </c>
      <c r="H313" s="5">
        <v>9.1170000000000009</v>
      </c>
      <c r="I313" s="5">
        <v>3.7555000000000005</v>
      </c>
      <c r="J313" s="5">
        <v>3.4740000000000002</v>
      </c>
      <c r="K313" s="5">
        <v>0.99085000000000001</v>
      </c>
      <c r="L313" s="5">
        <v>0.52175000000000005</v>
      </c>
      <c r="M313" s="5">
        <v>5.3093500000000002</v>
      </c>
      <c r="N313" s="5">
        <v>4.3304999999999998</v>
      </c>
      <c r="O313" s="5">
        <v>0.74204999999999999</v>
      </c>
      <c r="P313" s="5">
        <v>4.2807500000000005E-2</v>
      </c>
      <c r="Q313" s="5">
        <v>263.95</v>
      </c>
      <c r="R313" s="5">
        <v>0.21254999999999999</v>
      </c>
      <c r="S313" s="5">
        <v>113.01499999999999</v>
      </c>
      <c r="T313" s="18">
        <f t="shared" si="262"/>
        <v>265</v>
      </c>
      <c r="U313" s="2">
        <f t="shared" ref="U313:AH313" si="314">IF(OR(F313=0,F313&lt;0.00001,F313&gt;100000),"",IF((IF(F313&gt;F$5,ABS(LOG(((F$5/SUM($F313:$S313))/(F$4/SUM($F$4:$S$4)))*4+2,2)),ABS(LOG(((F313/SUM($F313:$S313))/(F$4/SUM($F$4:$S$4)))*4+2,2)))-3)&gt;8,(IF(F313&gt;F$5,ABS(LOG(((F$5/SUM($F313:$S313))/(F$4/SUM($F$4:$S$4)))*4+2,2)),ABS(LOG(((F313/SUM($F313:$S313))/(F$4/SUM($F$4:$S$4)))*4+2,2)))-3)/7,IF(F313&gt;F$5,ABS(LOG(((F$5/SUM($F313:$S313))/(F$4/SUM($F$4:$S$4)))*4+2,2)),ABS(LOG(((F313/SUM($F313:$S313))/(F$4/SUM($F$4:$S$4)))*4+2,2)))-3))</f>
        <v>-0.92984503901235938</v>
      </c>
      <c r="V313" s="2">
        <f t="shared" si="314"/>
        <v>-0.94343208724946681</v>
      </c>
      <c r="W313" s="2">
        <f t="shared" si="314"/>
        <v>5.5179327485886827</v>
      </c>
      <c r="X313" s="2">
        <f t="shared" si="314"/>
        <v>1.3765457878834324</v>
      </c>
      <c r="Y313" s="2">
        <f t="shared" si="314"/>
        <v>1.4123760855694583</v>
      </c>
      <c r="Z313" s="2">
        <f t="shared" si="314"/>
        <v>7.1890145294301764</v>
      </c>
      <c r="AA313" s="2">
        <f t="shared" si="314"/>
        <v>0.63595911899584756</v>
      </c>
      <c r="AB313" s="2">
        <f t="shared" si="314"/>
        <v>2.8547577856781157</v>
      </c>
      <c r="AC313" s="2">
        <f t="shared" si="314"/>
        <v>2.7260480844596628</v>
      </c>
      <c r="AD313" s="2">
        <f t="shared" si="314"/>
        <v>-1.7074609921683075</v>
      </c>
      <c r="AE313" s="2">
        <f t="shared" si="314"/>
        <v>-1.9999999639438091</v>
      </c>
      <c r="AF313" s="2">
        <f t="shared" si="314"/>
        <v>-9.3637900369527127E-2</v>
      </c>
      <c r="AG313" s="2">
        <f t="shared" si="314"/>
        <v>-1.972397586168662</v>
      </c>
      <c r="AH313" s="2">
        <f t="shared" si="314"/>
        <v>-0.79923192088052808</v>
      </c>
      <c r="AI313" s="18">
        <f t="shared" si="264"/>
        <v>265</v>
      </c>
      <c r="AJ313" s="2">
        <f t="shared" si="265"/>
        <v>1</v>
      </c>
    </row>
    <row r="314" spans="1:36" ht="10.5" customHeight="1" x14ac:dyDescent="0.25">
      <c r="A314" s="17">
        <v>306</v>
      </c>
      <c r="B314" s="2">
        <f t="shared" si="261"/>
        <v>6.1550387247067659</v>
      </c>
      <c r="C314" s="4">
        <v>2</v>
      </c>
      <c r="D314" s="4">
        <v>17.293058063077801</v>
      </c>
      <c r="E314" s="18">
        <v>266</v>
      </c>
      <c r="F314" s="5">
        <v>4.7949999999999998E-3</v>
      </c>
      <c r="G314" s="5">
        <v>6.275E-2</v>
      </c>
      <c r="H314" s="5">
        <v>0.10385</v>
      </c>
      <c r="I314" s="5">
        <v>0.52725</v>
      </c>
      <c r="J314" s="5">
        <v>0.16034999999999999</v>
      </c>
      <c r="K314" s="5">
        <v>1.3144999999999999E-2</v>
      </c>
      <c r="L314" s="5">
        <v>0.502</v>
      </c>
      <c r="M314" s="5">
        <v>0.52164999999999995</v>
      </c>
      <c r="N314" s="5">
        <v>3.5500000000000004E-2</v>
      </c>
      <c r="O314" s="5">
        <v>8.7999999999999995E-2</v>
      </c>
      <c r="P314" s="5">
        <v>2.0549999999999999E-2</v>
      </c>
      <c r="Q314" s="5">
        <v>0.23525000000000001</v>
      </c>
      <c r="R314" s="5">
        <v>0.37</v>
      </c>
      <c r="S314" s="5">
        <v>8.6180000000000003</v>
      </c>
      <c r="T314" s="18">
        <f t="shared" si="262"/>
        <v>266</v>
      </c>
      <c r="U314" s="2">
        <f t="shared" ref="U314:AH314" si="315">IF(OR(F314=0,F314&lt;0.00001,F314&gt;100000),"",IF((IF(F314&gt;F$5,ABS(LOG(((F$5/SUM($F314:$S314))/(F$4/SUM($F$4:$S$4)))*4+2,2)),ABS(LOG(((F314/SUM($F314:$S314))/(F$4/SUM($F$4:$S$4)))*4+2,2)))-3)&gt;8,(IF(F314&gt;F$5,ABS(LOG(((F$5/SUM($F314:$S314))/(F$4/SUM($F$4:$S$4)))*4+2,2)),ABS(LOG(((F314/SUM($F314:$S314))/(F$4/SUM($F$4:$S$4)))*4+2,2)))-3)/7,IF(F314&gt;F$5,ABS(LOG(((F$5/SUM($F314:$S314))/(F$4/SUM($F$4:$S$4)))*4+2,2)),ABS(LOG(((F314/SUM($F314:$S314))/(F$4/SUM($F$4:$S$4)))*4+2,2)))-3))</f>
        <v>0.15483745006943961</v>
      </c>
      <c r="V314" s="2">
        <f t="shared" si="315"/>
        <v>1.9185731492494904</v>
      </c>
      <c r="W314" s="2">
        <f t="shared" si="315"/>
        <v>4.2439164710137298</v>
      </c>
      <c r="X314" s="2">
        <f t="shared" si="315"/>
        <v>3.5988203093710158</v>
      </c>
      <c r="Y314" s="2">
        <f t="shared" si="315"/>
        <v>2.0907386717411356</v>
      </c>
      <c r="Z314" s="2">
        <f t="shared" si="315"/>
        <v>6.1263326571318295</v>
      </c>
      <c r="AA314" s="2">
        <f t="shared" si="315"/>
        <v>5.5058994706699647</v>
      </c>
      <c r="AB314" s="2">
        <f t="shared" si="315"/>
        <v>4.6418554092104491</v>
      </c>
      <c r="AC314" s="2">
        <f t="shared" si="315"/>
        <v>1.0907443357244055</v>
      </c>
      <c r="AD314" s="2">
        <f t="shared" si="315"/>
        <v>-1.0289857447729316</v>
      </c>
      <c r="AE314" s="2">
        <f t="shared" si="315"/>
        <v>-1.9999987012799272</v>
      </c>
      <c r="AF314" s="2">
        <f t="shared" si="315"/>
        <v>-1.8780048260404172</v>
      </c>
      <c r="AG314" s="2">
        <f t="shared" si="315"/>
        <v>-0.85518070975568472</v>
      </c>
      <c r="AH314" s="2">
        <f t="shared" si="315"/>
        <v>0.19120872418355273</v>
      </c>
      <c r="AI314" s="18">
        <f t="shared" si="264"/>
        <v>266</v>
      </c>
      <c r="AJ314" s="2">
        <f t="shared" si="265"/>
        <v>1</v>
      </c>
    </row>
    <row r="315" spans="1:36" ht="10.5" customHeight="1" x14ac:dyDescent="0.25">
      <c r="A315" s="17">
        <v>307</v>
      </c>
      <c r="B315" s="2">
        <f t="shared" si="261"/>
        <v>7.4150865513474171</v>
      </c>
      <c r="C315" s="4">
        <v>2</v>
      </c>
      <c r="D315" s="4">
        <v>25.4572988970111</v>
      </c>
      <c r="E315" s="18">
        <v>267</v>
      </c>
      <c r="F315" s="5">
        <v>9.5699999999999993E-2</v>
      </c>
      <c r="G315" s="5">
        <v>0.33789999999999998</v>
      </c>
      <c r="H315" s="5">
        <v>1.4219999999999999</v>
      </c>
      <c r="I315" s="5">
        <v>0.6542</v>
      </c>
      <c r="J315" s="5">
        <v>0.73699999999999999</v>
      </c>
      <c r="K315" s="5">
        <v>0.25900000000000001</v>
      </c>
      <c r="L315" s="5">
        <v>0.50670000000000004</v>
      </c>
      <c r="M315" s="5">
        <v>6.59E-2</v>
      </c>
      <c r="N315" s="5">
        <v>4.2199999999999998E-3</v>
      </c>
      <c r="O315" s="5">
        <v>0.98729999999999996</v>
      </c>
      <c r="P315" s="5">
        <v>1.67E-2</v>
      </c>
      <c r="Q315" s="5">
        <v>5.423</v>
      </c>
      <c r="R315" s="5">
        <v>0.6804</v>
      </c>
      <c r="S315" s="5">
        <v>2.7549999999999999</v>
      </c>
      <c r="T315" s="18">
        <f t="shared" si="262"/>
        <v>267</v>
      </c>
      <c r="U315" s="2">
        <f t="shared" ref="U315:AH315" si="316">IF(OR(F315=0,F315&lt;0.00001,F315&gt;100000),"",IF((IF(F315&gt;F$5,ABS(LOG(((F$5/SUM($F315:$S315))/(F$4/SUM($F$4:$S$4)))*4+2,2)),ABS(LOG(((F315/SUM($F315:$S315))/(F$4/SUM($F$4:$S$4)))*4+2,2)))-3)&gt;8,(IF(F315&gt;F$5,ABS(LOG(((F$5/SUM($F315:$S315))/(F$4/SUM($F$4:$S$4)))*4+2,2)),ABS(LOG(((F315/SUM($F315:$S315))/(F$4/SUM($F$4:$S$4)))*4+2,2)))-3)/7,IF(F315&gt;F$5,ABS(LOG(((F$5/SUM($F315:$S315))/(F$4/SUM($F$4:$S$4)))*4+2,2)),ABS(LOG(((F315/SUM($F315:$S315))/(F$4/SUM($F$4:$S$4)))*4+2,2)))-3))</f>
        <v>3.8243838286673117</v>
      </c>
      <c r="V315" s="2">
        <f t="shared" si="316"/>
        <v>3.9639299500438403</v>
      </c>
      <c r="W315" s="2">
        <f t="shared" si="316"/>
        <v>7.6936982964907834</v>
      </c>
      <c r="X315" s="2">
        <f t="shared" si="316"/>
        <v>3.6018537147016749</v>
      </c>
      <c r="Y315" s="2">
        <f t="shared" si="316"/>
        <v>3.9198029522797295</v>
      </c>
      <c r="Z315" s="2">
        <f t="shared" si="316"/>
        <v>1.4448149511714381</v>
      </c>
      <c r="AA315" s="2">
        <f t="shared" si="316"/>
        <v>5.2129943449444678</v>
      </c>
      <c r="AB315" s="2">
        <f t="shared" si="316"/>
        <v>1.4708255680717581</v>
      </c>
      <c r="AC315" s="2">
        <f t="shared" si="316"/>
        <v>-1.215962287468872</v>
      </c>
      <c r="AD315" s="2">
        <f t="shared" si="316"/>
        <v>1.2781502822256448</v>
      </c>
      <c r="AE315" s="2">
        <f t="shared" si="316"/>
        <v>-1.9999989510518932</v>
      </c>
      <c r="AF315" s="2">
        <f t="shared" si="316"/>
        <v>-0.5978846547992327</v>
      </c>
      <c r="AG315" s="2">
        <f t="shared" si="316"/>
        <v>-0.51513106481995496</v>
      </c>
      <c r="AH315" s="2">
        <f t="shared" si="316"/>
        <v>-1.0581706163297266</v>
      </c>
      <c r="AI315" s="18">
        <f t="shared" si="264"/>
        <v>267</v>
      </c>
      <c r="AJ315" s="2">
        <f t="shared" si="265"/>
        <v>1</v>
      </c>
    </row>
    <row r="316" spans="1:36" ht="10.5" customHeight="1" x14ac:dyDescent="0.25">
      <c r="A316" s="17">
        <v>308</v>
      </c>
      <c r="B316" s="2">
        <f t="shared" si="261"/>
        <v>6.994605646438079</v>
      </c>
      <c r="C316" s="4">
        <v>2</v>
      </c>
      <c r="D316" s="4">
        <v>20.133610593705299</v>
      </c>
      <c r="E316" s="18">
        <v>268</v>
      </c>
      <c r="F316" s="5">
        <v>2.1000000000000001E-2</v>
      </c>
      <c r="G316" s="5">
        <v>0.51370000000000005</v>
      </c>
      <c r="H316" s="5">
        <v>0.60909999999999997</v>
      </c>
      <c r="I316" s="5">
        <v>2.2730000000000001</v>
      </c>
      <c r="J316" s="5">
        <v>0.2782</v>
      </c>
      <c r="K316" s="5">
        <v>8.1699999999999995E-2</v>
      </c>
      <c r="L316" s="5">
        <v>5.58</v>
      </c>
      <c r="M316" s="5">
        <v>1.62</v>
      </c>
      <c r="N316" s="5">
        <v>8.1699999999999995E-2</v>
      </c>
      <c r="O316" s="5">
        <v>8.1300000000000008</v>
      </c>
      <c r="P316" s="5">
        <v>1.06E-2</v>
      </c>
      <c r="Q316" s="5">
        <v>4.8890000000000002</v>
      </c>
      <c r="R316" s="5">
        <v>8.5500000000000007E-2</v>
      </c>
      <c r="S316" s="5">
        <v>25.64</v>
      </c>
      <c r="T316" s="18">
        <f t="shared" si="262"/>
        <v>268</v>
      </c>
      <c r="U316" s="2">
        <f t="shared" ref="U316:AH316" si="317">IF(OR(F316=0,F316&lt;0.00001,F316&gt;100000),"",IF((IF(F316&gt;F$5,ABS(LOG(((F$5/SUM($F316:$S316))/(F$4/SUM($F$4:$S$4)))*4+2,2)),ABS(LOG(((F316/SUM($F316:$S316))/(F$4/SUM($F$4:$S$4)))*4+2,2)))-3)&gt;8,(IF(F316&gt;F$5,ABS(LOG(((F$5/SUM($F316:$S316))/(F$4/SUM($F$4:$S$4)))*4+2,2)),ABS(LOG(((F316/SUM($F316:$S316))/(F$4/SUM($F$4:$S$4)))*4+2,2)))-3)/7,IF(F316&gt;F$5,ABS(LOG(((F$5/SUM($F316:$S316))/(F$4/SUM($F$4:$S$4)))*4+2,2)),ABS(LOG(((F316/SUM($F316:$S316))/(F$4/SUM($F$4:$S$4)))*4+2,2)))-3))</f>
        <v>0.14387899665358184</v>
      </c>
      <c r="V316" s="2">
        <f t="shared" si="317"/>
        <v>2.7623350507921884</v>
      </c>
      <c r="W316" s="2">
        <f t="shared" si="317"/>
        <v>4.6464710614469231</v>
      </c>
      <c r="X316" s="2">
        <f t="shared" si="317"/>
        <v>3.5626957193568147</v>
      </c>
      <c r="Y316" s="2">
        <f t="shared" si="317"/>
        <v>0.86625038060118964</v>
      </c>
      <c r="Z316" s="2">
        <f t="shared" si="317"/>
        <v>6.6157306399100211</v>
      </c>
      <c r="AA316" s="2">
        <f t="shared" si="317"/>
        <v>6.8306841238594984</v>
      </c>
      <c r="AB316" s="2">
        <f t="shared" si="317"/>
        <v>4.1378756698774453</v>
      </c>
      <c r="AC316" s="2">
        <f t="shared" si="317"/>
        <v>0.29653805609073647</v>
      </c>
      <c r="AD316" s="2">
        <f t="shared" si="317"/>
        <v>2.3962986580731185</v>
      </c>
      <c r="AE316" s="2">
        <f t="shared" si="317"/>
        <v>-1.9999997063525716</v>
      </c>
      <c r="AF316" s="2">
        <f t="shared" si="317"/>
        <v>-1.4995754517485242</v>
      </c>
      <c r="AG316" s="2">
        <f t="shared" si="317"/>
        <v>-1.9114747508210654</v>
      </c>
      <c r="AH316" s="2">
        <f t="shared" si="317"/>
        <v>-0.23470155297993855</v>
      </c>
      <c r="AI316" s="18">
        <f t="shared" si="264"/>
        <v>268</v>
      </c>
      <c r="AJ316" s="2">
        <f t="shared" si="265"/>
        <v>1</v>
      </c>
    </row>
    <row r="317" spans="1:36" ht="10.5" customHeight="1" x14ac:dyDescent="0.25">
      <c r="A317" s="17">
        <v>309</v>
      </c>
      <c r="B317" s="2">
        <f t="shared" si="261"/>
        <v>3.9249281248011094</v>
      </c>
      <c r="C317" s="4">
        <v>2</v>
      </c>
      <c r="D317" s="19">
        <v>23.613186416815299</v>
      </c>
      <c r="E317" s="20">
        <v>274</v>
      </c>
      <c r="F317" s="21">
        <v>8.0600000000000005E-2</v>
      </c>
      <c r="G317" s="21">
        <v>8.2000000000000003E-2</v>
      </c>
      <c r="H317" s="21">
        <v>0.30449999999999999</v>
      </c>
      <c r="I317" s="21">
        <v>1.518</v>
      </c>
      <c r="J317" s="21">
        <v>0.70799999999999996</v>
      </c>
      <c r="K317" s="21">
        <v>2.69E-2</v>
      </c>
      <c r="L317" s="21">
        <v>0.14460000000000001</v>
      </c>
      <c r="M317" s="21">
        <v>0.1273</v>
      </c>
      <c r="N317" s="21">
        <v>4.6100000000000004E-3</v>
      </c>
      <c r="O317" s="21">
        <v>2.49E-3</v>
      </c>
      <c r="P317" s="21">
        <v>9.1199999999999996E-3</v>
      </c>
      <c r="Q317" s="21">
        <v>4.742</v>
      </c>
      <c r="R317" s="21">
        <v>0.44979999999999998</v>
      </c>
      <c r="S317" s="21">
        <v>25.22</v>
      </c>
      <c r="T317" s="18">
        <f t="shared" si="262"/>
        <v>274</v>
      </c>
      <c r="U317" s="2">
        <f t="shared" ref="U317:AH317" si="318">IF(OR(F317=0,F317&lt;0.00001,F317&gt;100000),"",IF((IF(F317&gt;F$5,ABS(LOG(((F$5/SUM($F317:$S317))/(F$4/SUM($F$4:$S$4)))*4+2,2)),ABS(LOG(((F317/SUM($F317:$S317))/(F$4/SUM($F$4:$S$4)))*4+2,2)))-3)&gt;8,(IF(F317&gt;F$5,ABS(LOG(((F$5/SUM($F317:$S317))/(F$4/SUM($F$4:$S$4)))*4+2,2)),ABS(LOG(((F317/SUM($F317:$S317))/(F$4/SUM($F$4:$S$4)))*4+2,2)))-3)/7,IF(F317&gt;F$5,ABS(LOG(((F$5/SUM($F317:$S317))/(F$4/SUM($F$4:$S$4)))*4+2,2)),ABS(LOG(((F317/SUM($F317:$S317))/(F$4/SUM($F$4:$S$4)))*4+2,2)))-3))</f>
        <v>2.3619249122682477</v>
      </c>
      <c r="V317" s="2">
        <f t="shared" si="318"/>
        <v>0.85187530531980515</v>
      </c>
      <c r="W317" s="2">
        <f t="shared" si="318"/>
        <v>4.2269796977405631</v>
      </c>
      <c r="X317" s="2">
        <f t="shared" si="318"/>
        <v>3.5562382237098147</v>
      </c>
      <c r="Y317" s="2">
        <f t="shared" si="318"/>
        <v>2.6361167976591373</v>
      </c>
      <c r="Z317" s="2">
        <f t="shared" si="318"/>
        <v>5.5926403804305682</v>
      </c>
      <c r="AA317" s="2">
        <f t="shared" si="318"/>
        <v>2.2131729217124736</v>
      </c>
      <c r="AB317" s="2">
        <f t="shared" si="318"/>
        <v>1.1907261035460888</v>
      </c>
      <c r="AC317" s="2">
        <f t="shared" si="318"/>
        <v>-1.5895688753044006</v>
      </c>
      <c r="AD317" s="2">
        <f t="shared" si="318"/>
        <v>-1.9868497960304614</v>
      </c>
      <c r="AE317" s="2">
        <f t="shared" si="318"/>
        <v>-1.9999995623087838</v>
      </c>
      <c r="AF317" s="2">
        <f t="shared" si="318"/>
        <v>-1.3224356833543762</v>
      </c>
      <c r="AG317" s="2">
        <f t="shared" si="318"/>
        <v>-1.4186712333407168</v>
      </c>
      <c r="AH317" s="2">
        <f t="shared" si="318"/>
        <v>0.17564118695642783</v>
      </c>
      <c r="AI317" s="18">
        <f t="shared" si="264"/>
        <v>274</v>
      </c>
      <c r="AJ317" s="2">
        <f t="shared" si="265"/>
        <v>1</v>
      </c>
    </row>
    <row r="318" spans="1:36" ht="10.5" customHeight="1" x14ac:dyDescent="0.25">
      <c r="B318" s="2"/>
      <c r="D318" s="3"/>
    </row>
    <row r="319" spans="1:36" ht="10.5" customHeight="1" x14ac:dyDescent="0.25">
      <c r="B319" s="2"/>
      <c r="D319" s="3"/>
    </row>
    <row r="320" spans="1:36" ht="10.5" customHeight="1" x14ac:dyDescent="0.25">
      <c r="B320" s="2"/>
      <c r="D320" s="3"/>
    </row>
    <row r="321" spans="2:4" ht="10.5" customHeight="1" x14ac:dyDescent="0.25">
      <c r="B321" s="2"/>
      <c r="D321" s="3"/>
    </row>
    <row r="322" spans="2:4" ht="10.5" customHeight="1" x14ac:dyDescent="0.25">
      <c r="B322" s="2"/>
      <c r="D322" s="3"/>
    </row>
    <row r="323" spans="2:4" ht="10.5" customHeight="1" x14ac:dyDescent="0.25">
      <c r="B323" s="2"/>
      <c r="D323" s="3"/>
    </row>
    <row r="324" spans="2:4" ht="10.5" customHeight="1" x14ac:dyDescent="0.25">
      <c r="B324" s="2"/>
      <c r="D324" s="3"/>
    </row>
    <row r="325" spans="2:4" ht="10.5" customHeight="1" x14ac:dyDescent="0.25">
      <c r="B325" s="2"/>
      <c r="D325" s="3"/>
    </row>
    <row r="326" spans="2:4" ht="10.5" customHeight="1" x14ac:dyDescent="0.25">
      <c r="B326" s="2"/>
      <c r="D326" s="3"/>
    </row>
    <row r="327" spans="2:4" ht="10.5" customHeight="1" x14ac:dyDescent="0.25">
      <c r="B327" s="2"/>
      <c r="D327" s="3"/>
    </row>
    <row r="328" spans="2:4" ht="10.5" customHeight="1" x14ac:dyDescent="0.25">
      <c r="B328" s="2"/>
      <c r="D328" s="3"/>
    </row>
    <row r="329" spans="2:4" ht="10.5" customHeight="1" x14ac:dyDescent="0.25">
      <c r="B329" s="2"/>
      <c r="D329" s="3"/>
    </row>
    <row r="330" spans="2:4" ht="10.5" customHeight="1" x14ac:dyDescent="0.25">
      <c r="B330" s="2"/>
      <c r="D330" s="3"/>
    </row>
    <row r="331" spans="2:4" ht="10.5" customHeight="1" x14ac:dyDescent="0.25">
      <c r="B331" s="2"/>
      <c r="D331" s="3"/>
    </row>
    <row r="332" spans="2:4" ht="10.5" customHeight="1" x14ac:dyDescent="0.25">
      <c r="B332" s="2"/>
      <c r="D332" s="3"/>
    </row>
    <row r="333" spans="2:4" ht="10.5" customHeight="1" x14ac:dyDescent="0.25">
      <c r="B333" s="2"/>
      <c r="D333" s="3"/>
    </row>
    <row r="334" spans="2:4" ht="10.5" customHeight="1" x14ac:dyDescent="0.25">
      <c r="B334" s="2"/>
      <c r="D334" s="3"/>
    </row>
    <row r="335" spans="2:4" ht="10.5" customHeight="1" x14ac:dyDescent="0.25">
      <c r="B335" s="2"/>
      <c r="D335" s="3"/>
    </row>
    <row r="336" spans="2:4" ht="10.5" customHeight="1" x14ac:dyDescent="0.25">
      <c r="B336" s="2"/>
      <c r="D336" s="3"/>
    </row>
    <row r="337" spans="2:4" ht="10.5" customHeight="1" x14ac:dyDescent="0.25">
      <c r="B337" s="2"/>
      <c r="D337" s="3"/>
    </row>
    <row r="338" spans="2:4" ht="10.5" customHeight="1" x14ac:dyDescent="0.25">
      <c r="B338" s="2"/>
      <c r="D338" s="3"/>
    </row>
    <row r="339" spans="2:4" ht="10.5" customHeight="1" x14ac:dyDescent="0.25">
      <c r="B339" s="2"/>
      <c r="D339" s="3"/>
    </row>
    <row r="340" spans="2:4" ht="10.5" customHeight="1" x14ac:dyDescent="0.25">
      <c r="B340" s="2"/>
      <c r="D340" s="3"/>
    </row>
    <row r="341" spans="2:4" ht="10.5" customHeight="1" x14ac:dyDescent="0.25">
      <c r="B341" s="2"/>
      <c r="D341" s="3"/>
    </row>
    <row r="342" spans="2:4" ht="10.5" customHeight="1" x14ac:dyDescent="0.25">
      <c r="B342" s="2"/>
      <c r="D342" s="3"/>
    </row>
    <row r="343" spans="2:4" ht="10.5" customHeight="1" x14ac:dyDescent="0.25">
      <c r="B343" s="2"/>
      <c r="D343" s="3"/>
    </row>
    <row r="344" spans="2:4" ht="10.5" customHeight="1" x14ac:dyDescent="0.25">
      <c r="B344" s="2"/>
      <c r="D344" s="3"/>
    </row>
    <row r="345" spans="2:4" ht="10.5" customHeight="1" x14ac:dyDescent="0.25">
      <c r="B345" s="2"/>
      <c r="D345" s="3"/>
    </row>
    <row r="346" spans="2:4" ht="10.5" customHeight="1" x14ac:dyDescent="0.25">
      <c r="B346" s="2"/>
      <c r="D346" s="3"/>
    </row>
    <row r="347" spans="2:4" ht="10.5" customHeight="1" x14ac:dyDescent="0.25">
      <c r="B347" s="2"/>
      <c r="D347" s="3"/>
    </row>
    <row r="348" spans="2:4" ht="10.5" customHeight="1" x14ac:dyDescent="0.25">
      <c r="B348" s="2"/>
      <c r="D348" s="3"/>
    </row>
    <row r="349" spans="2:4" ht="10.5" customHeight="1" x14ac:dyDescent="0.25">
      <c r="B349" s="2"/>
      <c r="D349" s="3"/>
    </row>
    <row r="350" spans="2:4" ht="10.5" customHeight="1" x14ac:dyDescent="0.25">
      <c r="B350" s="2"/>
      <c r="D350" s="3"/>
    </row>
    <row r="351" spans="2:4" ht="10.5" customHeight="1" x14ac:dyDescent="0.25">
      <c r="B351" s="2"/>
      <c r="D351" s="3"/>
    </row>
    <row r="352" spans="2:4" ht="10.5" customHeight="1" x14ac:dyDescent="0.25">
      <c r="B352" s="2"/>
      <c r="D352" s="3"/>
    </row>
    <row r="353" spans="2:4" ht="10.5" customHeight="1" x14ac:dyDescent="0.25">
      <c r="B353" s="2"/>
      <c r="D353" s="3"/>
    </row>
    <row r="354" spans="2:4" ht="10.5" customHeight="1" x14ac:dyDescent="0.25">
      <c r="B354" s="2"/>
      <c r="D354" s="3"/>
    </row>
    <row r="355" spans="2:4" ht="10.5" customHeight="1" x14ac:dyDescent="0.25">
      <c r="B355" s="2"/>
      <c r="D355" s="3"/>
    </row>
    <row r="356" spans="2:4" ht="10.5" customHeight="1" x14ac:dyDescent="0.25">
      <c r="B356" s="2"/>
      <c r="D356" s="3"/>
    </row>
    <row r="357" spans="2:4" ht="10.5" customHeight="1" x14ac:dyDescent="0.25">
      <c r="B357" s="2"/>
      <c r="D357" s="3"/>
    </row>
    <row r="358" spans="2:4" ht="10.5" customHeight="1" x14ac:dyDescent="0.25">
      <c r="B358" s="2"/>
      <c r="D358" s="3"/>
    </row>
    <row r="359" spans="2:4" ht="10.5" customHeight="1" x14ac:dyDescent="0.25">
      <c r="B359" s="2"/>
      <c r="D359" s="3"/>
    </row>
    <row r="360" spans="2:4" ht="10.5" customHeight="1" x14ac:dyDescent="0.25">
      <c r="B360" s="2"/>
      <c r="D360" s="3"/>
    </row>
    <row r="361" spans="2:4" ht="10.5" customHeight="1" x14ac:dyDescent="0.25">
      <c r="B361" s="2"/>
      <c r="D361" s="3"/>
    </row>
    <row r="362" spans="2:4" ht="10.5" customHeight="1" x14ac:dyDescent="0.25">
      <c r="B362" s="2"/>
      <c r="D362" s="3"/>
    </row>
    <row r="363" spans="2:4" ht="10.5" customHeight="1" x14ac:dyDescent="0.25">
      <c r="B363" s="2"/>
      <c r="D363" s="3"/>
    </row>
    <row r="364" spans="2:4" ht="10.5" customHeight="1" x14ac:dyDescent="0.25">
      <c r="B364" s="2"/>
      <c r="D364" s="3"/>
    </row>
    <row r="365" spans="2:4" ht="10.5" customHeight="1" x14ac:dyDescent="0.25">
      <c r="B365" s="2"/>
      <c r="D365" s="3"/>
    </row>
    <row r="366" spans="2:4" ht="10.5" customHeight="1" x14ac:dyDescent="0.25">
      <c r="B366" s="2"/>
      <c r="D366" s="3"/>
    </row>
    <row r="367" spans="2:4" ht="10.5" customHeight="1" x14ac:dyDescent="0.25">
      <c r="B367" s="2"/>
      <c r="D367" s="3"/>
    </row>
    <row r="368" spans="2:4" ht="10.5" customHeight="1" x14ac:dyDescent="0.25">
      <c r="B368" s="2"/>
      <c r="D368" s="3"/>
    </row>
    <row r="369" spans="2:4" ht="10.5" customHeight="1" x14ac:dyDescent="0.25">
      <c r="B369" s="2"/>
      <c r="D369" s="3"/>
    </row>
    <row r="370" spans="2:4" ht="10.5" customHeight="1" x14ac:dyDescent="0.25">
      <c r="B370" s="2"/>
      <c r="D370" s="3"/>
    </row>
    <row r="371" spans="2:4" ht="10.5" customHeight="1" x14ac:dyDescent="0.25">
      <c r="B371" s="2"/>
      <c r="D371" s="3"/>
    </row>
    <row r="372" spans="2:4" ht="10.5" customHeight="1" x14ac:dyDescent="0.25">
      <c r="B372" s="2"/>
      <c r="D372" s="3"/>
    </row>
    <row r="373" spans="2:4" ht="10.5" customHeight="1" x14ac:dyDescent="0.25">
      <c r="B373" s="2"/>
      <c r="D373" s="3"/>
    </row>
    <row r="374" spans="2:4" ht="10.5" customHeight="1" x14ac:dyDescent="0.25">
      <c r="B374" s="2"/>
      <c r="D374" s="3"/>
    </row>
    <row r="375" spans="2:4" ht="10.5" customHeight="1" x14ac:dyDescent="0.25">
      <c r="B375" s="2"/>
      <c r="D375" s="3"/>
    </row>
    <row r="376" spans="2:4" ht="10.5" customHeight="1" x14ac:dyDescent="0.25">
      <c r="B376" s="2"/>
      <c r="D376" s="3"/>
    </row>
    <row r="377" spans="2:4" ht="10.5" customHeight="1" x14ac:dyDescent="0.25">
      <c r="B377" s="2"/>
      <c r="D377" s="3"/>
    </row>
    <row r="378" spans="2:4" ht="10.5" customHeight="1" x14ac:dyDescent="0.25">
      <c r="B378" s="2"/>
      <c r="D378" s="3"/>
    </row>
    <row r="379" spans="2:4" ht="10.5" customHeight="1" x14ac:dyDescent="0.25">
      <c r="B379" s="2"/>
      <c r="D379" s="3"/>
    </row>
    <row r="380" spans="2:4" ht="10.5" customHeight="1" x14ac:dyDescent="0.25">
      <c r="B380" s="2"/>
      <c r="D380" s="3"/>
    </row>
    <row r="381" spans="2:4" ht="10.5" customHeight="1" x14ac:dyDescent="0.25">
      <c r="B381" s="2"/>
      <c r="D381" s="3"/>
    </row>
    <row r="382" spans="2:4" ht="10.5" customHeight="1" x14ac:dyDescent="0.25">
      <c r="B382" s="2"/>
      <c r="D382" s="3"/>
    </row>
    <row r="383" spans="2:4" ht="10.5" customHeight="1" x14ac:dyDescent="0.25">
      <c r="B383" s="2"/>
      <c r="D383" s="3"/>
    </row>
    <row r="384" spans="2:4" ht="10.5" customHeight="1" x14ac:dyDescent="0.25">
      <c r="B384" s="2"/>
      <c r="D384" s="3"/>
    </row>
    <row r="385" spans="2:4" ht="10.5" customHeight="1" x14ac:dyDescent="0.25">
      <c r="B385" s="2"/>
      <c r="D385" s="3"/>
    </row>
    <row r="386" spans="2:4" ht="10.5" customHeight="1" x14ac:dyDescent="0.25">
      <c r="B386" s="2"/>
      <c r="D386" s="3"/>
    </row>
    <row r="387" spans="2:4" ht="10.5" customHeight="1" x14ac:dyDescent="0.25">
      <c r="B387" s="2"/>
      <c r="D387" s="3"/>
    </row>
    <row r="388" spans="2:4" ht="10.5" customHeight="1" x14ac:dyDescent="0.25">
      <c r="B388" s="2"/>
      <c r="D388" s="3"/>
    </row>
    <row r="389" spans="2:4" ht="10.5" customHeight="1" x14ac:dyDescent="0.25">
      <c r="B389" s="2"/>
      <c r="D389" s="3"/>
    </row>
    <row r="390" spans="2:4" ht="10.5" customHeight="1" x14ac:dyDescent="0.25">
      <c r="B390" s="2"/>
      <c r="D390" s="3"/>
    </row>
    <row r="391" spans="2:4" ht="10.5" customHeight="1" x14ac:dyDescent="0.25">
      <c r="B391" s="2"/>
      <c r="D391" s="3"/>
    </row>
    <row r="392" spans="2:4" ht="10.5" customHeight="1" x14ac:dyDescent="0.25">
      <c r="B392" s="2"/>
      <c r="D392" s="3"/>
    </row>
    <row r="393" spans="2:4" ht="10.5" customHeight="1" x14ac:dyDescent="0.25">
      <c r="B393" s="2"/>
      <c r="D393" s="3"/>
    </row>
    <row r="394" spans="2:4" ht="10.5" customHeight="1" x14ac:dyDescent="0.25">
      <c r="B394" s="2"/>
      <c r="D394" s="3"/>
    </row>
    <row r="395" spans="2:4" ht="10.5" customHeight="1" x14ac:dyDescent="0.25">
      <c r="B395" s="2"/>
      <c r="D395" s="3"/>
    </row>
    <row r="396" spans="2:4" ht="10.5" customHeight="1" x14ac:dyDescent="0.25">
      <c r="B396" s="2"/>
      <c r="D396" s="3"/>
    </row>
    <row r="397" spans="2:4" ht="10.5" customHeight="1" x14ac:dyDescent="0.25">
      <c r="B397" s="2"/>
      <c r="D397" s="3"/>
    </row>
    <row r="398" spans="2:4" ht="10.5" customHeight="1" x14ac:dyDescent="0.25">
      <c r="B398" s="2"/>
      <c r="D398" s="3"/>
    </row>
    <row r="399" spans="2:4" ht="10.5" customHeight="1" x14ac:dyDescent="0.25">
      <c r="B399" s="2"/>
      <c r="D399" s="3"/>
    </row>
    <row r="400" spans="2:4" ht="10.5" customHeight="1" x14ac:dyDescent="0.25">
      <c r="B400" s="2"/>
      <c r="D400" s="3"/>
    </row>
    <row r="401" spans="2:4" ht="10.5" customHeight="1" x14ac:dyDescent="0.25">
      <c r="B401" s="2"/>
      <c r="D401" s="3"/>
    </row>
    <row r="402" spans="2:4" ht="10.5" customHeight="1" x14ac:dyDescent="0.25">
      <c r="B402" s="2"/>
      <c r="D402" s="3"/>
    </row>
    <row r="403" spans="2:4" ht="10.5" customHeight="1" x14ac:dyDescent="0.25">
      <c r="B403" s="2"/>
      <c r="D403" s="3"/>
    </row>
    <row r="404" spans="2:4" ht="10.5" customHeight="1" x14ac:dyDescent="0.25">
      <c r="B404" s="2"/>
      <c r="D404" s="3"/>
    </row>
    <row r="405" spans="2:4" ht="10.5" customHeight="1" x14ac:dyDescent="0.25">
      <c r="B405" s="2"/>
      <c r="D405" s="3"/>
    </row>
    <row r="406" spans="2:4" ht="10.5" customHeight="1" x14ac:dyDescent="0.25">
      <c r="B406" s="2"/>
      <c r="D406" s="3"/>
    </row>
    <row r="407" spans="2:4" ht="10.5" customHeight="1" x14ac:dyDescent="0.25">
      <c r="B407" s="2"/>
      <c r="D407" s="3"/>
    </row>
    <row r="408" spans="2:4" ht="10.5" customHeight="1" x14ac:dyDescent="0.25">
      <c r="B408" s="2"/>
      <c r="D408" s="3"/>
    </row>
    <row r="409" spans="2:4" ht="10.5" customHeight="1" x14ac:dyDescent="0.25">
      <c r="B409" s="2"/>
      <c r="D409" s="3"/>
    </row>
    <row r="410" spans="2:4" ht="10.5" customHeight="1" x14ac:dyDescent="0.25">
      <c r="B410" s="2"/>
      <c r="D410" s="3"/>
    </row>
    <row r="411" spans="2:4" ht="10.5" customHeight="1" x14ac:dyDescent="0.25">
      <c r="B411" s="2"/>
      <c r="D411" s="3"/>
    </row>
    <row r="412" spans="2:4" ht="10.5" customHeight="1" x14ac:dyDescent="0.25">
      <c r="B412" s="2"/>
      <c r="D412" s="3"/>
    </row>
    <row r="413" spans="2:4" ht="10.5" customHeight="1" x14ac:dyDescent="0.25">
      <c r="B413" s="2"/>
      <c r="D413" s="3"/>
    </row>
    <row r="414" spans="2:4" ht="10.5" customHeight="1" x14ac:dyDescent="0.25">
      <c r="B414" s="2"/>
      <c r="D414" s="3"/>
    </row>
    <row r="415" spans="2:4" ht="10.5" customHeight="1" x14ac:dyDescent="0.25">
      <c r="B415" s="2"/>
      <c r="D415" s="3"/>
    </row>
    <row r="416" spans="2:4" ht="10.5" customHeight="1" x14ac:dyDescent="0.25">
      <c r="B416" s="2"/>
      <c r="D416" s="3"/>
    </row>
    <row r="417" spans="2:4" ht="10.5" customHeight="1" x14ac:dyDescent="0.25">
      <c r="B417" s="2"/>
      <c r="D417" s="3"/>
    </row>
    <row r="418" spans="2:4" ht="10.5" customHeight="1" x14ac:dyDescent="0.25">
      <c r="B418" s="2"/>
      <c r="D418" s="3"/>
    </row>
    <row r="419" spans="2:4" ht="10.5" customHeight="1" x14ac:dyDescent="0.25">
      <c r="B419" s="2"/>
      <c r="D419" s="3"/>
    </row>
    <row r="420" spans="2:4" ht="10.5" customHeight="1" x14ac:dyDescent="0.25">
      <c r="B420" s="2"/>
      <c r="D420" s="3"/>
    </row>
    <row r="421" spans="2:4" ht="10.5" customHeight="1" x14ac:dyDescent="0.25">
      <c r="B421" s="2"/>
      <c r="D421" s="3"/>
    </row>
    <row r="422" spans="2:4" ht="10.5" customHeight="1" x14ac:dyDescent="0.25">
      <c r="B422" s="2"/>
      <c r="D422" s="3"/>
    </row>
    <row r="423" spans="2:4" ht="10.5" customHeight="1" x14ac:dyDescent="0.25">
      <c r="B423" s="2"/>
      <c r="D423" s="3"/>
    </row>
    <row r="424" spans="2:4" ht="10.5" customHeight="1" x14ac:dyDescent="0.25">
      <c r="B424" s="2"/>
      <c r="D424" s="3"/>
    </row>
    <row r="425" spans="2:4" ht="10.5" customHeight="1" x14ac:dyDescent="0.25">
      <c r="B425" s="2"/>
      <c r="D425" s="3"/>
    </row>
    <row r="426" spans="2:4" ht="10.5" customHeight="1" x14ac:dyDescent="0.25">
      <c r="B426" s="2"/>
      <c r="D426" s="3"/>
    </row>
    <row r="427" spans="2:4" ht="10.5" customHeight="1" x14ac:dyDescent="0.25">
      <c r="B427" s="2"/>
      <c r="D427" s="3"/>
    </row>
    <row r="428" spans="2:4" ht="10.5" customHeight="1" x14ac:dyDescent="0.25">
      <c r="B428" s="2"/>
      <c r="D428" s="3"/>
    </row>
    <row r="429" spans="2:4" ht="10.5" customHeight="1" x14ac:dyDescent="0.25">
      <c r="B429" s="2"/>
      <c r="D429" s="3"/>
    </row>
    <row r="430" spans="2:4" ht="10.5" customHeight="1" x14ac:dyDescent="0.25">
      <c r="B430" s="2"/>
      <c r="D430" s="3"/>
    </row>
    <row r="431" spans="2:4" ht="10.5" customHeight="1" x14ac:dyDescent="0.25">
      <c r="B431" s="2"/>
      <c r="D431" s="3"/>
    </row>
    <row r="432" spans="2:4" ht="10.5" customHeight="1" x14ac:dyDescent="0.25">
      <c r="B432" s="2"/>
      <c r="D432" s="3"/>
    </row>
    <row r="433" spans="2:4" ht="10.5" customHeight="1" x14ac:dyDescent="0.25">
      <c r="B433" s="2"/>
      <c r="D433" s="3"/>
    </row>
    <row r="434" spans="2:4" ht="10.5" customHeight="1" x14ac:dyDescent="0.25">
      <c r="B434" s="2"/>
      <c r="D434" s="3"/>
    </row>
    <row r="435" spans="2:4" ht="10.5" customHeight="1" x14ac:dyDescent="0.25">
      <c r="B435" s="2"/>
      <c r="D435" s="3"/>
    </row>
    <row r="436" spans="2:4" ht="10.5" customHeight="1" x14ac:dyDescent="0.25">
      <c r="B436" s="2"/>
      <c r="D436" s="3"/>
    </row>
    <row r="437" spans="2:4" ht="10.5" customHeight="1" x14ac:dyDescent="0.25">
      <c r="B437" s="2"/>
      <c r="D437" s="3"/>
    </row>
    <row r="438" spans="2:4" ht="10.5" customHeight="1" x14ac:dyDescent="0.25">
      <c r="B438" s="2"/>
      <c r="D438" s="3"/>
    </row>
    <row r="439" spans="2:4" ht="10.5" customHeight="1" x14ac:dyDescent="0.25">
      <c r="B439" s="2"/>
      <c r="D439" s="3"/>
    </row>
    <row r="440" spans="2:4" ht="10.5" customHeight="1" x14ac:dyDescent="0.25">
      <c r="B440" s="2"/>
      <c r="D440" s="3"/>
    </row>
    <row r="441" spans="2:4" ht="10.5" customHeight="1" x14ac:dyDescent="0.25">
      <c r="B441" s="2"/>
      <c r="D441" s="3"/>
    </row>
    <row r="442" spans="2:4" ht="10.5" customHeight="1" x14ac:dyDescent="0.25">
      <c r="B442" s="2"/>
      <c r="D442" s="3"/>
    </row>
    <row r="443" spans="2:4" ht="10.5" customHeight="1" x14ac:dyDescent="0.25">
      <c r="B443" s="2"/>
      <c r="D443" s="3"/>
    </row>
    <row r="444" spans="2:4" ht="10.5" customHeight="1" x14ac:dyDescent="0.25">
      <c r="B444" s="2"/>
      <c r="D444" s="3"/>
    </row>
    <row r="445" spans="2:4" ht="10.5" customHeight="1" x14ac:dyDescent="0.25">
      <c r="B445" s="2"/>
      <c r="D445" s="3"/>
    </row>
    <row r="446" spans="2:4" ht="10.5" customHeight="1" x14ac:dyDescent="0.25">
      <c r="B446" s="2"/>
      <c r="D446" s="3"/>
    </row>
    <row r="447" spans="2:4" ht="10.5" customHeight="1" x14ac:dyDescent="0.25">
      <c r="B447" s="2"/>
      <c r="D447" s="3"/>
    </row>
    <row r="448" spans="2:4" ht="10.5" customHeight="1" x14ac:dyDescent="0.25">
      <c r="B448" s="2"/>
      <c r="D448" s="3"/>
    </row>
    <row r="449" spans="2:4" ht="10.5" customHeight="1" x14ac:dyDescent="0.25">
      <c r="B449" s="2"/>
      <c r="D449" s="3"/>
    </row>
    <row r="450" spans="2:4" ht="10.5" customHeight="1" x14ac:dyDescent="0.25">
      <c r="B450" s="2"/>
      <c r="D450" s="3"/>
    </row>
    <row r="451" spans="2:4" ht="10.5" customHeight="1" x14ac:dyDescent="0.25">
      <c r="B451" s="2"/>
      <c r="D451" s="3"/>
    </row>
    <row r="452" spans="2:4" ht="10.5" customHeight="1" x14ac:dyDescent="0.25">
      <c r="B452" s="2"/>
      <c r="D452" s="3"/>
    </row>
    <row r="453" spans="2:4" ht="10.5" customHeight="1" x14ac:dyDescent="0.25">
      <c r="B453" s="2"/>
      <c r="D453" s="3"/>
    </row>
    <row r="454" spans="2:4" ht="10.5" customHeight="1" x14ac:dyDescent="0.25">
      <c r="B454" s="2"/>
      <c r="D454" s="3"/>
    </row>
    <row r="455" spans="2:4" ht="10.5" customHeight="1" x14ac:dyDescent="0.25">
      <c r="B455" s="2"/>
      <c r="D455" s="3"/>
    </row>
    <row r="456" spans="2:4" ht="10.5" customHeight="1" x14ac:dyDescent="0.25">
      <c r="B456" s="2"/>
      <c r="D456" s="3"/>
    </row>
    <row r="457" spans="2:4" ht="10.5" customHeight="1" x14ac:dyDescent="0.25">
      <c r="B457" s="2"/>
      <c r="D457" s="3"/>
    </row>
    <row r="458" spans="2:4" ht="10.5" customHeight="1" x14ac:dyDescent="0.25">
      <c r="B458" s="2"/>
      <c r="D458" s="3"/>
    </row>
    <row r="459" spans="2:4" ht="10.5" customHeight="1" x14ac:dyDescent="0.25">
      <c r="B459" s="2"/>
      <c r="D459" s="3"/>
    </row>
    <row r="460" spans="2:4" ht="10.5" customHeight="1" x14ac:dyDescent="0.25">
      <c r="B460" s="2"/>
      <c r="D460" s="3"/>
    </row>
    <row r="461" spans="2:4" ht="10.5" customHeight="1" x14ac:dyDescent="0.25">
      <c r="B461" s="2"/>
      <c r="D461" s="3"/>
    </row>
    <row r="462" spans="2:4" ht="10.5" customHeight="1" x14ac:dyDescent="0.25">
      <c r="B462" s="2"/>
      <c r="D462" s="3"/>
    </row>
    <row r="463" spans="2:4" ht="10.5" customHeight="1" x14ac:dyDescent="0.25">
      <c r="B463" s="2"/>
      <c r="D463" s="3"/>
    </row>
    <row r="464" spans="2:4" ht="10.5" customHeight="1" x14ac:dyDescent="0.25">
      <c r="B464" s="2"/>
      <c r="D464" s="3"/>
    </row>
    <row r="465" spans="2:4" ht="10.5" customHeight="1" x14ac:dyDescent="0.25">
      <c r="B465" s="2"/>
      <c r="D465" s="3"/>
    </row>
    <row r="466" spans="2:4" ht="10.5" customHeight="1" x14ac:dyDescent="0.25">
      <c r="B466" s="2"/>
      <c r="D466" s="3"/>
    </row>
    <row r="467" spans="2:4" ht="10.5" customHeight="1" x14ac:dyDescent="0.25">
      <c r="B467" s="2"/>
      <c r="D467" s="3"/>
    </row>
    <row r="468" spans="2:4" ht="10.5" customHeight="1" x14ac:dyDescent="0.25">
      <c r="B468" s="2"/>
      <c r="D468" s="3"/>
    </row>
    <row r="469" spans="2:4" ht="10.5" customHeight="1" x14ac:dyDescent="0.25">
      <c r="B469" s="2"/>
      <c r="D469" s="3"/>
    </row>
    <row r="470" spans="2:4" ht="10.5" customHeight="1" x14ac:dyDescent="0.25">
      <c r="B470" s="2"/>
      <c r="D470" s="3"/>
    </row>
    <row r="471" spans="2:4" ht="10.5" customHeight="1" x14ac:dyDescent="0.25">
      <c r="B471" s="2"/>
      <c r="D471" s="3"/>
    </row>
    <row r="472" spans="2:4" ht="10.5" customHeight="1" x14ac:dyDescent="0.25">
      <c r="B472" s="2"/>
      <c r="D472" s="3"/>
    </row>
    <row r="473" spans="2:4" ht="10.5" customHeight="1" x14ac:dyDescent="0.25">
      <c r="B473" s="2"/>
      <c r="D473" s="3"/>
    </row>
    <row r="474" spans="2:4" ht="10.5" customHeight="1" x14ac:dyDescent="0.25">
      <c r="B474" s="2"/>
      <c r="D474" s="3"/>
    </row>
    <row r="475" spans="2:4" ht="10.5" customHeight="1" x14ac:dyDescent="0.25">
      <c r="B475" s="2"/>
      <c r="D475" s="3"/>
    </row>
    <row r="476" spans="2:4" ht="10.5" customHeight="1" x14ac:dyDescent="0.25">
      <c r="B476" s="2"/>
      <c r="D476" s="3"/>
    </row>
    <row r="477" spans="2:4" ht="10.5" customHeight="1" x14ac:dyDescent="0.25">
      <c r="B477" s="2"/>
      <c r="D477" s="3"/>
    </row>
    <row r="478" spans="2:4" ht="10.5" customHeight="1" x14ac:dyDescent="0.25">
      <c r="B478" s="2"/>
      <c r="D478" s="3"/>
    </row>
    <row r="479" spans="2:4" ht="10.5" customHeight="1" x14ac:dyDescent="0.25">
      <c r="B479" s="2"/>
      <c r="D479" s="3"/>
    </row>
    <row r="480" spans="2:4" ht="10.5" customHeight="1" x14ac:dyDescent="0.25">
      <c r="B480" s="2"/>
      <c r="D480" s="3"/>
    </row>
    <row r="481" spans="2:4" ht="10.5" customHeight="1" x14ac:dyDescent="0.25">
      <c r="B481" s="2"/>
      <c r="D481" s="3"/>
    </row>
    <row r="482" spans="2:4" ht="10.5" customHeight="1" x14ac:dyDescent="0.25">
      <c r="B482" s="2"/>
      <c r="D482" s="3"/>
    </row>
    <row r="483" spans="2:4" ht="10.5" customHeight="1" x14ac:dyDescent="0.25">
      <c r="B483" s="2"/>
      <c r="D483" s="3"/>
    </row>
    <row r="484" spans="2:4" ht="10.5" customHeight="1" x14ac:dyDescent="0.25">
      <c r="B484" s="2"/>
      <c r="D484" s="3"/>
    </row>
    <row r="485" spans="2:4" ht="10.5" customHeight="1" x14ac:dyDescent="0.25">
      <c r="B485" s="2"/>
      <c r="D485" s="3"/>
    </row>
    <row r="486" spans="2:4" ht="10.5" customHeight="1" x14ac:dyDescent="0.25">
      <c r="B486" s="2"/>
      <c r="D486" s="3"/>
    </row>
    <row r="487" spans="2:4" ht="10.5" customHeight="1" x14ac:dyDescent="0.25">
      <c r="B487" s="2"/>
      <c r="D487" s="3"/>
    </row>
    <row r="488" spans="2:4" ht="10.5" customHeight="1" x14ac:dyDescent="0.25">
      <c r="B488" s="2"/>
      <c r="D488" s="3"/>
    </row>
    <row r="489" spans="2:4" ht="10.5" customHeight="1" x14ac:dyDescent="0.25">
      <c r="B489" s="2"/>
      <c r="D489" s="3"/>
    </row>
    <row r="490" spans="2:4" ht="10.5" customHeight="1" x14ac:dyDescent="0.25">
      <c r="B490" s="2"/>
      <c r="D490" s="3"/>
    </row>
    <row r="491" spans="2:4" ht="10.5" customHeight="1" x14ac:dyDescent="0.25">
      <c r="B491" s="2"/>
      <c r="D491" s="3"/>
    </row>
    <row r="492" spans="2:4" ht="10.5" customHeight="1" x14ac:dyDescent="0.25">
      <c r="B492" s="2"/>
      <c r="D492" s="3"/>
    </row>
    <row r="493" spans="2:4" ht="10.5" customHeight="1" x14ac:dyDescent="0.25">
      <c r="B493" s="2"/>
      <c r="D493" s="3"/>
    </row>
    <row r="494" spans="2:4" ht="10.5" customHeight="1" x14ac:dyDescent="0.25">
      <c r="B494" s="2"/>
      <c r="D494" s="3"/>
    </row>
    <row r="495" spans="2:4" ht="10.5" customHeight="1" x14ac:dyDescent="0.25">
      <c r="B495" s="2"/>
      <c r="D495" s="3"/>
    </row>
    <row r="496" spans="2:4" ht="10.5" customHeight="1" x14ac:dyDescent="0.25">
      <c r="B496" s="2"/>
      <c r="D496" s="3"/>
    </row>
    <row r="497" spans="2:4" ht="10.5" customHeight="1" x14ac:dyDescent="0.25">
      <c r="B497" s="2"/>
      <c r="D497" s="3"/>
    </row>
    <row r="498" spans="2:4" ht="10.5" customHeight="1" x14ac:dyDescent="0.25">
      <c r="B498" s="2"/>
      <c r="D498" s="3"/>
    </row>
    <row r="499" spans="2:4" ht="10.5" customHeight="1" x14ac:dyDescent="0.25">
      <c r="B499" s="2"/>
      <c r="D499" s="3"/>
    </row>
    <row r="500" spans="2:4" ht="10.5" customHeight="1" x14ac:dyDescent="0.25">
      <c r="B500" s="2"/>
      <c r="D500" s="3"/>
    </row>
    <row r="501" spans="2:4" ht="10.5" customHeight="1" x14ac:dyDescent="0.25">
      <c r="B501" s="2"/>
      <c r="D501" s="3"/>
    </row>
    <row r="502" spans="2:4" ht="10.5" customHeight="1" x14ac:dyDescent="0.25">
      <c r="B502" s="2"/>
      <c r="D502" s="3"/>
    </row>
    <row r="503" spans="2:4" ht="10.5" customHeight="1" x14ac:dyDescent="0.25">
      <c r="B503" s="2"/>
      <c r="D503" s="3"/>
    </row>
    <row r="504" spans="2:4" ht="10.5" customHeight="1" x14ac:dyDescent="0.25">
      <c r="B504" s="2"/>
      <c r="D504" s="3"/>
    </row>
    <row r="505" spans="2:4" ht="10.5" customHeight="1" x14ac:dyDescent="0.25">
      <c r="B505" s="2"/>
      <c r="D505" s="3"/>
    </row>
    <row r="506" spans="2:4" ht="10.5" customHeight="1" x14ac:dyDescent="0.25">
      <c r="B506" s="2"/>
      <c r="D506" s="3"/>
    </row>
    <row r="507" spans="2:4" ht="10.5" customHeight="1" x14ac:dyDescent="0.25">
      <c r="B507" s="2"/>
      <c r="D507" s="3"/>
    </row>
    <row r="508" spans="2:4" ht="10.5" customHeight="1" x14ac:dyDescent="0.25">
      <c r="B508" s="2"/>
      <c r="D508" s="3"/>
    </row>
    <row r="509" spans="2:4" ht="10.5" customHeight="1" x14ac:dyDescent="0.25">
      <c r="B509" s="2"/>
      <c r="D509" s="3"/>
    </row>
    <row r="510" spans="2:4" ht="10.5" customHeight="1" x14ac:dyDescent="0.25">
      <c r="B510" s="2"/>
      <c r="D510" s="3"/>
    </row>
    <row r="511" spans="2:4" ht="10.5" customHeight="1" x14ac:dyDescent="0.25">
      <c r="B511" s="2"/>
      <c r="D511" s="3"/>
    </row>
    <row r="512" spans="2:4" ht="10.5" customHeight="1" x14ac:dyDescent="0.25">
      <c r="B512" s="2"/>
      <c r="D512" s="3"/>
    </row>
    <row r="513" spans="2:4" ht="10.5" customHeight="1" x14ac:dyDescent="0.25">
      <c r="B513" s="2"/>
      <c r="D513" s="3"/>
    </row>
    <row r="514" spans="2:4" ht="10.5" customHeight="1" x14ac:dyDescent="0.25">
      <c r="B514" s="2"/>
      <c r="D514" s="3"/>
    </row>
    <row r="515" spans="2:4" ht="10.5" customHeight="1" x14ac:dyDescent="0.25">
      <c r="B515" s="2"/>
      <c r="D515" s="3"/>
    </row>
    <row r="516" spans="2:4" ht="10.5" customHeight="1" x14ac:dyDescent="0.25">
      <c r="B516" s="2"/>
      <c r="D516" s="3"/>
    </row>
    <row r="517" spans="2:4" ht="10.5" customHeight="1" x14ac:dyDescent="0.25">
      <c r="B517" s="2"/>
      <c r="D517" s="3"/>
    </row>
    <row r="518" spans="2:4" ht="10.5" customHeight="1" x14ac:dyDescent="0.25">
      <c r="B518" s="2"/>
      <c r="D518" s="3"/>
    </row>
    <row r="519" spans="2:4" ht="10.5" customHeight="1" x14ac:dyDescent="0.25">
      <c r="B519" s="2"/>
      <c r="D519" s="3"/>
    </row>
    <row r="520" spans="2:4" ht="10.5" customHeight="1" x14ac:dyDescent="0.25">
      <c r="B520" s="2"/>
      <c r="D520" s="3"/>
    </row>
    <row r="521" spans="2:4" ht="10.5" customHeight="1" x14ac:dyDescent="0.25">
      <c r="B521" s="2"/>
      <c r="D521" s="3"/>
    </row>
    <row r="522" spans="2:4" ht="10.5" customHeight="1" x14ac:dyDescent="0.25">
      <c r="B522" s="2"/>
      <c r="D522" s="3"/>
    </row>
    <row r="523" spans="2:4" ht="10.5" customHeight="1" x14ac:dyDescent="0.25">
      <c r="B523" s="2"/>
      <c r="D523" s="3"/>
    </row>
    <row r="524" spans="2:4" ht="10.5" customHeight="1" x14ac:dyDescent="0.25">
      <c r="B524" s="2"/>
      <c r="D524" s="3"/>
    </row>
    <row r="525" spans="2:4" ht="10.5" customHeight="1" x14ac:dyDescent="0.25">
      <c r="B525" s="2"/>
      <c r="D525" s="3"/>
    </row>
    <row r="526" spans="2:4" ht="10.5" customHeight="1" x14ac:dyDescent="0.25">
      <c r="B526" s="2"/>
      <c r="D526" s="3"/>
    </row>
    <row r="527" spans="2:4" ht="10.5" customHeight="1" x14ac:dyDescent="0.25">
      <c r="B527" s="2"/>
      <c r="D527" s="3"/>
    </row>
    <row r="528" spans="2:4" ht="10.5" customHeight="1" x14ac:dyDescent="0.25">
      <c r="B528" s="2"/>
      <c r="D528" s="3"/>
    </row>
    <row r="529" spans="2:4" ht="10.5" customHeight="1" x14ac:dyDescent="0.25">
      <c r="B529" s="2"/>
      <c r="D529" s="3"/>
    </row>
    <row r="530" spans="2:4" ht="10.5" customHeight="1" x14ac:dyDescent="0.25">
      <c r="B530" s="2"/>
      <c r="D530" s="3"/>
    </row>
    <row r="531" spans="2:4" ht="10.5" customHeight="1" x14ac:dyDescent="0.25">
      <c r="B531" s="2"/>
      <c r="D531" s="3"/>
    </row>
    <row r="532" spans="2:4" ht="10.5" customHeight="1" x14ac:dyDescent="0.25">
      <c r="B532" s="2"/>
      <c r="D532" s="3"/>
    </row>
    <row r="533" spans="2:4" ht="10.5" customHeight="1" x14ac:dyDescent="0.25">
      <c r="B533" s="2"/>
      <c r="D533" s="3"/>
    </row>
    <row r="534" spans="2:4" ht="10.5" customHeight="1" x14ac:dyDescent="0.25">
      <c r="B534" s="2"/>
      <c r="D534" s="3"/>
    </row>
    <row r="535" spans="2:4" ht="10.5" customHeight="1" x14ac:dyDescent="0.25">
      <c r="B535" s="2"/>
      <c r="D535" s="3"/>
    </row>
    <row r="536" spans="2:4" ht="10.5" customHeight="1" x14ac:dyDescent="0.25">
      <c r="B536" s="2"/>
      <c r="D536" s="3"/>
    </row>
    <row r="537" spans="2:4" ht="10.5" customHeight="1" x14ac:dyDescent="0.25">
      <c r="B537" s="2"/>
      <c r="D537" s="3"/>
    </row>
    <row r="538" spans="2:4" ht="10.5" customHeight="1" x14ac:dyDescent="0.25">
      <c r="B538" s="2"/>
      <c r="D538" s="3"/>
    </row>
    <row r="539" spans="2:4" ht="10.5" customHeight="1" x14ac:dyDescent="0.25">
      <c r="B539" s="2"/>
      <c r="D539" s="3"/>
    </row>
    <row r="540" spans="2:4" ht="10.5" customHeight="1" x14ac:dyDescent="0.25">
      <c r="B540" s="2"/>
      <c r="D540" s="3"/>
    </row>
    <row r="541" spans="2:4" ht="10.5" customHeight="1" x14ac:dyDescent="0.25">
      <c r="B541" s="2"/>
      <c r="D541" s="3"/>
    </row>
    <row r="542" spans="2:4" ht="10.5" customHeight="1" x14ac:dyDescent="0.25">
      <c r="B542" s="2"/>
      <c r="D542" s="3"/>
    </row>
    <row r="543" spans="2:4" ht="10.5" customHeight="1" x14ac:dyDescent="0.25">
      <c r="B543" s="2"/>
      <c r="D543" s="3"/>
    </row>
    <row r="544" spans="2:4" ht="10.5" customHeight="1" x14ac:dyDescent="0.25">
      <c r="B544" s="2"/>
      <c r="D544" s="3"/>
    </row>
    <row r="545" spans="2:4" ht="10.5" customHeight="1" x14ac:dyDescent="0.25">
      <c r="B545" s="2"/>
      <c r="D545" s="3"/>
    </row>
    <row r="546" spans="2:4" ht="10.5" customHeight="1" x14ac:dyDescent="0.25">
      <c r="B546" s="2"/>
      <c r="D546" s="3"/>
    </row>
    <row r="547" spans="2:4" ht="10.5" customHeight="1" x14ac:dyDescent="0.25">
      <c r="B547" s="2"/>
      <c r="D547" s="3"/>
    </row>
    <row r="548" spans="2:4" ht="10.5" customHeight="1" x14ac:dyDescent="0.25">
      <c r="B548" s="2"/>
      <c r="D548" s="3"/>
    </row>
    <row r="549" spans="2:4" ht="10.5" customHeight="1" x14ac:dyDescent="0.25">
      <c r="B549" s="2"/>
      <c r="D549" s="3"/>
    </row>
    <row r="550" spans="2:4" ht="10.5" customHeight="1" x14ac:dyDescent="0.25">
      <c r="B550" s="2"/>
      <c r="D550" s="3"/>
    </row>
    <row r="551" spans="2:4" ht="10.5" customHeight="1" x14ac:dyDescent="0.25">
      <c r="B551" s="2"/>
      <c r="D551" s="3"/>
    </row>
    <row r="552" spans="2:4" ht="10.5" customHeight="1" x14ac:dyDescent="0.25">
      <c r="B552" s="2"/>
      <c r="D552" s="3"/>
    </row>
    <row r="553" spans="2:4" ht="10.5" customHeight="1" x14ac:dyDescent="0.25">
      <c r="B553" s="2"/>
      <c r="D553" s="3"/>
    </row>
    <row r="554" spans="2:4" ht="10.5" customHeight="1" x14ac:dyDescent="0.25">
      <c r="B554" s="2"/>
      <c r="D554" s="3"/>
    </row>
    <row r="555" spans="2:4" ht="10.5" customHeight="1" x14ac:dyDescent="0.25">
      <c r="B555" s="2"/>
      <c r="D555" s="3"/>
    </row>
    <row r="556" spans="2:4" ht="10.5" customHeight="1" x14ac:dyDescent="0.25">
      <c r="B556" s="2"/>
      <c r="D556" s="3"/>
    </row>
    <row r="557" spans="2:4" ht="10.5" customHeight="1" x14ac:dyDescent="0.25">
      <c r="B557" s="2"/>
      <c r="D557" s="3"/>
    </row>
    <row r="558" spans="2:4" ht="10.5" customHeight="1" x14ac:dyDescent="0.25">
      <c r="B558" s="2"/>
      <c r="D558" s="3"/>
    </row>
    <row r="559" spans="2:4" ht="10.5" customHeight="1" x14ac:dyDescent="0.25">
      <c r="B559" s="2"/>
      <c r="D559" s="3"/>
    </row>
    <row r="560" spans="2:4" ht="10.5" customHeight="1" x14ac:dyDescent="0.25">
      <c r="B560" s="2"/>
      <c r="D560" s="3"/>
    </row>
    <row r="561" spans="2:4" ht="10.5" customHeight="1" x14ac:dyDescent="0.25">
      <c r="B561" s="2"/>
      <c r="D561" s="3"/>
    </row>
    <row r="562" spans="2:4" ht="10.5" customHeight="1" x14ac:dyDescent="0.25">
      <c r="B562" s="2"/>
      <c r="D562" s="3"/>
    </row>
    <row r="563" spans="2:4" ht="10.5" customHeight="1" x14ac:dyDescent="0.25">
      <c r="B563" s="2"/>
      <c r="D563" s="3"/>
    </row>
    <row r="564" spans="2:4" ht="10.5" customHeight="1" x14ac:dyDescent="0.25">
      <c r="B564" s="2"/>
      <c r="D564" s="3"/>
    </row>
    <row r="565" spans="2:4" ht="10.5" customHeight="1" x14ac:dyDescent="0.25">
      <c r="B565" s="2"/>
      <c r="D565" s="3"/>
    </row>
    <row r="566" spans="2:4" ht="10.5" customHeight="1" x14ac:dyDescent="0.25">
      <c r="B566" s="2"/>
      <c r="D566" s="3"/>
    </row>
    <row r="567" spans="2:4" ht="10.5" customHeight="1" x14ac:dyDescent="0.25">
      <c r="B567" s="2"/>
      <c r="D567" s="3"/>
    </row>
    <row r="568" spans="2:4" ht="10.5" customHeight="1" x14ac:dyDescent="0.25">
      <c r="B568" s="2"/>
      <c r="D568" s="3"/>
    </row>
    <row r="569" spans="2:4" ht="10.5" customHeight="1" x14ac:dyDescent="0.25">
      <c r="B569" s="2"/>
      <c r="D569" s="3"/>
    </row>
    <row r="570" spans="2:4" ht="10.5" customHeight="1" x14ac:dyDescent="0.25">
      <c r="B570" s="2"/>
      <c r="D570" s="3"/>
    </row>
    <row r="571" spans="2:4" ht="10.5" customHeight="1" x14ac:dyDescent="0.25">
      <c r="B571" s="2"/>
      <c r="D571" s="3"/>
    </row>
    <row r="572" spans="2:4" ht="10.5" customHeight="1" x14ac:dyDescent="0.25">
      <c r="B572" s="2"/>
      <c r="D572" s="3"/>
    </row>
    <row r="573" spans="2:4" ht="10.5" customHeight="1" x14ac:dyDescent="0.25">
      <c r="B573" s="2"/>
      <c r="D573" s="3"/>
    </row>
    <row r="574" spans="2:4" ht="10.5" customHeight="1" x14ac:dyDescent="0.25">
      <c r="B574" s="2"/>
      <c r="D574" s="3"/>
    </row>
    <row r="575" spans="2:4" ht="10.5" customHeight="1" x14ac:dyDescent="0.25">
      <c r="B575" s="2"/>
      <c r="D575" s="3"/>
    </row>
    <row r="576" spans="2:4" ht="10.5" customHeight="1" x14ac:dyDescent="0.25">
      <c r="B576" s="2"/>
      <c r="D576" s="3"/>
    </row>
    <row r="577" spans="2:4" ht="10.5" customHeight="1" x14ac:dyDescent="0.25">
      <c r="B577" s="2"/>
      <c r="D577" s="3"/>
    </row>
    <row r="578" spans="2:4" ht="10.5" customHeight="1" x14ac:dyDescent="0.25">
      <c r="B578" s="2"/>
      <c r="D578" s="3"/>
    </row>
    <row r="579" spans="2:4" ht="10.5" customHeight="1" x14ac:dyDescent="0.25">
      <c r="B579" s="2"/>
      <c r="D579" s="3"/>
    </row>
    <row r="580" spans="2:4" ht="10.5" customHeight="1" x14ac:dyDescent="0.25">
      <c r="B580" s="2"/>
      <c r="D580" s="3"/>
    </row>
    <row r="581" spans="2:4" ht="10.5" customHeight="1" x14ac:dyDescent="0.25">
      <c r="B581" s="2"/>
      <c r="D581" s="3"/>
    </row>
    <row r="582" spans="2:4" ht="10.5" customHeight="1" x14ac:dyDescent="0.25">
      <c r="B582" s="2"/>
      <c r="D582" s="3"/>
    </row>
    <row r="583" spans="2:4" ht="10.5" customHeight="1" x14ac:dyDescent="0.25">
      <c r="B583" s="2"/>
      <c r="D583" s="3"/>
    </row>
    <row r="584" spans="2:4" ht="10.5" customHeight="1" x14ac:dyDescent="0.25">
      <c r="B584" s="2"/>
      <c r="D584" s="3"/>
    </row>
    <row r="585" spans="2:4" ht="10.5" customHeight="1" x14ac:dyDescent="0.25">
      <c r="B585" s="2"/>
      <c r="D585" s="3"/>
    </row>
    <row r="586" spans="2:4" ht="10.5" customHeight="1" x14ac:dyDescent="0.25">
      <c r="B586" s="2"/>
      <c r="D586" s="3"/>
    </row>
    <row r="587" spans="2:4" ht="10.5" customHeight="1" x14ac:dyDescent="0.25">
      <c r="B587" s="2"/>
      <c r="D587" s="3"/>
    </row>
    <row r="588" spans="2:4" ht="10.5" customHeight="1" x14ac:dyDescent="0.25">
      <c r="B588" s="2"/>
      <c r="D588" s="3"/>
    </row>
    <row r="589" spans="2:4" ht="10.5" customHeight="1" x14ac:dyDescent="0.25">
      <c r="B589" s="2"/>
      <c r="D589" s="3"/>
    </row>
    <row r="590" spans="2:4" ht="10.5" customHeight="1" x14ac:dyDescent="0.25">
      <c r="B590" s="2"/>
      <c r="D590" s="3"/>
    </row>
    <row r="591" spans="2:4" ht="10.5" customHeight="1" x14ac:dyDescent="0.25">
      <c r="B591" s="2"/>
      <c r="D591" s="3"/>
    </row>
    <row r="592" spans="2:4" ht="10.5" customHeight="1" x14ac:dyDescent="0.25">
      <c r="B592" s="2"/>
      <c r="D592" s="3"/>
    </row>
    <row r="593" spans="2:4" ht="10.5" customHeight="1" x14ac:dyDescent="0.25">
      <c r="B593" s="2"/>
      <c r="D593" s="3"/>
    </row>
    <row r="594" spans="2:4" ht="10.5" customHeight="1" x14ac:dyDescent="0.25">
      <c r="B594" s="2"/>
      <c r="D594" s="3"/>
    </row>
    <row r="595" spans="2:4" ht="10.5" customHeight="1" x14ac:dyDescent="0.25">
      <c r="B595" s="2"/>
      <c r="D595" s="3"/>
    </row>
    <row r="596" spans="2:4" ht="10.5" customHeight="1" x14ac:dyDescent="0.25">
      <c r="B596" s="2"/>
      <c r="D596" s="3"/>
    </row>
    <row r="597" spans="2:4" ht="10.5" customHeight="1" x14ac:dyDescent="0.25">
      <c r="B597" s="2"/>
      <c r="D597" s="3"/>
    </row>
    <row r="598" spans="2:4" ht="10.5" customHeight="1" x14ac:dyDescent="0.25">
      <c r="B598" s="2"/>
      <c r="D598" s="3"/>
    </row>
    <row r="599" spans="2:4" ht="10.5" customHeight="1" x14ac:dyDescent="0.25">
      <c r="B599" s="2"/>
      <c r="D599" s="3"/>
    </row>
    <row r="600" spans="2:4" ht="10.5" customHeight="1" x14ac:dyDescent="0.25">
      <c r="B600" s="2"/>
      <c r="D600" s="3"/>
    </row>
    <row r="601" spans="2:4" ht="10.5" customHeight="1" x14ac:dyDescent="0.25">
      <c r="B601" s="2"/>
      <c r="D601" s="3"/>
    </row>
    <row r="602" spans="2:4" ht="10.5" customHeight="1" x14ac:dyDescent="0.25">
      <c r="B602" s="2"/>
      <c r="D602" s="3"/>
    </row>
    <row r="603" spans="2:4" ht="10.5" customHeight="1" x14ac:dyDescent="0.25">
      <c r="B603" s="2"/>
      <c r="D603" s="3"/>
    </row>
    <row r="604" spans="2:4" ht="10.5" customHeight="1" x14ac:dyDescent="0.25">
      <c r="B604" s="2"/>
      <c r="D604" s="3"/>
    </row>
    <row r="605" spans="2:4" ht="10.5" customHeight="1" x14ac:dyDescent="0.25">
      <c r="B605" s="2"/>
      <c r="D605" s="3"/>
    </row>
    <row r="606" spans="2:4" ht="10.5" customHeight="1" x14ac:dyDescent="0.25">
      <c r="B606" s="2"/>
      <c r="D606" s="3"/>
    </row>
    <row r="607" spans="2:4" ht="10.5" customHeight="1" x14ac:dyDescent="0.25">
      <c r="B607" s="2"/>
      <c r="D607" s="3"/>
    </row>
    <row r="608" spans="2:4" ht="10.5" customHeight="1" x14ac:dyDescent="0.25">
      <c r="B608" s="2"/>
      <c r="D608" s="3"/>
    </row>
    <row r="609" spans="2:4" ht="10.5" customHeight="1" x14ac:dyDescent="0.25">
      <c r="B609" s="2"/>
      <c r="D609" s="3"/>
    </row>
    <row r="610" spans="2:4" ht="10.5" customHeight="1" x14ac:dyDescent="0.25">
      <c r="B610" s="2"/>
      <c r="D610" s="3"/>
    </row>
    <row r="611" spans="2:4" ht="10.5" customHeight="1" x14ac:dyDescent="0.25">
      <c r="B611" s="2"/>
      <c r="D611" s="3"/>
    </row>
    <row r="612" spans="2:4" ht="10.5" customHeight="1" x14ac:dyDescent="0.25">
      <c r="B612" s="2"/>
      <c r="D612" s="3"/>
    </row>
    <row r="613" spans="2:4" ht="10.5" customHeight="1" x14ac:dyDescent="0.25">
      <c r="B613" s="2"/>
      <c r="D613" s="3"/>
    </row>
    <row r="614" spans="2:4" ht="10.5" customHeight="1" x14ac:dyDescent="0.25">
      <c r="B614" s="2"/>
      <c r="D614" s="3"/>
    </row>
    <row r="615" spans="2:4" ht="10.5" customHeight="1" x14ac:dyDescent="0.25">
      <c r="B615" s="2"/>
      <c r="D615" s="3"/>
    </row>
    <row r="616" spans="2:4" ht="10.5" customHeight="1" x14ac:dyDescent="0.25">
      <c r="B616" s="2"/>
      <c r="D616" s="3"/>
    </row>
    <row r="617" spans="2:4" ht="10.5" customHeight="1" x14ac:dyDescent="0.25">
      <c r="B617" s="2"/>
      <c r="D617" s="3"/>
    </row>
    <row r="618" spans="2:4" ht="10.5" customHeight="1" x14ac:dyDescent="0.25">
      <c r="B618" s="2"/>
      <c r="D618" s="3"/>
    </row>
    <row r="619" spans="2:4" ht="10.5" customHeight="1" x14ac:dyDescent="0.25">
      <c r="B619" s="2"/>
      <c r="D619" s="3"/>
    </row>
    <row r="620" spans="2:4" ht="10.5" customHeight="1" x14ac:dyDescent="0.25">
      <c r="B620" s="2"/>
      <c r="D620" s="3"/>
    </row>
    <row r="621" spans="2:4" ht="10.5" customHeight="1" x14ac:dyDescent="0.25">
      <c r="B621" s="2"/>
      <c r="D621" s="3"/>
    </row>
    <row r="622" spans="2:4" ht="10.5" customHeight="1" x14ac:dyDescent="0.25">
      <c r="B622" s="2"/>
      <c r="D622" s="3"/>
    </row>
    <row r="623" spans="2:4" ht="10.5" customHeight="1" x14ac:dyDescent="0.25">
      <c r="B623" s="2"/>
      <c r="D623" s="3"/>
    </row>
    <row r="624" spans="2:4" ht="10.5" customHeight="1" x14ac:dyDescent="0.25">
      <c r="B624" s="2"/>
      <c r="D624" s="3"/>
    </row>
    <row r="625" spans="2:4" ht="10.5" customHeight="1" x14ac:dyDescent="0.25">
      <c r="B625" s="2"/>
      <c r="D625" s="3"/>
    </row>
    <row r="626" spans="2:4" ht="10.5" customHeight="1" x14ac:dyDescent="0.25">
      <c r="B626" s="2"/>
      <c r="D626" s="3"/>
    </row>
    <row r="627" spans="2:4" ht="10.5" customHeight="1" x14ac:dyDescent="0.25">
      <c r="B627" s="2"/>
      <c r="D627" s="3"/>
    </row>
    <row r="628" spans="2:4" ht="10.5" customHeight="1" x14ac:dyDescent="0.25">
      <c r="B628" s="2"/>
      <c r="D628" s="3"/>
    </row>
    <row r="629" spans="2:4" ht="10.5" customHeight="1" x14ac:dyDescent="0.25">
      <c r="B629" s="2"/>
      <c r="D629" s="3"/>
    </row>
    <row r="630" spans="2:4" ht="10.5" customHeight="1" x14ac:dyDescent="0.25">
      <c r="B630" s="2"/>
      <c r="D630" s="3"/>
    </row>
    <row r="631" spans="2:4" ht="10.5" customHeight="1" x14ac:dyDescent="0.25">
      <c r="B631" s="2"/>
      <c r="D631" s="3"/>
    </row>
    <row r="632" spans="2:4" ht="10.5" customHeight="1" x14ac:dyDescent="0.25">
      <c r="B632" s="2"/>
      <c r="D632" s="3"/>
    </row>
    <row r="633" spans="2:4" ht="10.5" customHeight="1" x14ac:dyDescent="0.25">
      <c r="B633" s="2"/>
      <c r="D633" s="3"/>
    </row>
    <row r="634" spans="2:4" ht="10.5" customHeight="1" x14ac:dyDescent="0.25">
      <c r="B634" s="2"/>
      <c r="D634" s="3"/>
    </row>
    <row r="635" spans="2:4" ht="10.5" customHeight="1" x14ac:dyDescent="0.25">
      <c r="B635" s="2"/>
      <c r="D635" s="3"/>
    </row>
    <row r="636" spans="2:4" ht="10.5" customHeight="1" x14ac:dyDescent="0.25">
      <c r="B636" s="2"/>
      <c r="D636" s="3"/>
    </row>
    <row r="637" spans="2:4" ht="10.5" customHeight="1" x14ac:dyDescent="0.25">
      <c r="B637" s="2"/>
      <c r="D637" s="3"/>
    </row>
    <row r="638" spans="2:4" ht="10.5" customHeight="1" x14ac:dyDescent="0.25">
      <c r="B638" s="2"/>
      <c r="D638" s="3"/>
    </row>
    <row r="639" spans="2:4" ht="10.5" customHeight="1" x14ac:dyDescent="0.25">
      <c r="B639" s="2"/>
      <c r="D639" s="3"/>
    </row>
    <row r="640" spans="2:4" ht="10.5" customHeight="1" x14ac:dyDescent="0.25">
      <c r="B640" s="2"/>
      <c r="D640" s="3"/>
    </row>
    <row r="641" spans="2:4" ht="10.5" customHeight="1" x14ac:dyDescent="0.25">
      <c r="B641" s="2"/>
      <c r="D641" s="3"/>
    </row>
    <row r="642" spans="2:4" ht="10.5" customHeight="1" x14ac:dyDescent="0.25">
      <c r="B642" s="2"/>
      <c r="D642" s="3"/>
    </row>
    <row r="643" spans="2:4" ht="10.5" customHeight="1" x14ac:dyDescent="0.25">
      <c r="B643" s="2"/>
      <c r="D643" s="3"/>
    </row>
    <row r="644" spans="2:4" ht="10.5" customHeight="1" x14ac:dyDescent="0.25">
      <c r="B644" s="2"/>
      <c r="D644" s="3"/>
    </row>
    <row r="645" spans="2:4" ht="10.5" customHeight="1" x14ac:dyDescent="0.25">
      <c r="B645" s="2"/>
      <c r="D645" s="3"/>
    </row>
    <row r="646" spans="2:4" ht="10.5" customHeight="1" x14ac:dyDescent="0.25">
      <c r="B646" s="2"/>
      <c r="D646" s="3"/>
    </row>
    <row r="647" spans="2:4" ht="10.5" customHeight="1" x14ac:dyDescent="0.25">
      <c r="B647" s="2"/>
      <c r="D647" s="3"/>
    </row>
    <row r="648" spans="2:4" ht="10.5" customHeight="1" x14ac:dyDescent="0.25">
      <c r="B648" s="2"/>
      <c r="D648" s="3"/>
    </row>
    <row r="649" spans="2:4" ht="10.5" customHeight="1" x14ac:dyDescent="0.25">
      <c r="B649" s="2"/>
      <c r="D649" s="3"/>
    </row>
    <row r="650" spans="2:4" ht="10.5" customHeight="1" x14ac:dyDescent="0.25">
      <c r="B650" s="2"/>
      <c r="D650" s="3"/>
    </row>
    <row r="651" spans="2:4" ht="10.5" customHeight="1" x14ac:dyDescent="0.25">
      <c r="B651" s="2"/>
      <c r="D651" s="3"/>
    </row>
    <row r="652" spans="2:4" ht="10.5" customHeight="1" x14ac:dyDescent="0.25">
      <c r="B652" s="2"/>
      <c r="D652" s="3"/>
    </row>
    <row r="653" spans="2:4" ht="10.5" customHeight="1" x14ac:dyDescent="0.25">
      <c r="B653" s="2"/>
      <c r="D653" s="3"/>
    </row>
    <row r="654" spans="2:4" ht="10.5" customHeight="1" x14ac:dyDescent="0.25">
      <c r="B654" s="2"/>
      <c r="D654" s="3"/>
    </row>
    <row r="655" spans="2:4" ht="10.5" customHeight="1" x14ac:dyDescent="0.25">
      <c r="B655" s="2"/>
      <c r="D655" s="3"/>
    </row>
    <row r="656" spans="2:4" ht="10.5" customHeight="1" x14ac:dyDescent="0.25">
      <c r="B656" s="2"/>
      <c r="D656" s="3"/>
    </row>
    <row r="657" spans="2:4" ht="10.5" customHeight="1" x14ac:dyDescent="0.25">
      <c r="B657" s="2"/>
      <c r="D657" s="3"/>
    </row>
    <row r="658" spans="2:4" ht="10.5" customHeight="1" x14ac:dyDescent="0.25">
      <c r="B658" s="2"/>
      <c r="D658" s="3"/>
    </row>
    <row r="659" spans="2:4" ht="10.5" customHeight="1" x14ac:dyDescent="0.25">
      <c r="B659" s="2"/>
      <c r="D659" s="3"/>
    </row>
    <row r="660" spans="2:4" ht="10.5" customHeight="1" x14ac:dyDescent="0.25">
      <c r="B660" s="2"/>
      <c r="D660" s="3"/>
    </row>
    <row r="661" spans="2:4" ht="10.5" customHeight="1" x14ac:dyDescent="0.25">
      <c r="B661" s="2"/>
      <c r="D661" s="3"/>
    </row>
    <row r="662" spans="2:4" ht="10.5" customHeight="1" x14ac:dyDescent="0.25">
      <c r="B662" s="2"/>
      <c r="D662" s="3"/>
    </row>
    <row r="663" spans="2:4" ht="10.5" customHeight="1" x14ac:dyDescent="0.25">
      <c r="B663" s="2"/>
      <c r="D663" s="3"/>
    </row>
    <row r="664" spans="2:4" ht="10.5" customHeight="1" x14ac:dyDescent="0.25">
      <c r="B664" s="2"/>
      <c r="D664" s="3"/>
    </row>
    <row r="665" spans="2:4" ht="10.5" customHeight="1" x14ac:dyDescent="0.25">
      <c r="B665" s="2"/>
      <c r="D665" s="3"/>
    </row>
    <row r="666" spans="2:4" ht="10.5" customHeight="1" x14ac:dyDescent="0.25">
      <c r="B666" s="2"/>
      <c r="D666" s="3"/>
    </row>
    <row r="667" spans="2:4" ht="10.5" customHeight="1" x14ac:dyDescent="0.25">
      <c r="B667" s="2"/>
      <c r="D667" s="3"/>
    </row>
    <row r="668" spans="2:4" ht="10.5" customHeight="1" x14ac:dyDescent="0.25">
      <c r="B668" s="2"/>
      <c r="D668" s="3"/>
    </row>
    <row r="669" spans="2:4" ht="10.5" customHeight="1" x14ac:dyDescent="0.25">
      <c r="B669" s="2"/>
      <c r="D669" s="3"/>
    </row>
    <row r="670" spans="2:4" ht="10.5" customHeight="1" x14ac:dyDescent="0.25">
      <c r="B670" s="2"/>
      <c r="D670" s="3"/>
    </row>
    <row r="671" spans="2:4" ht="10.5" customHeight="1" x14ac:dyDescent="0.25">
      <c r="B671" s="2"/>
      <c r="D671" s="3"/>
    </row>
    <row r="672" spans="2:4" ht="10.5" customHeight="1" x14ac:dyDescent="0.25">
      <c r="B672" s="2"/>
      <c r="D672" s="3"/>
    </row>
    <row r="673" spans="2:4" ht="10.5" customHeight="1" x14ac:dyDescent="0.25">
      <c r="B673" s="2"/>
      <c r="D673" s="3"/>
    </row>
    <row r="674" spans="2:4" ht="10.5" customHeight="1" x14ac:dyDescent="0.25">
      <c r="B674" s="2"/>
      <c r="D674" s="3"/>
    </row>
    <row r="675" spans="2:4" ht="10.5" customHeight="1" x14ac:dyDescent="0.25">
      <c r="B675" s="2"/>
      <c r="D675" s="3"/>
    </row>
    <row r="676" spans="2:4" ht="10.5" customHeight="1" x14ac:dyDescent="0.25">
      <c r="B676" s="2"/>
      <c r="D676" s="3"/>
    </row>
    <row r="677" spans="2:4" ht="10.5" customHeight="1" x14ac:dyDescent="0.25">
      <c r="B677" s="2"/>
      <c r="D677" s="3"/>
    </row>
    <row r="678" spans="2:4" ht="10.5" customHeight="1" x14ac:dyDescent="0.25">
      <c r="B678" s="2"/>
      <c r="D678" s="3"/>
    </row>
    <row r="679" spans="2:4" ht="10.5" customHeight="1" x14ac:dyDescent="0.25">
      <c r="B679" s="2"/>
      <c r="D679" s="3"/>
    </row>
    <row r="680" spans="2:4" ht="10.5" customHeight="1" x14ac:dyDescent="0.25">
      <c r="B680" s="2"/>
      <c r="D680" s="3"/>
    </row>
    <row r="681" spans="2:4" ht="10.5" customHeight="1" x14ac:dyDescent="0.25">
      <c r="B681" s="2"/>
      <c r="D681" s="3"/>
    </row>
    <row r="682" spans="2:4" ht="10.5" customHeight="1" x14ac:dyDescent="0.25">
      <c r="B682" s="2"/>
      <c r="D682" s="3"/>
    </row>
    <row r="683" spans="2:4" ht="10.5" customHeight="1" x14ac:dyDescent="0.25">
      <c r="B683" s="2"/>
      <c r="D683" s="3"/>
    </row>
    <row r="684" spans="2:4" ht="10.5" customHeight="1" x14ac:dyDescent="0.25">
      <c r="B684" s="2"/>
      <c r="D684" s="3"/>
    </row>
    <row r="685" spans="2:4" ht="10.5" customHeight="1" x14ac:dyDescent="0.25">
      <c r="B685" s="2"/>
      <c r="D685" s="3"/>
    </row>
    <row r="686" spans="2:4" ht="10.5" customHeight="1" x14ac:dyDescent="0.25">
      <c r="B686" s="2"/>
      <c r="D686" s="3"/>
    </row>
    <row r="687" spans="2:4" ht="10.5" customHeight="1" x14ac:dyDescent="0.25">
      <c r="B687" s="2"/>
      <c r="D687" s="3"/>
    </row>
    <row r="688" spans="2:4" ht="10.5" customHeight="1" x14ac:dyDescent="0.25">
      <c r="B688" s="2"/>
      <c r="D688" s="3"/>
    </row>
    <row r="689" spans="2:4" ht="10.5" customHeight="1" x14ac:dyDescent="0.25">
      <c r="B689" s="2"/>
      <c r="D689" s="3"/>
    </row>
    <row r="690" spans="2:4" ht="10.5" customHeight="1" x14ac:dyDescent="0.25">
      <c r="B690" s="2"/>
      <c r="D690" s="3"/>
    </row>
    <row r="691" spans="2:4" ht="10.5" customHeight="1" x14ac:dyDescent="0.25">
      <c r="B691" s="2"/>
      <c r="D691" s="3"/>
    </row>
    <row r="692" spans="2:4" ht="10.5" customHeight="1" x14ac:dyDescent="0.25">
      <c r="B692" s="2"/>
      <c r="D692" s="3"/>
    </row>
    <row r="693" spans="2:4" ht="10.5" customHeight="1" x14ac:dyDescent="0.25">
      <c r="B693" s="2"/>
      <c r="D693" s="3"/>
    </row>
    <row r="694" spans="2:4" ht="10.5" customHeight="1" x14ac:dyDescent="0.25">
      <c r="B694" s="2"/>
      <c r="D694" s="3"/>
    </row>
    <row r="695" spans="2:4" ht="10.5" customHeight="1" x14ac:dyDescent="0.25">
      <c r="B695" s="2"/>
      <c r="D695" s="3"/>
    </row>
    <row r="696" spans="2:4" ht="10.5" customHeight="1" x14ac:dyDescent="0.25">
      <c r="B696" s="2"/>
      <c r="D696" s="3"/>
    </row>
    <row r="697" spans="2:4" ht="10.5" customHeight="1" x14ac:dyDescent="0.25">
      <c r="B697" s="2"/>
      <c r="D697" s="3"/>
    </row>
    <row r="698" spans="2:4" ht="10.5" customHeight="1" x14ac:dyDescent="0.25">
      <c r="B698" s="2"/>
      <c r="D698" s="3"/>
    </row>
    <row r="699" spans="2:4" ht="10.5" customHeight="1" x14ac:dyDescent="0.25">
      <c r="B699" s="2"/>
      <c r="D699" s="3"/>
    </row>
    <row r="700" spans="2:4" ht="10.5" customHeight="1" x14ac:dyDescent="0.25">
      <c r="B700" s="2"/>
      <c r="D700" s="3"/>
    </row>
    <row r="701" spans="2:4" ht="10.5" customHeight="1" x14ac:dyDescent="0.25">
      <c r="B701" s="2"/>
      <c r="D701" s="3"/>
    </row>
    <row r="702" spans="2:4" ht="10.5" customHeight="1" x14ac:dyDescent="0.25">
      <c r="B702" s="2"/>
      <c r="D702" s="3"/>
    </row>
    <row r="703" spans="2:4" ht="10.5" customHeight="1" x14ac:dyDescent="0.25">
      <c r="B703" s="2"/>
      <c r="D703" s="3"/>
    </row>
    <row r="704" spans="2:4" ht="10.5" customHeight="1" x14ac:dyDescent="0.25">
      <c r="B704" s="2"/>
      <c r="D704" s="3"/>
    </row>
    <row r="705" spans="2:4" ht="10.5" customHeight="1" x14ac:dyDescent="0.25">
      <c r="B705" s="2"/>
      <c r="D705" s="3"/>
    </row>
    <row r="706" spans="2:4" ht="10.5" customHeight="1" x14ac:dyDescent="0.25">
      <c r="B706" s="2"/>
      <c r="D706" s="3"/>
    </row>
    <row r="707" spans="2:4" ht="10.5" customHeight="1" x14ac:dyDescent="0.25">
      <c r="B707" s="2"/>
      <c r="D707" s="3"/>
    </row>
    <row r="708" spans="2:4" ht="10.5" customHeight="1" x14ac:dyDescent="0.25">
      <c r="B708" s="2"/>
      <c r="D708" s="3"/>
    </row>
    <row r="709" spans="2:4" ht="10.5" customHeight="1" x14ac:dyDescent="0.25">
      <c r="B709" s="2"/>
      <c r="D709" s="3"/>
    </row>
    <row r="710" spans="2:4" ht="10.5" customHeight="1" x14ac:dyDescent="0.25">
      <c r="B710" s="2"/>
      <c r="D710" s="3"/>
    </row>
    <row r="711" spans="2:4" ht="10.5" customHeight="1" x14ac:dyDescent="0.25">
      <c r="B711" s="2"/>
      <c r="D711" s="3"/>
    </row>
    <row r="712" spans="2:4" ht="10.5" customHeight="1" x14ac:dyDescent="0.25">
      <c r="B712" s="2"/>
      <c r="D712" s="3"/>
    </row>
    <row r="713" spans="2:4" ht="10.5" customHeight="1" x14ac:dyDescent="0.25">
      <c r="B713" s="2"/>
      <c r="D713" s="3"/>
    </row>
    <row r="714" spans="2:4" ht="10.5" customHeight="1" x14ac:dyDescent="0.25">
      <c r="B714" s="2"/>
      <c r="D714" s="3"/>
    </row>
    <row r="715" spans="2:4" ht="10.5" customHeight="1" x14ac:dyDescent="0.25">
      <c r="B715" s="2"/>
      <c r="D715" s="3"/>
    </row>
    <row r="716" spans="2:4" ht="10.5" customHeight="1" x14ac:dyDescent="0.25">
      <c r="B716" s="2"/>
      <c r="D716" s="3"/>
    </row>
    <row r="717" spans="2:4" ht="10.5" customHeight="1" x14ac:dyDescent="0.25">
      <c r="B717" s="2"/>
      <c r="D717" s="3"/>
    </row>
    <row r="718" spans="2:4" ht="10.5" customHeight="1" x14ac:dyDescent="0.25">
      <c r="B718" s="2"/>
      <c r="D718" s="3"/>
    </row>
    <row r="719" spans="2:4" ht="10.5" customHeight="1" x14ac:dyDescent="0.25">
      <c r="B719" s="2"/>
      <c r="D719" s="3"/>
    </row>
    <row r="720" spans="2:4" ht="10.5" customHeight="1" x14ac:dyDescent="0.25">
      <c r="B720" s="2"/>
      <c r="D720" s="3"/>
    </row>
    <row r="721" spans="2:4" ht="10.5" customHeight="1" x14ac:dyDescent="0.25">
      <c r="B721" s="2"/>
      <c r="D721" s="3"/>
    </row>
    <row r="722" spans="2:4" ht="10.5" customHeight="1" x14ac:dyDescent="0.25">
      <c r="B722" s="2"/>
      <c r="D722" s="3"/>
    </row>
    <row r="723" spans="2:4" ht="10.5" customHeight="1" x14ac:dyDescent="0.25">
      <c r="B723" s="2"/>
      <c r="D723" s="3"/>
    </row>
    <row r="724" spans="2:4" ht="10.5" customHeight="1" x14ac:dyDescent="0.25">
      <c r="B724" s="2"/>
      <c r="D724" s="3"/>
    </row>
    <row r="725" spans="2:4" ht="10.5" customHeight="1" x14ac:dyDescent="0.25">
      <c r="B725" s="2"/>
      <c r="D725" s="3"/>
    </row>
    <row r="726" spans="2:4" ht="10.5" customHeight="1" x14ac:dyDescent="0.25">
      <c r="B726" s="2"/>
      <c r="D726" s="3"/>
    </row>
    <row r="727" spans="2:4" ht="10.5" customHeight="1" x14ac:dyDescent="0.25">
      <c r="B727" s="2"/>
      <c r="D727" s="3"/>
    </row>
    <row r="728" spans="2:4" ht="10.5" customHeight="1" x14ac:dyDescent="0.25">
      <c r="B728" s="2"/>
      <c r="D728" s="3"/>
    </row>
    <row r="729" spans="2:4" ht="10.5" customHeight="1" x14ac:dyDescent="0.25">
      <c r="B729" s="2"/>
      <c r="D729" s="3"/>
    </row>
    <row r="730" spans="2:4" ht="10.5" customHeight="1" x14ac:dyDescent="0.25">
      <c r="B730" s="2"/>
      <c r="D730" s="3"/>
    </row>
    <row r="731" spans="2:4" ht="10.5" customHeight="1" x14ac:dyDescent="0.25">
      <c r="B731" s="2"/>
      <c r="D731" s="3"/>
    </row>
    <row r="732" spans="2:4" ht="10.5" customHeight="1" x14ac:dyDescent="0.25">
      <c r="B732" s="2"/>
      <c r="D732" s="3"/>
    </row>
    <row r="733" spans="2:4" ht="10.5" customHeight="1" x14ac:dyDescent="0.25">
      <c r="B733" s="2"/>
      <c r="D733" s="3"/>
    </row>
    <row r="734" spans="2:4" ht="10.5" customHeight="1" x14ac:dyDescent="0.25">
      <c r="B734" s="2"/>
      <c r="D734" s="3"/>
    </row>
    <row r="735" spans="2:4" ht="10.5" customHeight="1" x14ac:dyDescent="0.25">
      <c r="B735" s="2"/>
      <c r="D735" s="3"/>
    </row>
    <row r="736" spans="2:4" ht="10.5" customHeight="1" x14ac:dyDescent="0.25">
      <c r="B736" s="2"/>
      <c r="D736" s="3"/>
    </row>
    <row r="737" spans="2:4" ht="10.5" customHeight="1" x14ac:dyDescent="0.25">
      <c r="B737" s="2"/>
      <c r="D737" s="3"/>
    </row>
    <row r="738" spans="2:4" ht="10.5" customHeight="1" x14ac:dyDescent="0.25">
      <c r="B738" s="2"/>
      <c r="D738" s="3"/>
    </row>
    <row r="739" spans="2:4" ht="10.5" customHeight="1" x14ac:dyDescent="0.25">
      <c r="B739" s="2"/>
      <c r="D739" s="3"/>
    </row>
    <row r="740" spans="2:4" ht="10.5" customHeight="1" x14ac:dyDescent="0.25">
      <c r="B740" s="2"/>
      <c r="D740" s="3"/>
    </row>
    <row r="741" spans="2:4" ht="10.5" customHeight="1" x14ac:dyDescent="0.25">
      <c r="B741" s="2"/>
      <c r="D741" s="3"/>
    </row>
    <row r="742" spans="2:4" ht="10.5" customHeight="1" x14ac:dyDescent="0.25">
      <c r="B742" s="2"/>
      <c r="D742" s="3"/>
    </row>
    <row r="743" spans="2:4" ht="10.5" customHeight="1" x14ac:dyDescent="0.25">
      <c r="B743" s="2"/>
      <c r="D743" s="3"/>
    </row>
    <row r="744" spans="2:4" ht="10.5" customHeight="1" x14ac:dyDescent="0.25">
      <c r="B744" s="2"/>
      <c r="D744" s="3"/>
    </row>
    <row r="745" spans="2:4" ht="10.5" customHeight="1" x14ac:dyDescent="0.25">
      <c r="B745" s="2"/>
      <c r="D745" s="3"/>
    </row>
    <row r="746" spans="2:4" ht="10.5" customHeight="1" x14ac:dyDescent="0.25">
      <c r="B746" s="2"/>
      <c r="D746" s="3"/>
    </row>
    <row r="747" spans="2:4" ht="10.5" customHeight="1" x14ac:dyDescent="0.25">
      <c r="B747" s="2"/>
      <c r="D747" s="3"/>
    </row>
    <row r="748" spans="2:4" ht="10.5" customHeight="1" x14ac:dyDescent="0.25">
      <c r="B748" s="2"/>
      <c r="D748" s="3"/>
    </row>
    <row r="749" spans="2:4" ht="10.5" customHeight="1" x14ac:dyDescent="0.25">
      <c r="B749" s="2"/>
      <c r="D749" s="3"/>
    </row>
    <row r="750" spans="2:4" ht="10.5" customHeight="1" x14ac:dyDescent="0.25">
      <c r="B750" s="2"/>
      <c r="D750" s="3"/>
    </row>
    <row r="751" spans="2:4" ht="10.5" customHeight="1" x14ac:dyDescent="0.25">
      <c r="B751" s="2"/>
      <c r="D751" s="3"/>
    </row>
    <row r="752" spans="2:4" ht="10.5" customHeight="1" x14ac:dyDescent="0.25">
      <c r="B752" s="2"/>
      <c r="D752" s="3"/>
    </row>
    <row r="753" spans="2:4" ht="10.5" customHeight="1" x14ac:dyDescent="0.25">
      <c r="B753" s="2"/>
      <c r="D753" s="3"/>
    </row>
    <row r="754" spans="2:4" ht="10.5" customHeight="1" x14ac:dyDescent="0.25">
      <c r="B754" s="2"/>
      <c r="D754" s="3"/>
    </row>
    <row r="755" spans="2:4" ht="10.5" customHeight="1" x14ac:dyDescent="0.25">
      <c r="B755" s="2"/>
      <c r="D755" s="3"/>
    </row>
    <row r="756" spans="2:4" ht="10.5" customHeight="1" x14ac:dyDescent="0.25">
      <c r="B756" s="2"/>
      <c r="D756" s="3"/>
    </row>
    <row r="757" spans="2:4" ht="10.5" customHeight="1" x14ac:dyDescent="0.25">
      <c r="B757" s="2"/>
      <c r="D757" s="3"/>
    </row>
    <row r="758" spans="2:4" ht="10.5" customHeight="1" x14ac:dyDescent="0.25">
      <c r="B758" s="2"/>
      <c r="D758" s="3"/>
    </row>
    <row r="759" spans="2:4" ht="10.5" customHeight="1" x14ac:dyDescent="0.25">
      <c r="B759" s="2"/>
      <c r="D759" s="3"/>
    </row>
    <row r="760" spans="2:4" ht="10.5" customHeight="1" x14ac:dyDescent="0.25">
      <c r="B760" s="2"/>
      <c r="D760" s="3"/>
    </row>
    <row r="761" spans="2:4" ht="10.5" customHeight="1" x14ac:dyDescent="0.25">
      <c r="B761" s="2"/>
      <c r="D761" s="3"/>
    </row>
    <row r="762" spans="2:4" ht="10.5" customHeight="1" x14ac:dyDescent="0.25">
      <c r="B762" s="2"/>
      <c r="D762" s="3"/>
    </row>
    <row r="763" spans="2:4" ht="10.5" customHeight="1" x14ac:dyDescent="0.25">
      <c r="B763" s="2"/>
      <c r="D763" s="3"/>
    </row>
    <row r="764" spans="2:4" ht="10.5" customHeight="1" x14ac:dyDescent="0.25">
      <c r="B764" s="2"/>
      <c r="D764" s="3"/>
    </row>
    <row r="765" spans="2:4" ht="10.5" customHeight="1" x14ac:dyDescent="0.25">
      <c r="B765" s="2"/>
      <c r="D765" s="3"/>
    </row>
    <row r="766" spans="2:4" ht="10.5" customHeight="1" x14ac:dyDescent="0.25">
      <c r="B766" s="2"/>
      <c r="D766" s="3"/>
    </row>
    <row r="767" spans="2:4" ht="10.5" customHeight="1" x14ac:dyDescent="0.25">
      <c r="B767" s="2"/>
      <c r="D767" s="3"/>
    </row>
    <row r="768" spans="2:4" ht="10.5" customHeight="1" x14ac:dyDescent="0.25">
      <c r="B768" s="2"/>
      <c r="D768" s="3"/>
    </row>
    <row r="769" spans="2:4" ht="10.5" customHeight="1" x14ac:dyDescent="0.25">
      <c r="B769" s="2"/>
      <c r="D769" s="3"/>
    </row>
    <row r="770" spans="2:4" ht="10.5" customHeight="1" x14ac:dyDescent="0.25">
      <c r="B770" s="2"/>
      <c r="D770" s="3"/>
    </row>
    <row r="771" spans="2:4" ht="10.5" customHeight="1" x14ac:dyDescent="0.25">
      <c r="B771" s="2"/>
      <c r="D771" s="3"/>
    </row>
    <row r="772" spans="2:4" ht="10.5" customHeight="1" x14ac:dyDescent="0.25">
      <c r="B772" s="2"/>
      <c r="D772" s="3"/>
    </row>
    <row r="773" spans="2:4" ht="10.5" customHeight="1" x14ac:dyDescent="0.25">
      <c r="B773" s="2"/>
      <c r="D773" s="3"/>
    </row>
    <row r="774" spans="2:4" ht="10.5" customHeight="1" x14ac:dyDescent="0.25">
      <c r="B774" s="2"/>
      <c r="D774" s="3"/>
    </row>
    <row r="775" spans="2:4" ht="10.5" customHeight="1" x14ac:dyDescent="0.25">
      <c r="B775" s="2"/>
      <c r="D775" s="3"/>
    </row>
    <row r="776" spans="2:4" ht="10.5" customHeight="1" x14ac:dyDescent="0.25">
      <c r="B776" s="2"/>
      <c r="D776" s="3"/>
    </row>
    <row r="777" spans="2:4" ht="10.5" customHeight="1" x14ac:dyDescent="0.25">
      <c r="B777" s="2"/>
      <c r="D777" s="3"/>
    </row>
    <row r="778" spans="2:4" ht="10.5" customHeight="1" x14ac:dyDescent="0.25">
      <c r="B778" s="2"/>
      <c r="D778" s="3"/>
    </row>
    <row r="779" spans="2:4" ht="10.5" customHeight="1" x14ac:dyDescent="0.25">
      <c r="B779" s="2"/>
      <c r="D779" s="3"/>
    </row>
    <row r="780" spans="2:4" ht="10.5" customHeight="1" x14ac:dyDescent="0.25">
      <c r="B780" s="2"/>
      <c r="D780" s="3"/>
    </row>
    <row r="781" spans="2:4" ht="10.5" customHeight="1" x14ac:dyDescent="0.25">
      <c r="B781" s="2"/>
      <c r="D781" s="3"/>
    </row>
    <row r="782" spans="2:4" ht="10.5" customHeight="1" x14ac:dyDescent="0.25">
      <c r="B782" s="2"/>
      <c r="D782" s="3"/>
    </row>
    <row r="783" spans="2:4" ht="10.5" customHeight="1" x14ac:dyDescent="0.25">
      <c r="B783" s="2"/>
      <c r="D783" s="3"/>
    </row>
    <row r="784" spans="2:4" ht="10.5" customHeight="1" x14ac:dyDescent="0.25">
      <c r="B784" s="2"/>
      <c r="D784" s="3"/>
    </row>
    <row r="785" spans="2:4" ht="10.5" customHeight="1" x14ac:dyDescent="0.25">
      <c r="B785" s="2"/>
      <c r="D785" s="3"/>
    </row>
    <row r="786" spans="2:4" ht="10.5" customHeight="1" x14ac:dyDescent="0.25">
      <c r="B786" s="2"/>
      <c r="D786" s="3"/>
    </row>
    <row r="787" spans="2:4" ht="10.5" customHeight="1" x14ac:dyDescent="0.25">
      <c r="B787" s="2"/>
      <c r="D787" s="3"/>
    </row>
    <row r="788" spans="2:4" ht="10.5" customHeight="1" x14ac:dyDescent="0.25">
      <c r="B788" s="2"/>
      <c r="D788" s="3"/>
    </row>
    <row r="789" spans="2:4" ht="10.5" customHeight="1" x14ac:dyDescent="0.25">
      <c r="B789" s="2"/>
      <c r="D789" s="3"/>
    </row>
    <row r="790" spans="2:4" ht="10.5" customHeight="1" x14ac:dyDescent="0.25">
      <c r="B790" s="2"/>
      <c r="D790" s="3"/>
    </row>
    <row r="791" spans="2:4" ht="10.5" customHeight="1" x14ac:dyDescent="0.25">
      <c r="B791" s="2"/>
      <c r="D791" s="3"/>
    </row>
    <row r="792" spans="2:4" ht="10.5" customHeight="1" x14ac:dyDescent="0.25">
      <c r="B792" s="2"/>
      <c r="D792" s="3"/>
    </row>
    <row r="793" spans="2:4" ht="10.5" customHeight="1" x14ac:dyDescent="0.25">
      <c r="B793" s="2"/>
      <c r="D793" s="3"/>
    </row>
    <row r="794" spans="2:4" ht="10.5" customHeight="1" x14ac:dyDescent="0.25">
      <c r="B794" s="2"/>
      <c r="D794" s="3"/>
    </row>
    <row r="795" spans="2:4" ht="10.5" customHeight="1" x14ac:dyDescent="0.25">
      <c r="B795" s="2"/>
      <c r="D795" s="3"/>
    </row>
    <row r="796" spans="2:4" ht="10.5" customHeight="1" x14ac:dyDescent="0.25">
      <c r="B796" s="2"/>
      <c r="D796" s="3"/>
    </row>
    <row r="797" spans="2:4" ht="10.5" customHeight="1" x14ac:dyDescent="0.25">
      <c r="B797" s="2"/>
      <c r="D797" s="3"/>
    </row>
    <row r="798" spans="2:4" ht="10.5" customHeight="1" x14ac:dyDescent="0.25">
      <c r="B798" s="2"/>
      <c r="D798" s="3"/>
    </row>
    <row r="799" spans="2:4" ht="10.5" customHeight="1" x14ac:dyDescent="0.25">
      <c r="B799" s="2"/>
      <c r="D799" s="3"/>
    </row>
    <row r="800" spans="2:4" ht="10.5" customHeight="1" x14ac:dyDescent="0.25">
      <c r="B800" s="2"/>
      <c r="D800" s="3"/>
    </row>
    <row r="801" spans="2:4" ht="10.5" customHeight="1" x14ac:dyDescent="0.25">
      <c r="B801" s="2"/>
      <c r="D801" s="3"/>
    </row>
    <row r="802" spans="2:4" ht="10.5" customHeight="1" x14ac:dyDescent="0.25">
      <c r="B802" s="2"/>
      <c r="D802" s="3"/>
    </row>
    <row r="803" spans="2:4" ht="10.5" customHeight="1" x14ac:dyDescent="0.25">
      <c r="B803" s="2"/>
      <c r="D803" s="3"/>
    </row>
    <row r="804" spans="2:4" ht="10.5" customHeight="1" x14ac:dyDescent="0.25">
      <c r="B804" s="2"/>
      <c r="D804" s="3"/>
    </row>
    <row r="805" spans="2:4" ht="10.5" customHeight="1" x14ac:dyDescent="0.25">
      <c r="B805" s="2"/>
      <c r="D805" s="3"/>
    </row>
    <row r="806" spans="2:4" ht="10.5" customHeight="1" x14ac:dyDescent="0.25">
      <c r="B806" s="2"/>
      <c r="D806" s="3"/>
    </row>
    <row r="807" spans="2:4" ht="10.5" customHeight="1" x14ac:dyDescent="0.25">
      <c r="B807" s="2"/>
      <c r="D807" s="3"/>
    </row>
    <row r="808" spans="2:4" ht="10.5" customHeight="1" x14ac:dyDescent="0.25">
      <c r="B808" s="2"/>
      <c r="D808" s="3"/>
    </row>
    <row r="809" spans="2:4" ht="10.5" customHeight="1" x14ac:dyDescent="0.25">
      <c r="B809" s="2"/>
      <c r="D809" s="3"/>
    </row>
    <row r="810" spans="2:4" ht="10.5" customHeight="1" x14ac:dyDescent="0.25">
      <c r="B810" s="2"/>
      <c r="D810" s="3"/>
    </row>
    <row r="811" spans="2:4" ht="10.5" customHeight="1" x14ac:dyDescent="0.25">
      <c r="B811" s="2"/>
      <c r="D811" s="3"/>
    </row>
    <row r="812" spans="2:4" ht="10.5" customHeight="1" x14ac:dyDescent="0.25">
      <c r="B812" s="2"/>
      <c r="D812" s="3"/>
    </row>
    <row r="813" spans="2:4" ht="10.5" customHeight="1" x14ac:dyDescent="0.25">
      <c r="B813" s="2"/>
      <c r="D813" s="3"/>
    </row>
    <row r="814" spans="2:4" ht="10.5" customHeight="1" x14ac:dyDescent="0.25">
      <c r="B814" s="2"/>
      <c r="D814" s="3"/>
    </row>
    <row r="815" spans="2:4" ht="10.5" customHeight="1" x14ac:dyDescent="0.25">
      <c r="B815" s="2"/>
      <c r="D815" s="3"/>
    </row>
    <row r="816" spans="2:4" ht="10.5" customHeight="1" x14ac:dyDescent="0.25">
      <c r="B816" s="2"/>
      <c r="D816" s="3"/>
    </row>
    <row r="817" spans="2:4" ht="10.5" customHeight="1" x14ac:dyDescent="0.25">
      <c r="B817" s="2"/>
      <c r="D817" s="3"/>
    </row>
    <row r="818" spans="2:4" ht="10.5" customHeight="1" x14ac:dyDescent="0.25">
      <c r="B818" s="2"/>
      <c r="D818" s="3"/>
    </row>
    <row r="819" spans="2:4" ht="10.5" customHeight="1" x14ac:dyDescent="0.25">
      <c r="B819" s="2"/>
      <c r="D819" s="3"/>
    </row>
    <row r="820" spans="2:4" ht="10.5" customHeight="1" x14ac:dyDescent="0.25">
      <c r="B820" s="2"/>
      <c r="D820" s="3"/>
    </row>
    <row r="821" spans="2:4" ht="10.5" customHeight="1" x14ac:dyDescent="0.25">
      <c r="B821" s="2"/>
      <c r="D821" s="3"/>
    </row>
    <row r="822" spans="2:4" ht="10.5" customHeight="1" x14ac:dyDescent="0.25">
      <c r="B822" s="2"/>
      <c r="D822" s="3"/>
    </row>
    <row r="823" spans="2:4" ht="10.5" customHeight="1" x14ac:dyDescent="0.25">
      <c r="B823" s="2"/>
      <c r="D823" s="3"/>
    </row>
    <row r="824" spans="2:4" ht="10.5" customHeight="1" x14ac:dyDescent="0.25">
      <c r="B824" s="2"/>
      <c r="D824" s="3"/>
    </row>
    <row r="825" spans="2:4" ht="10.5" customHeight="1" x14ac:dyDescent="0.25">
      <c r="B825" s="2"/>
      <c r="D825" s="3"/>
    </row>
    <row r="826" spans="2:4" ht="10.5" customHeight="1" x14ac:dyDescent="0.25">
      <c r="B826" s="2"/>
      <c r="D826" s="3"/>
    </row>
    <row r="827" spans="2:4" ht="10.5" customHeight="1" x14ac:dyDescent="0.25">
      <c r="B827" s="2"/>
      <c r="D827" s="3"/>
    </row>
    <row r="828" spans="2:4" ht="10.5" customHeight="1" x14ac:dyDescent="0.25">
      <c r="B828" s="2"/>
      <c r="D828" s="3"/>
    </row>
    <row r="829" spans="2:4" ht="10.5" customHeight="1" x14ac:dyDescent="0.25">
      <c r="B829" s="2"/>
      <c r="D829" s="3"/>
    </row>
    <row r="830" spans="2:4" ht="10.5" customHeight="1" x14ac:dyDescent="0.25">
      <c r="B830" s="2"/>
      <c r="D830" s="3"/>
    </row>
    <row r="831" spans="2:4" ht="10.5" customHeight="1" x14ac:dyDescent="0.25">
      <c r="B831" s="2"/>
      <c r="D831" s="3"/>
    </row>
    <row r="832" spans="2:4" ht="10.5" customHeight="1" x14ac:dyDescent="0.25">
      <c r="B832" s="2"/>
      <c r="D832" s="3"/>
    </row>
    <row r="833" spans="2:4" ht="10.5" customHeight="1" x14ac:dyDescent="0.25">
      <c r="B833" s="2"/>
      <c r="D833" s="3"/>
    </row>
    <row r="834" spans="2:4" ht="10.5" customHeight="1" x14ac:dyDescent="0.25">
      <c r="B834" s="2"/>
      <c r="D834" s="3"/>
    </row>
    <row r="835" spans="2:4" ht="10.5" customHeight="1" x14ac:dyDescent="0.25">
      <c r="B835" s="2"/>
      <c r="D835" s="3"/>
    </row>
    <row r="836" spans="2:4" ht="10.5" customHeight="1" x14ac:dyDescent="0.25">
      <c r="B836" s="2"/>
      <c r="D836" s="3"/>
    </row>
    <row r="837" spans="2:4" ht="10.5" customHeight="1" x14ac:dyDescent="0.25">
      <c r="B837" s="2"/>
      <c r="D837" s="3"/>
    </row>
    <row r="838" spans="2:4" ht="10.5" customHeight="1" x14ac:dyDescent="0.25">
      <c r="B838" s="2"/>
      <c r="D838" s="3"/>
    </row>
    <row r="839" spans="2:4" ht="10.5" customHeight="1" x14ac:dyDescent="0.25">
      <c r="B839" s="2"/>
      <c r="D839" s="3"/>
    </row>
    <row r="840" spans="2:4" ht="10.5" customHeight="1" x14ac:dyDescent="0.25">
      <c r="B840" s="2"/>
      <c r="D840" s="3"/>
    </row>
    <row r="841" spans="2:4" ht="10.5" customHeight="1" x14ac:dyDescent="0.25">
      <c r="B841" s="2"/>
      <c r="D841" s="3"/>
    </row>
    <row r="842" spans="2:4" ht="10.5" customHeight="1" x14ac:dyDescent="0.25">
      <c r="B842" s="2"/>
      <c r="D842" s="3"/>
    </row>
    <row r="843" spans="2:4" ht="10.5" customHeight="1" x14ac:dyDescent="0.25">
      <c r="B843" s="2"/>
      <c r="D843" s="3"/>
    </row>
    <row r="844" spans="2:4" ht="10.5" customHeight="1" x14ac:dyDescent="0.25">
      <c r="B844" s="2"/>
      <c r="D844" s="3"/>
    </row>
    <row r="845" spans="2:4" ht="10.5" customHeight="1" x14ac:dyDescent="0.25">
      <c r="B845" s="2"/>
      <c r="D845" s="3"/>
    </row>
    <row r="846" spans="2:4" ht="10.5" customHeight="1" x14ac:dyDescent="0.25">
      <c r="B846" s="2"/>
      <c r="D846" s="3"/>
    </row>
    <row r="847" spans="2:4" ht="10.5" customHeight="1" x14ac:dyDescent="0.25">
      <c r="B847" s="2"/>
      <c r="D847" s="3"/>
    </row>
    <row r="848" spans="2:4" ht="10.5" customHeight="1" x14ac:dyDescent="0.25">
      <c r="B848" s="2"/>
      <c r="D848" s="3"/>
    </row>
    <row r="849" spans="2:4" ht="10.5" customHeight="1" x14ac:dyDescent="0.25">
      <c r="B849" s="2"/>
      <c r="D849" s="3"/>
    </row>
    <row r="850" spans="2:4" ht="10.5" customHeight="1" x14ac:dyDescent="0.25">
      <c r="B850" s="2"/>
      <c r="D850" s="3"/>
    </row>
    <row r="851" spans="2:4" ht="10.5" customHeight="1" x14ac:dyDescent="0.25">
      <c r="B851" s="2"/>
      <c r="D851" s="3"/>
    </row>
    <row r="852" spans="2:4" ht="10.5" customHeight="1" x14ac:dyDescent="0.25">
      <c r="B852" s="2"/>
      <c r="D852" s="3"/>
    </row>
    <row r="853" spans="2:4" ht="10.5" customHeight="1" x14ac:dyDescent="0.25">
      <c r="B853" s="2"/>
      <c r="D853" s="3"/>
    </row>
    <row r="854" spans="2:4" ht="10.5" customHeight="1" x14ac:dyDescent="0.25">
      <c r="B854" s="2"/>
      <c r="D854" s="3"/>
    </row>
    <row r="855" spans="2:4" ht="10.5" customHeight="1" x14ac:dyDescent="0.25">
      <c r="B855" s="2"/>
      <c r="D855" s="3"/>
    </row>
    <row r="856" spans="2:4" ht="10.5" customHeight="1" x14ac:dyDescent="0.25">
      <c r="B856" s="2"/>
      <c r="D856" s="3"/>
    </row>
    <row r="857" spans="2:4" ht="10.5" customHeight="1" x14ac:dyDescent="0.25">
      <c r="B857" s="2"/>
      <c r="D857" s="3"/>
    </row>
    <row r="858" spans="2:4" ht="10.5" customHeight="1" x14ac:dyDescent="0.25">
      <c r="B858" s="2"/>
      <c r="D858" s="3"/>
    </row>
    <row r="859" spans="2:4" ht="10.5" customHeight="1" x14ac:dyDescent="0.25">
      <c r="B859" s="2"/>
      <c r="D859" s="3"/>
    </row>
    <row r="860" spans="2:4" ht="10.5" customHeight="1" x14ac:dyDescent="0.25">
      <c r="B860" s="2"/>
      <c r="D860" s="3"/>
    </row>
    <row r="861" spans="2:4" ht="10.5" customHeight="1" x14ac:dyDescent="0.25">
      <c r="B861" s="2"/>
      <c r="D861" s="3"/>
    </row>
    <row r="862" spans="2:4" ht="10.5" customHeight="1" x14ac:dyDescent="0.25">
      <c r="B862" s="2"/>
      <c r="D862" s="3"/>
    </row>
    <row r="863" spans="2:4" ht="10.5" customHeight="1" x14ac:dyDescent="0.25">
      <c r="B863" s="2"/>
      <c r="D863" s="3"/>
    </row>
    <row r="864" spans="2:4" ht="10.5" customHeight="1" x14ac:dyDescent="0.25">
      <c r="B864" s="2"/>
      <c r="D864" s="3"/>
    </row>
    <row r="865" spans="2:4" ht="10.5" customHeight="1" x14ac:dyDescent="0.25">
      <c r="B865" s="2"/>
      <c r="D865" s="3"/>
    </row>
    <row r="866" spans="2:4" ht="10.5" customHeight="1" x14ac:dyDescent="0.25">
      <c r="B866" s="2"/>
      <c r="D866" s="3"/>
    </row>
    <row r="867" spans="2:4" ht="10.5" customHeight="1" x14ac:dyDescent="0.25">
      <c r="B867" s="2"/>
      <c r="D867" s="3"/>
    </row>
    <row r="868" spans="2:4" ht="10.5" customHeight="1" x14ac:dyDescent="0.25">
      <c r="B868" s="2"/>
      <c r="D868" s="3"/>
    </row>
    <row r="869" spans="2:4" ht="10.5" customHeight="1" x14ac:dyDescent="0.25">
      <c r="B869" s="2"/>
      <c r="D869" s="3"/>
    </row>
    <row r="870" spans="2:4" ht="10.5" customHeight="1" x14ac:dyDescent="0.25">
      <c r="B870" s="2"/>
      <c r="D870" s="3"/>
    </row>
    <row r="871" spans="2:4" ht="10.5" customHeight="1" x14ac:dyDescent="0.25">
      <c r="B871" s="2"/>
      <c r="D871" s="3"/>
    </row>
    <row r="872" spans="2:4" ht="10.5" customHeight="1" x14ac:dyDescent="0.25">
      <c r="B872" s="2"/>
      <c r="D872" s="3"/>
    </row>
    <row r="873" spans="2:4" ht="10.5" customHeight="1" x14ac:dyDescent="0.25">
      <c r="B873" s="2"/>
      <c r="D873" s="3"/>
    </row>
    <row r="874" spans="2:4" ht="10.5" customHeight="1" x14ac:dyDescent="0.25">
      <c r="B874" s="2"/>
      <c r="D874" s="3"/>
    </row>
    <row r="875" spans="2:4" ht="10.5" customHeight="1" x14ac:dyDescent="0.25">
      <c r="B875" s="2"/>
      <c r="D875" s="3"/>
    </row>
    <row r="876" spans="2:4" ht="10.5" customHeight="1" x14ac:dyDescent="0.25">
      <c r="B876" s="2"/>
      <c r="D876" s="3"/>
    </row>
    <row r="877" spans="2:4" ht="10.5" customHeight="1" x14ac:dyDescent="0.25">
      <c r="B877" s="2"/>
      <c r="D877" s="3"/>
    </row>
    <row r="878" spans="2:4" ht="10.5" customHeight="1" x14ac:dyDescent="0.25">
      <c r="B878" s="2"/>
      <c r="D878" s="3"/>
    </row>
    <row r="879" spans="2:4" ht="10.5" customHeight="1" x14ac:dyDescent="0.25">
      <c r="B879" s="2"/>
      <c r="D879" s="3"/>
    </row>
    <row r="880" spans="2:4" ht="10.5" customHeight="1" x14ac:dyDescent="0.25">
      <c r="B880" s="2"/>
      <c r="D880" s="3"/>
    </row>
    <row r="881" spans="2:4" ht="10.5" customHeight="1" x14ac:dyDescent="0.25">
      <c r="B881" s="2"/>
      <c r="D881" s="3"/>
    </row>
    <row r="882" spans="2:4" ht="10.5" customHeight="1" x14ac:dyDescent="0.25">
      <c r="B882" s="2"/>
      <c r="D882" s="3"/>
    </row>
    <row r="883" spans="2:4" ht="10.5" customHeight="1" x14ac:dyDescent="0.25">
      <c r="B883" s="2"/>
      <c r="D883" s="3"/>
    </row>
    <row r="884" spans="2:4" ht="10.5" customHeight="1" x14ac:dyDescent="0.25">
      <c r="B884" s="2"/>
      <c r="D884" s="3"/>
    </row>
    <row r="885" spans="2:4" ht="10.5" customHeight="1" x14ac:dyDescent="0.25">
      <c r="B885" s="2"/>
      <c r="D885" s="3"/>
    </row>
    <row r="886" spans="2:4" ht="10.5" customHeight="1" x14ac:dyDescent="0.25">
      <c r="B886" s="2"/>
      <c r="D886" s="3"/>
    </row>
    <row r="887" spans="2:4" ht="10.5" customHeight="1" x14ac:dyDescent="0.25">
      <c r="B887" s="2"/>
      <c r="D887" s="3"/>
    </row>
    <row r="888" spans="2:4" ht="10.5" customHeight="1" x14ac:dyDescent="0.25">
      <c r="B888" s="2"/>
      <c r="D888" s="3"/>
    </row>
    <row r="889" spans="2:4" ht="10.5" customHeight="1" x14ac:dyDescent="0.25">
      <c r="B889" s="2"/>
      <c r="D889" s="3"/>
    </row>
    <row r="890" spans="2:4" ht="10.5" customHeight="1" x14ac:dyDescent="0.25">
      <c r="B890" s="2"/>
      <c r="D890" s="3"/>
    </row>
    <row r="891" spans="2:4" ht="10.5" customHeight="1" x14ac:dyDescent="0.25">
      <c r="B891" s="2"/>
      <c r="D891" s="3"/>
    </row>
    <row r="892" spans="2:4" ht="10.5" customHeight="1" x14ac:dyDescent="0.25">
      <c r="B892" s="2"/>
      <c r="D892" s="3"/>
    </row>
    <row r="893" spans="2:4" ht="10.5" customHeight="1" x14ac:dyDescent="0.25">
      <c r="B893" s="2"/>
      <c r="D893" s="3"/>
    </row>
    <row r="894" spans="2:4" ht="10.5" customHeight="1" x14ac:dyDescent="0.25">
      <c r="B894" s="2"/>
      <c r="D894" s="3"/>
    </row>
    <row r="895" spans="2:4" ht="10.5" customHeight="1" x14ac:dyDescent="0.25">
      <c r="B895" s="2"/>
      <c r="D895" s="3"/>
    </row>
    <row r="896" spans="2:4" ht="10.5" customHeight="1" x14ac:dyDescent="0.25">
      <c r="B896" s="2"/>
      <c r="D896" s="3"/>
    </row>
    <row r="897" spans="2:4" ht="10.5" customHeight="1" x14ac:dyDescent="0.25">
      <c r="B897" s="2"/>
      <c r="D897" s="3"/>
    </row>
    <row r="898" spans="2:4" ht="10.5" customHeight="1" x14ac:dyDescent="0.25">
      <c r="B898" s="2"/>
      <c r="D898" s="3"/>
    </row>
    <row r="899" spans="2:4" ht="10.5" customHeight="1" x14ac:dyDescent="0.25">
      <c r="B899" s="2"/>
      <c r="D899" s="3"/>
    </row>
    <row r="900" spans="2:4" ht="10.5" customHeight="1" x14ac:dyDescent="0.25">
      <c r="B900" s="2"/>
      <c r="D900" s="3"/>
    </row>
    <row r="901" spans="2:4" ht="10.5" customHeight="1" x14ac:dyDescent="0.25">
      <c r="B901" s="2"/>
      <c r="D901" s="3"/>
    </row>
    <row r="902" spans="2:4" ht="10.5" customHeight="1" x14ac:dyDescent="0.25">
      <c r="B902" s="2"/>
      <c r="D902" s="3"/>
    </row>
    <row r="903" spans="2:4" ht="10.5" customHeight="1" x14ac:dyDescent="0.25">
      <c r="B903" s="2"/>
      <c r="D903" s="3"/>
    </row>
    <row r="904" spans="2:4" ht="10.5" customHeight="1" x14ac:dyDescent="0.25">
      <c r="B904" s="2"/>
      <c r="D904" s="3"/>
    </row>
    <row r="905" spans="2:4" ht="10.5" customHeight="1" x14ac:dyDescent="0.25">
      <c r="B905" s="2"/>
      <c r="D905" s="3"/>
    </row>
    <row r="906" spans="2:4" ht="10.5" customHeight="1" x14ac:dyDescent="0.25">
      <c r="B906" s="2"/>
      <c r="D906" s="3"/>
    </row>
    <row r="907" spans="2:4" ht="10.5" customHeight="1" x14ac:dyDescent="0.25">
      <c r="B907" s="2"/>
      <c r="D907" s="3"/>
    </row>
    <row r="908" spans="2:4" ht="10.5" customHeight="1" x14ac:dyDescent="0.25">
      <c r="B908" s="2"/>
      <c r="D908" s="3"/>
    </row>
    <row r="909" spans="2:4" ht="10.5" customHeight="1" x14ac:dyDescent="0.25">
      <c r="B909" s="2"/>
      <c r="D909" s="3"/>
    </row>
    <row r="910" spans="2:4" ht="10.5" customHeight="1" x14ac:dyDescent="0.25">
      <c r="B910" s="2"/>
      <c r="D910" s="3"/>
    </row>
    <row r="911" spans="2:4" ht="10.5" customHeight="1" x14ac:dyDescent="0.25">
      <c r="B911" s="2"/>
      <c r="D911" s="3"/>
    </row>
    <row r="912" spans="2:4" ht="10.5" customHeight="1" x14ac:dyDescent="0.25">
      <c r="B912" s="2"/>
      <c r="D912" s="3"/>
    </row>
    <row r="913" spans="2:4" ht="10.5" customHeight="1" x14ac:dyDescent="0.25">
      <c r="B913" s="2"/>
      <c r="D913" s="3"/>
    </row>
    <row r="914" spans="2:4" ht="10.5" customHeight="1" x14ac:dyDescent="0.25">
      <c r="B914" s="2"/>
      <c r="D914" s="3"/>
    </row>
    <row r="915" spans="2:4" ht="10.5" customHeight="1" x14ac:dyDescent="0.25">
      <c r="B915" s="2"/>
      <c r="D915" s="3"/>
    </row>
    <row r="916" spans="2:4" ht="10.5" customHeight="1" x14ac:dyDescent="0.25">
      <c r="B916" s="2"/>
      <c r="D916" s="3"/>
    </row>
    <row r="917" spans="2:4" ht="10.5" customHeight="1" x14ac:dyDescent="0.25">
      <c r="B917" s="2"/>
      <c r="D917" s="3"/>
    </row>
    <row r="918" spans="2:4" ht="10.5" customHeight="1" x14ac:dyDescent="0.25">
      <c r="B918" s="2"/>
      <c r="D918" s="3"/>
    </row>
    <row r="919" spans="2:4" ht="10.5" customHeight="1" x14ac:dyDescent="0.25">
      <c r="B919" s="2"/>
      <c r="D919" s="3"/>
    </row>
    <row r="920" spans="2:4" ht="10.5" customHeight="1" x14ac:dyDescent="0.25">
      <c r="B920" s="2"/>
      <c r="D920" s="3"/>
    </row>
    <row r="921" spans="2:4" ht="10.5" customHeight="1" x14ac:dyDescent="0.25">
      <c r="B921" s="2"/>
      <c r="D921" s="3"/>
    </row>
    <row r="922" spans="2:4" ht="10.5" customHeight="1" x14ac:dyDescent="0.25">
      <c r="B922" s="2"/>
      <c r="D922" s="3"/>
    </row>
    <row r="923" spans="2:4" ht="10.5" customHeight="1" x14ac:dyDescent="0.25">
      <c r="B923" s="2"/>
      <c r="D923" s="3"/>
    </row>
    <row r="924" spans="2:4" ht="10.5" customHeight="1" x14ac:dyDescent="0.25">
      <c r="B924" s="2"/>
      <c r="D924" s="3"/>
    </row>
    <row r="925" spans="2:4" ht="10.5" customHeight="1" x14ac:dyDescent="0.25">
      <c r="B925" s="2"/>
      <c r="D925" s="3"/>
    </row>
    <row r="926" spans="2:4" ht="10.5" customHeight="1" x14ac:dyDescent="0.25">
      <c r="B926" s="2"/>
      <c r="D926" s="3"/>
    </row>
    <row r="927" spans="2:4" ht="10.5" customHeight="1" x14ac:dyDescent="0.25">
      <c r="B927" s="2"/>
      <c r="D927" s="3"/>
    </row>
    <row r="928" spans="2:4" ht="10.5" customHeight="1" x14ac:dyDescent="0.25">
      <c r="B928" s="2"/>
      <c r="D928" s="3"/>
    </row>
    <row r="929" spans="2:4" ht="10.5" customHeight="1" x14ac:dyDescent="0.25">
      <c r="B929" s="2"/>
      <c r="D929" s="3"/>
    </row>
    <row r="930" spans="2:4" ht="10.5" customHeight="1" x14ac:dyDescent="0.25">
      <c r="B930" s="2"/>
      <c r="D930" s="3"/>
    </row>
    <row r="931" spans="2:4" ht="10.5" customHeight="1" x14ac:dyDescent="0.25">
      <c r="B931" s="2"/>
      <c r="D931" s="3"/>
    </row>
    <row r="932" spans="2:4" ht="10.5" customHeight="1" x14ac:dyDescent="0.25">
      <c r="B932" s="2"/>
      <c r="D932" s="3"/>
    </row>
    <row r="933" spans="2:4" ht="10.5" customHeight="1" x14ac:dyDescent="0.25">
      <c r="B933" s="2"/>
      <c r="D933" s="3"/>
    </row>
    <row r="934" spans="2:4" ht="10.5" customHeight="1" x14ac:dyDescent="0.25">
      <c r="B934" s="2"/>
      <c r="D934" s="3"/>
    </row>
    <row r="935" spans="2:4" ht="10.5" customHeight="1" x14ac:dyDescent="0.25">
      <c r="B935" s="2"/>
      <c r="D935" s="3"/>
    </row>
    <row r="936" spans="2:4" ht="10.5" customHeight="1" x14ac:dyDescent="0.25">
      <c r="B936" s="2"/>
      <c r="D936" s="3"/>
    </row>
    <row r="937" spans="2:4" ht="10.5" customHeight="1" x14ac:dyDescent="0.25">
      <c r="B937" s="2"/>
      <c r="D937" s="3"/>
    </row>
    <row r="938" spans="2:4" ht="10.5" customHeight="1" x14ac:dyDescent="0.25">
      <c r="B938" s="2"/>
      <c r="D938" s="3"/>
    </row>
    <row r="939" spans="2:4" ht="10.5" customHeight="1" x14ac:dyDescent="0.25">
      <c r="B939" s="2"/>
      <c r="D939" s="3"/>
    </row>
    <row r="940" spans="2:4" ht="10.5" customHeight="1" x14ac:dyDescent="0.25">
      <c r="B940" s="2"/>
      <c r="D940" s="3"/>
    </row>
    <row r="941" spans="2:4" ht="10.5" customHeight="1" x14ac:dyDescent="0.25">
      <c r="B941" s="2"/>
      <c r="D941" s="3"/>
    </row>
    <row r="942" spans="2:4" ht="10.5" customHeight="1" x14ac:dyDescent="0.25">
      <c r="B942" s="2"/>
      <c r="D942" s="3"/>
    </row>
    <row r="943" spans="2:4" ht="10.5" customHeight="1" x14ac:dyDescent="0.25">
      <c r="B943" s="2"/>
      <c r="D943" s="3"/>
    </row>
    <row r="944" spans="2:4" ht="10.5" customHeight="1" x14ac:dyDescent="0.25">
      <c r="B944" s="2"/>
      <c r="D944" s="3"/>
    </row>
    <row r="945" spans="2:4" ht="10.5" customHeight="1" x14ac:dyDescent="0.25">
      <c r="B945" s="2"/>
      <c r="D945" s="3"/>
    </row>
    <row r="946" spans="2:4" ht="10.5" customHeight="1" x14ac:dyDescent="0.25">
      <c r="B946" s="2"/>
      <c r="D946" s="3"/>
    </row>
    <row r="947" spans="2:4" ht="10.5" customHeight="1" x14ac:dyDescent="0.25">
      <c r="B947" s="2"/>
      <c r="D947" s="3"/>
    </row>
    <row r="948" spans="2:4" ht="10.5" customHeight="1" x14ac:dyDescent="0.25">
      <c r="B948" s="2"/>
      <c r="D948" s="3"/>
    </row>
    <row r="949" spans="2:4" ht="10.5" customHeight="1" x14ac:dyDescent="0.25">
      <c r="B949" s="2"/>
      <c r="D949" s="3"/>
    </row>
    <row r="950" spans="2:4" ht="10.5" customHeight="1" x14ac:dyDescent="0.25">
      <c r="B950" s="2"/>
      <c r="D950" s="3"/>
    </row>
    <row r="951" spans="2:4" ht="10.5" customHeight="1" x14ac:dyDescent="0.25">
      <c r="B951" s="2"/>
      <c r="D951" s="3"/>
    </row>
    <row r="952" spans="2:4" ht="10.5" customHeight="1" x14ac:dyDescent="0.25">
      <c r="B952" s="2"/>
      <c r="D952" s="3"/>
    </row>
    <row r="953" spans="2:4" ht="10.5" customHeight="1" x14ac:dyDescent="0.25">
      <c r="B953" s="2"/>
      <c r="D953" s="3"/>
    </row>
    <row r="954" spans="2:4" ht="10.5" customHeight="1" x14ac:dyDescent="0.25">
      <c r="B954" s="2"/>
      <c r="D954" s="3"/>
    </row>
    <row r="955" spans="2:4" ht="10.5" customHeight="1" x14ac:dyDescent="0.25">
      <c r="B955" s="2"/>
      <c r="D955" s="3"/>
    </row>
    <row r="956" spans="2:4" ht="10.5" customHeight="1" x14ac:dyDescent="0.25">
      <c r="B956" s="2"/>
      <c r="D956" s="3"/>
    </row>
    <row r="957" spans="2:4" ht="10.5" customHeight="1" x14ac:dyDescent="0.25">
      <c r="B957" s="2"/>
      <c r="D957" s="3"/>
    </row>
    <row r="958" spans="2:4" ht="10.5" customHeight="1" x14ac:dyDescent="0.25">
      <c r="B958" s="2"/>
      <c r="D958" s="3"/>
    </row>
    <row r="959" spans="2:4" ht="10.5" customHeight="1" x14ac:dyDescent="0.25">
      <c r="B959" s="2"/>
      <c r="D959" s="3"/>
    </row>
    <row r="960" spans="2:4" ht="10.5" customHeight="1" x14ac:dyDescent="0.25">
      <c r="B960" s="2"/>
      <c r="D960" s="3"/>
    </row>
    <row r="961" spans="2:4" ht="10.5" customHeight="1" x14ac:dyDescent="0.25">
      <c r="B961" s="2"/>
      <c r="D961" s="3"/>
    </row>
    <row r="962" spans="2:4" ht="10.5" customHeight="1" x14ac:dyDescent="0.25">
      <c r="B962" s="2"/>
      <c r="D962" s="3"/>
    </row>
    <row r="963" spans="2:4" ht="10.5" customHeight="1" x14ac:dyDescent="0.25">
      <c r="B963" s="2"/>
      <c r="D963" s="3"/>
    </row>
    <row r="964" spans="2:4" ht="10.5" customHeight="1" x14ac:dyDescent="0.25">
      <c r="B964" s="2"/>
      <c r="D964" s="3"/>
    </row>
    <row r="965" spans="2:4" ht="10.5" customHeight="1" x14ac:dyDescent="0.25">
      <c r="B965" s="2"/>
      <c r="D965" s="3"/>
    </row>
    <row r="966" spans="2:4" ht="10.5" customHeight="1" x14ac:dyDescent="0.25">
      <c r="B966" s="2"/>
      <c r="D966" s="3"/>
    </row>
    <row r="967" spans="2:4" ht="10.5" customHeight="1" x14ac:dyDescent="0.25">
      <c r="B967" s="2"/>
      <c r="D967" s="3"/>
    </row>
    <row r="968" spans="2:4" ht="10.5" customHeight="1" x14ac:dyDescent="0.25">
      <c r="B968" s="2"/>
      <c r="D968" s="3"/>
    </row>
    <row r="969" spans="2:4" ht="10.5" customHeight="1" x14ac:dyDescent="0.25">
      <c r="B969" s="2"/>
      <c r="D969" s="3"/>
    </row>
    <row r="970" spans="2:4" ht="10.5" customHeight="1" x14ac:dyDescent="0.25">
      <c r="B970" s="2"/>
      <c r="D970" s="3"/>
    </row>
    <row r="971" spans="2:4" ht="10.5" customHeight="1" x14ac:dyDescent="0.25">
      <c r="B971" s="2"/>
      <c r="D971" s="3"/>
    </row>
    <row r="972" spans="2:4" ht="10.5" customHeight="1" x14ac:dyDescent="0.25">
      <c r="B972" s="2"/>
      <c r="D972" s="3"/>
    </row>
    <row r="973" spans="2:4" ht="10.5" customHeight="1" x14ac:dyDescent="0.25">
      <c r="B973" s="2"/>
      <c r="D973" s="3"/>
    </row>
    <row r="974" spans="2:4" ht="10.5" customHeight="1" x14ac:dyDescent="0.25">
      <c r="B974" s="2"/>
      <c r="D974" s="3"/>
    </row>
    <row r="975" spans="2:4" ht="10.5" customHeight="1" x14ac:dyDescent="0.25">
      <c r="B975" s="2"/>
      <c r="D975" s="3"/>
    </row>
    <row r="976" spans="2:4" ht="10.5" customHeight="1" x14ac:dyDescent="0.25">
      <c r="B976" s="2"/>
      <c r="D976" s="3"/>
    </row>
    <row r="977" spans="2:4" ht="10.5" customHeight="1" x14ac:dyDescent="0.25">
      <c r="B977" s="2"/>
      <c r="D977" s="3"/>
    </row>
    <row r="978" spans="2:4" ht="10.5" customHeight="1" x14ac:dyDescent="0.25">
      <c r="B978" s="2"/>
      <c r="D978" s="3"/>
    </row>
    <row r="979" spans="2:4" ht="10.5" customHeight="1" x14ac:dyDescent="0.25">
      <c r="B979" s="2"/>
      <c r="D979" s="3"/>
    </row>
    <row r="980" spans="2:4" ht="10.5" customHeight="1" x14ac:dyDescent="0.25">
      <c r="B980" s="2"/>
      <c r="D980" s="3"/>
    </row>
    <row r="981" spans="2:4" ht="10.5" customHeight="1" x14ac:dyDescent="0.25">
      <c r="B981" s="2"/>
      <c r="D981" s="3"/>
    </row>
    <row r="982" spans="2:4" ht="10.5" customHeight="1" x14ac:dyDescent="0.25">
      <c r="B982" s="2"/>
      <c r="D982" s="3"/>
    </row>
    <row r="983" spans="2:4" ht="10.5" customHeight="1" x14ac:dyDescent="0.25">
      <c r="B983" s="2"/>
      <c r="D983" s="3"/>
    </row>
    <row r="984" spans="2:4" ht="10.5" customHeight="1" x14ac:dyDescent="0.25">
      <c r="B984" s="2"/>
      <c r="D984" s="3"/>
    </row>
    <row r="985" spans="2:4" ht="10.5" customHeight="1" x14ac:dyDescent="0.25">
      <c r="B985" s="2"/>
      <c r="D985" s="3"/>
    </row>
    <row r="986" spans="2:4" ht="10.5" customHeight="1" x14ac:dyDescent="0.25">
      <c r="B986" s="2"/>
      <c r="D986" s="3"/>
    </row>
    <row r="987" spans="2:4" ht="10.5" customHeight="1" x14ac:dyDescent="0.25">
      <c r="B987" s="2"/>
      <c r="D987" s="3"/>
    </row>
    <row r="988" spans="2:4" ht="10.5" customHeight="1" x14ac:dyDescent="0.25">
      <c r="B988" s="2"/>
      <c r="D988" s="3"/>
    </row>
    <row r="989" spans="2:4" ht="10.5" customHeight="1" x14ac:dyDescent="0.25">
      <c r="B989" s="2"/>
      <c r="D989" s="3"/>
    </row>
    <row r="990" spans="2:4" ht="10.5" customHeight="1" x14ac:dyDescent="0.25">
      <c r="B990" s="2"/>
      <c r="D990" s="3"/>
    </row>
    <row r="991" spans="2:4" ht="10.5" customHeight="1" x14ac:dyDescent="0.25">
      <c r="B991" s="2"/>
      <c r="D991" s="3"/>
    </row>
    <row r="992" spans="2:4" ht="10.5" customHeight="1" x14ac:dyDescent="0.25">
      <c r="B992" s="2"/>
      <c r="D992" s="3"/>
    </row>
    <row r="993" spans="2:4" ht="10.5" customHeight="1" x14ac:dyDescent="0.25">
      <c r="B993" s="2"/>
      <c r="D993" s="3"/>
    </row>
    <row r="994" spans="2:4" ht="10.5" customHeight="1" x14ac:dyDescent="0.25">
      <c r="B994" s="2"/>
      <c r="D994" s="3"/>
    </row>
    <row r="995" spans="2:4" ht="10.5" customHeight="1" x14ac:dyDescent="0.25">
      <c r="B995" s="2"/>
      <c r="D995" s="3"/>
    </row>
    <row r="996" spans="2:4" ht="10.5" customHeight="1" x14ac:dyDescent="0.25">
      <c r="B996" s="2"/>
      <c r="D996" s="3"/>
    </row>
    <row r="997" spans="2:4" ht="10.5" customHeight="1" x14ac:dyDescent="0.25">
      <c r="B997" s="2"/>
      <c r="D997" s="3"/>
    </row>
    <row r="998" spans="2:4" ht="10.5" customHeight="1" x14ac:dyDescent="0.25">
      <c r="B998" s="2"/>
      <c r="D998" s="3"/>
    </row>
    <row r="999" spans="2:4" ht="10.5" customHeight="1" x14ac:dyDescent="0.25">
      <c r="B999" s="2"/>
      <c r="D999" s="3"/>
    </row>
    <row r="1000" spans="2:4" ht="10.5" customHeight="1" x14ac:dyDescent="0.25">
      <c r="B1000" s="2"/>
      <c r="D1000" s="3"/>
    </row>
  </sheetData>
  <autoFilter ref="A8:AJ8" xr:uid="{00000000-0009-0000-0000-000000000000}"/>
  <mergeCells count="1">
    <mergeCell ref="U7:AH7"/>
  </mergeCells>
  <conditionalFormatting sqref="B9:C317">
    <cfRule type="colorScale" priority="1">
      <colorScale>
        <cfvo type="formula" val="0"/>
        <cfvo type="formula" val="4"/>
        <cfvo type="formula" val="10"/>
        <color rgb="FFFFFFCC"/>
        <color rgb="FFFFC000"/>
        <color rgb="FFC00000"/>
      </colorScale>
    </cfRule>
  </conditionalFormatting>
  <conditionalFormatting sqref="D9:D274 D307:D317">
    <cfRule type="colorScale" priority="2">
      <colorScale>
        <cfvo type="formula" val="18"/>
        <cfvo type="percentile" val="50"/>
        <cfvo type="percent" val="70"/>
        <color rgb="FFFFFFCC"/>
        <color rgb="FFFFEB84"/>
        <color rgb="FF63BE7B"/>
      </colorScale>
    </cfRule>
  </conditionalFormatting>
  <conditionalFormatting sqref="D275:D306">
    <cfRule type="colorScale" priority="4">
      <colorScale>
        <cfvo type="formula" val="18"/>
        <cfvo type="percentile" val="50"/>
        <cfvo type="percent" val="70"/>
        <color rgb="FFFFFFCC"/>
        <color rgb="FFFFEB84"/>
        <color rgb="FF63BE7B"/>
      </colorScale>
    </cfRule>
  </conditionalFormatting>
  <conditionalFormatting sqref="F9:S274 F307:S317">
    <cfRule type="colorScale" priority="3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F275:S306">
    <cfRule type="colorScale" priority="5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1000"/>
  <sheetViews>
    <sheetView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4.28515625" customWidth="1"/>
    <col min="2" max="2" width="5.7109375" customWidth="1"/>
    <col min="3" max="55" width="4.28515625" customWidth="1"/>
  </cols>
  <sheetData>
    <row r="1" spans="1:55" ht="27" customHeight="1" x14ac:dyDescent="0.4">
      <c r="A1" s="22" t="s">
        <v>67</v>
      </c>
      <c r="B1" s="2"/>
      <c r="C1" s="23"/>
      <c r="D1" s="24"/>
      <c r="E1" s="23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5"/>
      <c r="T1" s="26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5"/>
      <c r="AI1" s="27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</row>
    <row r="2" spans="1:55" ht="9.75" customHeight="1" x14ac:dyDescent="0.4">
      <c r="A2" s="22"/>
      <c r="B2" s="2"/>
      <c r="C2" s="23"/>
      <c r="D2" s="24"/>
      <c r="E2" s="23"/>
      <c r="F2" s="5" t="s">
        <v>1</v>
      </c>
      <c r="G2" s="5" t="s">
        <v>2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5" t="s">
        <v>8</v>
      </c>
      <c r="N2" s="5" t="s">
        <v>9</v>
      </c>
      <c r="O2" s="5" t="s">
        <v>10</v>
      </c>
      <c r="P2" s="5" t="s">
        <v>11</v>
      </c>
      <c r="Q2" s="5" t="s">
        <v>12</v>
      </c>
      <c r="R2" s="5" t="s">
        <v>13</v>
      </c>
      <c r="S2" s="5" t="s">
        <v>14</v>
      </c>
      <c r="T2" s="26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5"/>
      <c r="AI2" s="27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</row>
    <row r="3" spans="1:55" ht="9.75" customHeight="1" x14ac:dyDescent="0.25">
      <c r="A3" s="15"/>
      <c r="B3" s="2"/>
      <c r="C3" s="15"/>
      <c r="D3" s="24"/>
      <c r="E3" s="15"/>
      <c r="F3" s="28" t="s">
        <v>68</v>
      </c>
      <c r="G3" s="28" t="s">
        <v>16</v>
      </c>
      <c r="H3" s="28" t="s">
        <v>17</v>
      </c>
      <c r="I3" s="28" t="s">
        <v>69</v>
      </c>
      <c r="J3" s="28" t="s">
        <v>19</v>
      </c>
      <c r="K3" s="28" t="s">
        <v>70</v>
      </c>
      <c r="L3" s="28" t="s">
        <v>71</v>
      </c>
      <c r="M3" s="28" t="s">
        <v>72</v>
      </c>
      <c r="N3" s="28" t="s">
        <v>73</v>
      </c>
      <c r="O3" s="28" t="s">
        <v>74</v>
      </c>
      <c r="P3" s="28" t="s">
        <v>25</v>
      </c>
      <c r="Q3" s="29" t="s">
        <v>26</v>
      </c>
      <c r="R3" s="29" t="s">
        <v>75</v>
      </c>
      <c r="S3" s="29" t="s">
        <v>28</v>
      </c>
      <c r="T3" s="30"/>
      <c r="U3" s="28"/>
      <c r="V3" s="31" t="s">
        <v>76</v>
      </c>
      <c r="W3" s="28"/>
      <c r="X3" s="28"/>
      <c r="Y3" s="28"/>
      <c r="Z3" s="28"/>
      <c r="AA3" s="28"/>
      <c r="AB3" s="28"/>
      <c r="AC3" s="28"/>
      <c r="AD3" s="28"/>
      <c r="AE3" s="28"/>
      <c r="AF3" s="29"/>
      <c r="AG3" s="29"/>
      <c r="AH3" s="29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</row>
    <row r="4" spans="1:55" ht="9.75" customHeight="1" x14ac:dyDescent="0.25">
      <c r="A4" s="23"/>
      <c r="B4" s="2"/>
      <c r="C4" s="23"/>
      <c r="D4" s="24"/>
      <c r="E4" s="11" t="s">
        <v>29</v>
      </c>
      <c r="F4" s="24">
        <v>0.02</v>
      </c>
      <c r="G4" s="24">
        <v>0.15</v>
      </c>
      <c r="H4" s="24">
        <v>0.06</v>
      </c>
      <c r="I4" s="24">
        <v>0.3</v>
      </c>
      <c r="J4" s="24">
        <v>0.49</v>
      </c>
      <c r="K4" s="32">
        <v>3.0000000000000001E-3</v>
      </c>
      <c r="L4" s="24">
        <v>0.6</v>
      </c>
      <c r="M4" s="24">
        <v>0.08</v>
      </c>
      <c r="N4" s="24">
        <v>11</v>
      </c>
      <c r="O4" s="24">
        <v>3.3</v>
      </c>
      <c r="P4" s="24">
        <v>2</v>
      </c>
      <c r="Q4" s="24">
        <v>99</v>
      </c>
      <c r="R4" s="24">
        <v>6</v>
      </c>
      <c r="S4" s="24">
        <v>84</v>
      </c>
      <c r="T4" s="23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</row>
    <row r="5" spans="1:55" ht="9.75" customHeight="1" x14ac:dyDescent="0.25">
      <c r="A5" s="23"/>
      <c r="B5" s="14"/>
      <c r="C5" s="23"/>
      <c r="D5" s="24"/>
      <c r="E5" s="23" t="s">
        <v>30</v>
      </c>
      <c r="F5" s="33">
        <v>5</v>
      </c>
      <c r="G5" s="33">
        <v>10</v>
      </c>
      <c r="H5" s="33">
        <v>10</v>
      </c>
      <c r="I5" s="33">
        <v>20</v>
      </c>
      <c r="J5" s="33">
        <v>20</v>
      </c>
      <c r="K5" s="34">
        <v>10</v>
      </c>
      <c r="L5" s="33">
        <v>25</v>
      </c>
      <c r="M5" s="33">
        <v>20</v>
      </c>
      <c r="N5" s="33">
        <v>10</v>
      </c>
      <c r="O5" s="33">
        <v>100</v>
      </c>
      <c r="P5" s="25">
        <v>20</v>
      </c>
      <c r="Q5" s="33">
        <v>100</v>
      </c>
      <c r="R5" s="33">
        <v>5</v>
      </c>
      <c r="S5" s="33">
        <v>300</v>
      </c>
      <c r="T5" s="23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</row>
    <row r="6" spans="1:55" ht="9.75" customHeight="1" x14ac:dyDescent="0.25">
      <c r="A6" s="23"/>
      <c r="B6" s="14">
        <f>TTEST(B9:B31,B32:B56,2,2)</f>
        <v>2.3616711156257561E-11</v>
      </c>
      <c r="C6" s="23"/>
      <c r="D6" s="24"/>
      <c r="E6" s="23"/>
      <c r="F6" s="25"/>
      <c r="G6" s="25"/>
      <c r="H6" s="25"/>
      <c r="I6" s="25"/>
      <c r="J6" s="25"/>
      <c r="K6" s="36"/>
      <c r="L6" s="25"/>
      <c r="M6" s="25"/>
      <c r="N6" s="25"/>
      <c r="O6" s="25"/>
      <c r="P6" s="25"/>
      <c r="Q6" s="25"/>
      <c r="R6" s="25"/>
      <c r="S6" s="5"/>
      <c r="T6" s="23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</row>
    <row r="7" spans="1:55" ht="9.75" customHeight="1" x14ac:dyDescent="0.25">
      <c r="A7" s="23"/>
      <c r="B7" s="2"/>
      <c r="C7" s="23"/>
      <c r="D7" s="24"/>
      <c r="E7" s="38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3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</row>
    <row r="8" spans="1:55" ht="9.75" customHeight="1" x14ac:dyDescent="0.25">
      <c r="A8" s="30"/>
      <c r="B8" s="2" t="s">
        <v>32</v>
      </c>
      <c r="C8" s="30" t="s">
        <v>77</v>
      </c>
      <c r="D8" s="24" t="s">
        <v>34</v>
      </c>
      <c r="E8" s="15"/>
      <c r="F8" s="40" t="str">
        <f t="shared" ref="F8:S8" si="0">F3</f>
        <v>HOXA7*</v>
      </c>
      <c r="G8" s="40" t="str">
        <f t="shared" si="0"/>
        <v>CENPA</v>
      </c>
      <c r="H8" s="40" t="str">
        <f t="shared" si="0"/>
        <v>NEK2</v>
      </c>
      <c r="I8" s="40" t="str">
        <f t="shared" si="0"/>
        <v>DNMT1*</v>
      </c>
      <c r="J8" s="40" t="str">
        <f t="shared" si="0"/>
        <v>INHBA</v>
      </c>
      <c r="K8" s="40" t="str">
        <f t="shared" si="0"/>
        <v>FOXM1</v>
      </c>
      <c r="L8" s="40" t="str">
        <f t="shared" si="0"/>
        <v>TOP2A*</v>
      </c>
      <c r="M8" s="40" t="str">
        <f t="shared" si="0"/>
        <v>BIRC5*</v>
      </c>
      <c r="N8" s="40" t="str">
        <f t="shared" si="0"/>
        <v>MMP13*</v>
      </c>
      <c r="O8" s="40" t="str">
        <f t="shared" si="0"/>
        <v>IL8</v>
      </c>
      <c r="P8" s="40" t="str">
        <f t="shared" si="0"/>
        <v>NR3C1</v>
      </c>
      <c r="Q8" s="41" t="str">
        <f t="shared" si="0"/>
        <v>IVL</v>
      </c>
      <c r="R8" s="41" t="str">
        <f t="shared" si="0"/>
        <v>CBX7*</v>
      </c>
      <c r="S8" s="5" t="str">
        <f t="shared" si="0"/>
        <v>S100A16</v>
      </c>
      <c r="T8" s="15"/>
      <c r="U8" s="13" t="str">
        <f t="shared" ref="U8:AH8" si="1">F8</f>
        <v>HOXA7*</v>
      </c>
      <c r="V8" s="13" t="str">
        <f t="shared" si="1"/>
        <v>CENPA</v>
      </c>
      <c r="W8" s="13" t="str">
        <f t="shared" si="1"/>
        <v>NEK2</v>
      </c>
      <c r="X8" s="13" t="str">
        <f t="shared" si="1"/>
        <v>DNMT1*</v>
      </c>
      <c r="Y8" s="13" t="str">
        <f t="shared" si="1"/>
        <v>INHBA</v>
      </c>
      <c r="Z8" s="13" t="str">
        <f t="shared" si="1"/>
        <v>FOXM1</v>
      </c>
      <c r="AA8" s="13" t="str">
        <f t="shared" si="1"/>
        <v>TOP2A*</v>
      </c>
      <c r="AB8" s="13" t="str">
        <f t="shared" si="1"/>
        <v>BIRC5*</v>
      </c>
      <c r="AC8" s="13" t="str">
        <f t="shared" si="1"/>
        <v>MMP13*</v>
      </c>
      <c r="AD8" s="13" t="str">
        <f t="shared" si="1"/>
        <v>IL8</v>
      </c>
      <c r="AE8" s="13" t="str">
        <f t="shared" si="1"/>
        <v>NR3C1</v>
      </c>
      <c r="AF8" s="13" t="str">
        <f t="shared" si="1"/>
        <v>IVL</v>
      </c>
      <c r="AG8" s="13" t="str">
        <f t="shared" si="1"/>
        <v>CBX7*</v>
      </c>
      <c r="AH8" s="13" t="str">
        <f t="shared" si="1"/>
        <v>S100A16</v>
      </c>
      <c r="AI8" s="15" t="s">
        <v>78</v>
      </c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</row>
    <row r="9" spans="1:55" ht="9.75" customHeight="1" x14ac:dyDescent="0.25">
      <c r="A9" s="23">
        <v>1</v>
      </c>
      <c r="B9" s="2">
        <f t="shared" ref="B9:B177" si="2">IF(OR(SUM(F9:S9)&lt;0.5,COUNTIF(U9:AH9,"")&gt;7,SUM(F9:S9)&gt;5000),"",IF(((SUM(U9:AH9)*LOG((QUARTILE((U9:AH9),4)-QUARTILE((U9:AH9),0))*QUARTILE((U9:AH9),4),2))*AVERAGE(AVERAGE(U9:AH9),MEDIAN(U9:AH9)))&lt;36,ABS(((SUM(U9:AH9)*LOG((QUARTILE((U9:AH9),4)-QUARTILE((U9:AH9),0))*QUARTILE((U9:AH9),4),2))*AVERAGE(AVERAGE(U9:AH9),MEDIAN(U9:AH9))/1000*20^2/AI9)),((SUM(U9:AH9)*LOG((QUARTILE((U9:AH9),4)-QUARTILE((U9:AH9),0))*QUARTILE((U9:AH9),4),2)/100)*8+1*AVERAGE(AVERAGE(U9:AH9),MEDIAN(U9:AH9)))))</f>
        <v>0.23082024613057789</v>
      </c>
      <c r="C9" s="23">
        <v>1</v>
      </c>
      <c r="D9" s="24">
        <v>22.355750398695601</v>
      </c>
      <c r="E9" s="42" t="s">
        <v>79</v>
      </c>
      <c r="F9" s="5"/>
      <c r="G9" s="5">
        <v>3.6700000000000003E-2</v>
      </c>
      <c r="H9" s="5">
        <v>1.56E-4</v>
      </c>
      <c r="I9" s="5">
        <v>0.54710000000000003</v>
      </c>
      <c r="J9" s="5">
        <v>0.48580000000000001</v>
      </c>
      <c r="K9" s="5">
        <v>2.64E-2</v>
      </c>
      <c r="L9" s="5">
        <v>1.77E-2</v>
      </c>
      <c r="M9" s="5">
        <v>1.0399999999999999E-3</v>
      </c>
      <c r="N9" s="5">
        <v>0.1026</v>
      </c>
      <c r="O9" s="5">
        <v>1.8580000000000001</v>
      </c>
      <c r="P9" s="5">
        <v>1.56E-4</v>
      </c>
      <c r="Q9" s="5">
        <v>7.5700000000000003E-2</v>
      </c>
      <c r="R9" s="5">
        <v>1.9900000000000001E-2</v>
      </c>
      <c r="S9" s="5">
        <v>0.34300000000000003</v>
      </c>
      <c r="T9" s="43" t="str">
        <f t="shared" ref="T9:T177" si="3">E9</f>
        <v>NOM01</v>
      </c>
      <c r="U9" s="39" t="str">
        <f t="shared" ref="U9:AH9" si="4">IF(OR(F9=0,F9&lt;0.00000000001,F9&gt;100000),"",IF((IF(F9&gt;F$5,ABS(LOG(((F$5/SUM($F9:$S9))/(F$4/SUM($F$4:$S$4)))*4+2,2)),ABS(LOG(((F9/SUM($F9:$S9))/(F$4/SUM($F$4:$S$4)))*4+2,2)))-3)&gt;8,(IF(F9&gt;F$5,ABS(LOG(((F$5/SUM($F9:$S9))/(F$4/SUM($F$4:$S$4)))*4+2,2)),ABS(LOG(((F9/SUM($F9:$S9))/(F$4/SUM($F$4:$S$4)))*4+2,2)))-3)/7,IF(F9&gt;F$5,ABS(LOG(((F$5/SUM($F9:$S9))/(F$4/SUM($F$4:$S$4)))*4+2,2)),ABS(LOG(((F9/SUM($F9:$S9))/(F$4/SUM($F$4:$S$4)))*4+2,2)))-3))</f>
        <v/>
      </c>
      <c r="V9" s="39">
        <f t="shared" si="4"/>
        <v>2.8983835297607836</v>
      </c>
      <c r="W9" s="39">
        <f t="shared" si="4"/>
        <v>-1.6145136743363642</v>
      </c>
      <c r="X9" s="39">
        <f t="shared" si="4"/>
        <v>5.753831837579126</v>
      </c>
      <c r="Y9" s="39">
        <f t="shared" si="4"/>
        <v>4.8801704403429991</v>
      </c>
      <c r="Z9" s="39">
        <f t="shared" si="4"/>
        <v>1.1455978118628796</v>
      </c>
      <c r="AA9" s="39">
        <f t="shared" si="4"/>
        <v>0.16199329630768844</v>
      </c>
      <c r="AB9" s="39">
        <f t="shared" si="4"/>
        <v>-0.66000734353044699</v>
      </c>
      <c r="AC9" s="39">
        <f t="shared" si="4"/>
        <v>-0.93041833172388788</v>
      </c>
      <c r="AD9" s="39">
        <f t="shared" si="4"/>
        <v>4.0731628560118764</v>
      </c>
      <c r="AE9" s="39">
        <f t="shared" si="4"/>
        <v>-1.9868036110424629</v>
      </c>
      <c r="AF9" s="39">
        <f t="shared" si="4"/>
        <v>-1.8755643244210103</v>
      </c>
      <c r="AG9" s="39">
        <f t="shared" si="4"/>
        <v>-1.5241587585455698</v>
      </c>
      <c r="AH9" s="39">
        <f t="shared" si="4"/>
        <v>-1.4333814342209226</v>
      </c>
      <c r="AI9" s="44">
        <f t="shared" ref="AI9:AI177" si="5">IF(D9&lt;26,1,IF(D9&lt;32,2+(D9-26)^1/10,8-((D9-32)*3000)^0.19))</f>
        <v>1</v>
      </c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</row>
    <row r="10" spans="1:55" ht="9.75" customHeight="1" x14ac:dyDescent="0.25">
      <c r="A10" s="23">
        <v>2</v>
      </c>
      <c r="B10" s="2">
        <f t="shared" si="2"/>
        <v>1.4591659179659551</v>
      </c>
      <c r="C10" s="23">
        <v>1</v>
      </c>
      <c r="D10" s="24">
        <v>24.787041302829198</v>
      </c>
      <c r="E10" s="42" t="s">
        <v>80</v>
      </c>
      <c r="F10" s="5"/>
      <c r="G10" s="5">
        <v>1.9300000000000001E-2</v>
      </c>
      <c r="H10" s="5"/>
      <c r="I10" s="5"/>
      <c r="J10" s="5">
        <v>7.2300000000000003E-3</v>
      </c>
      <c r="K10" s="5">
        <v>3.0599999999999999E-2</v>
      </c>
      <c r="L10" s="5"/>
      <c r="M10" s="5"/>
      <c r="N10" s="5"/>
      <c r="O10" s="5">
        <v>0.17169999999999999</v>
      </c>
      <c r="P10" s="5">
        <v>2.0100000000000001E-5</v>
      </c>
      <c r="Q10" s="5">
        <v>0.68779999999999997</v>
      </c>
      <c r="R10" s="5">
        <v>5.8199999999999998E-5</v>
      </c>
      <c r="S10" s="5">
        <v>0.21149999999999999</v>
      </c>
      <c r="T10" s="43" t="str">
        <f t="shared" si="3"/>
        <v>NOM02</v>
      </c>
      <c r="U10" s="39" t="str">
        <f t="shared" ref="U10:AH10" si="6">IF(OR(F10=0,F10&lt;0.00000000001,F10&gt;100000),"",IF((IF(F10&gt;F$5,ABS(LOG(((F$5/SUM($F10:$S10))/(F$4/SUM($F$4:$S$4)))*4+2,2)),ABS(LOG(((F10/SUM($F10:$S10))/(F$4/SUM($F$4:$S$4)))*4+2,2)))-3)&gt;8,(IF(F10&gt;F$5,ABS(LOG(((F$5/SUM($F10:$S10))/(F$4/SUM($F$4:$S$4)))*4+2,2)),ABS(LOG(((F10/SUM($F10:$S10))/(F$4/SUM($F$4:$S$4)))*4+2,2)))-3)/7,IF(F10&gt;F$5,ABS(LOG(((F$5/SUM($F10:$S10))/(F$4/SUM($F$4:$S$4)))*4+2,2)),ABS(LOG(((F10/SUM($F10:$S10))/(F$4/SUM($F$4:$S$4)))*4+2,2)))-3))</f>
        <v/>
      </c>
      <c r="V10" s="39">
        <f t="shared" si="6"/>
        <v>3.5914212055956707</v>
      </c>
      <c r="W10" s="39" t="str">
        <f t="shared" si="6"/>
        <v/>
      </c>
      <c r="X10" s="39" t="str">
        <f t="shared" si="6"/>
        <v/>
      </c>
      <c r="Y10" s="39">
        <f t="shared" si="6"/>
        <v>0.68134018999855828</v>
      </c>
      <c r="Z10" s="39">
        <f t="shared" si="6"/>
        <v>1.4100510065827927</v>
      </c>
      <c r="AA10" s="39" t="str">
        <f t="shared" si="6"/>
        <v/>
      </c>
      <c r="AB10" s="39" t="str">
        <f t="shared" si="6"/>
        <v/>
      </c>
      <c r="AC10" s="39" t="str">
        <f t="shared" si="6"/>
        <v/>
      </c>
      <c r="AD10" s="39">
        <f t="shared" si="6"/>
        <v>2.3286195862008237</v>
      </c>
      <c r="AE10" s="39">
        <f t="shared" si="6"/>
        <v>-1.9946892195462493</v>
      </c>
      <c r="AF10" s="39">
        <f t="shared" si="6"/>
        <v>-0.17240970393567512</v>
      </c>
      <c r="AG10" s="39">
        <f t="shared" si="6"/>
        <v>-1.9948738439102736</v>
      </c>
      <c r="AH10" s="39">
        <f t="shared" si="6"/>
        <v>-1.0559287562628126</v>
      </c>
      <c r="AI10" s="44">
        <f t="shared" si="5"/>
        <v>1</v>
      </c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</row>
    <row r="11" spans="1:55" ht="9.75" customHeight="1" x14ac:dyDescent="0.25">
      <c r="A11" s="23">
        <v>3</v>
      </c>
      <c r="B11" s="2">
        <f t="shared" si="2"/>
        <v>6.8245486890543834</v>
      </c>
      <c r="C11" s="23">
        <v>1</v>
      </c>
      <c r="D11" s="24">
        <v>24.383332966765799</v>
      </c>
      <c r="E11" s="42" t="s">
        <v>81</v>
      </c>
      <c r="F11" s="5"/>
      <c r="G11" s="5">
        <v>0.27860000000000001</v>
      </c>
      <c r="H11" s="5"/>
      <c r="I11" s="5">
        <v>0.61350000000000005</v>
      </c>
      <c r="J11" s="5">
        <v>0.33950000000000002</v>
      </c>
      <c r="K11" s="5">
        <v>0.14099999999999999</v>
      </c>
      <c r="L11" s="5">
        <v>1.09E-2</v>
      </c>
      <c r="M11" s="5"/>
      <c r="N11" s="5">
        <v>6.2200000000000004E-7</v>
      </c>
      <c r="O11" s="5">
        <v>0.7097</v>
      </c>
      <c r="P11" s="5">
        <v>2.3900000000000001E-4</v>
      </c>
      <c r="Q11" s="5">
        <v>0.16189999999999999</v>
      </c>
      <c r="R11" s="5">
        <v>6.9899999999999997E-3</v>
      </c>
      <c r="S11" s="5">
        <v>0.2276</v>
      </c>
      <c r="T11" s="43" t="str">
        <f t="shared" si="3"/>
        <v>NOM03</v>
      </c>
      <c r="U11" s="39" t="str">
        <f t="shared" ref="U11:AH11" si="7">IF(OR(F11=0,F11&lt;0.00000000001,F11&gt;100000),"",IF((IF(F11&gt;F$5,ABS(LOG(((F$5/SUM($F11:$S11))/(F$4/SUM($F$4:$S$4)))*4+2,2)),ABS(LOG(((F11/SUM($F11:$S11))/(F$4/SUM($F$4:$S$4)))*4+2,2)))-3)&gt;8,(IF(F11&gt;F$5,ABS(LOG(((F$5/SUM($F11:$S11))/(F$4/SUM($F$4:$S$4)))*4+2,2)),ABS(LOG(((F11/SUM($F11:$S11))/(F$4/SUM($F$4:$S$4)))*4+2,2)))-3)/7,IF(F11&gt;F$5,ABS(LOG(((F$5/SUM($F11:$S11))/(F$4/SUM($F$4:$S$4)))*4+2,2)),ABS(LOG(((F11/SUM($F11:$S11))/(F$4/SUM($F$4:$S$4)))*4+2,2)))-3))</f>
        <v/>
      </c>
      <c r="V11" s="39">
        <f t="shared" si="7"/>
        <v>6.2752997052434196</v>
      </c>
      <c r="W11" s="39" t="str">
        <f t="shared" si="7"/>
        <v/>
      </c>
      <c r="X11" s="39">
        <f t="shared" si="7"/>
        <v>6.4137404062091399</v>
      </c>
      <c r="Y11" s="39">
        <f t="shared" si="7"/>
        <v>4.8605017699075681</v>
      </c>
      <c r="Z11" s="39">
        <f t="shared" si="7"/>
        <v>1.5617394788043846</v>
      </c>
      <c r="AA11" s="39">
        <f t="shared" si="7"/>
        <v>7.4147880713639758E-3</v>
      </c>
      <c r="AB11" s="39" t="str">
        <f t="shared" si="7"/>
        <v/>
      </c>
      <c r="AC11" s="39">
        <f t="shared" si="7"/>
        <v>-1.9999864359381889</v>
      </c>
      <c r="AD11" s="39">
        <f t="shared" si="7"/>
        <v>3.2000096616953098</v>
      </c>
      <c r="AE11" s="39">
        <f t="shared" si="7"/>
        <v>-1.9716154054119079</v>
      </c>
      <c r="AF11" s="39">
        <f t="shared" si="7"/>
        <v>-1.65299912277811</v>
      </c>
      <c r="AG11" s="39">
        <f t="shared" si="7"/>
        <v>-1.7445511414826993</v>
      </c>
      <c r="AH11" s="39">
        <f t="shared" si="7"/>
        <v>-1.463431401643067</v>
      </c>
      <c r="AI11" s="44">
        <f t="shared" si="5"/>
        <v>1</v>
      </c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</row>
    <row r="12" spans="1:55" ht="9.75" customHeight="1" x14ac:dyDescent="0.25">
      <c r="A12" s="23">
        <v>4</v>
      </c>
      <c r="B12" s="2">
        <f t="shared" si="2"/>
        <v>5.8052252457786739</v>
      </c>
      <c r="C12" s="23">
        <v>1</v>
      </c>
      <c r="D12" s="24">
        <v>21.828242706679202</v>
      </c>
      <c r="E12" s="42" t="s">
        <v>82</v>
      </c>
      <c r="F12" s="5">
        <v>1.15E-2</v>
      </c>
      <c r="G12" s="5">
        <v>4.3799999999999999E-2</v>
      </c>
      <c r="H12" s="5">
        <v>1.67E-2</v>
      </c>
      <c r="I12" s="5">
        <v>1.2549999999999999</v>
      </c>
      <c r="J12" s="5">
        <v>2.9159999999999999</v>
      </c>
      <c r="K12" s="5">
        <v>9.6100000000000005E-2</v>
      </c>
      <c r="L12" s="5">
        <v>4.7699999999999999E-2</v>
      </c>
      <c r="M12" s="5">
        <v>2.22E-7</v>
      </c>
      <c r="N12" s="5">
        <v>0.6421</v>
      </c>
      <c r="O12" s="5">
        <v>4.726</v>
      </c>
      <c r="P12" s="5">
        <v>1.9599999999999999E-3</v>
      </c>
      <c r="Q12" s="5">
        <v>1.907</v>
      </c>
      <c r="R12" s="5">
        <v>2.8899999999999999E-2</v>
      </c>
      <c r="S12" s="5">
        <v>8.5699999999999998E-2</v>
      </c>
      <c r="T12" s="43" t="str">
        <f t="shared" si="3"/>
        <v>NOM04</v>
      </c>
      <c r="U12" s="39">
        <f t="shared" ref="U12:AH12" si="8">IF(OR(F12=0,F12&lt;0.00000000001,F12&gt;100000),"",IF((IF(F12&gt;F$5,ABS(LOG(((F$5/SUM($F12:$S12))/(F$4/SUM($F$4:$S$4)))*4+2,2)),ABS(LOG(((F12/SUM($F12:$S12))/(F$4/SUM($F$4:$S$4)))*4+2,2)))-3)&gt;8,(IF(F12&gt;F$5,ABS(LOG(((F$5/SUM($F12:$S12))/(F$4/SUM($F$4:$S$4)))*4+2,2)),ABS(LOG(((F12/SUM($F12:$S12))/(F$4/SUM($F$4:$S$4)))*4+2,2)))-3)/7,IF(F12&gt;F$5,ABS(LOG(((F$5/SUM($F12:$S12))/(F$4/SUM($F$4:$S$4)))*4+2,2)),ABS(LOG(((F12/SUM($F12:$S12))/(F$4/SUM($F$4:$S$4)))*4+2,2)))-3))</f>
        <v>2.4067349039397472</v>
      </c>
      <c r="V12" s="39">
        <f t="shared" si="8"/>
        <v>1.4935998816763023</v>
      </c>
      <c r="W12" s="39">
        <f t="shared" si="8"/>
        <v>1.4307207141915805</v>
      </c>
      <c r="X12" s="39">
        <f t="shared" si="8"/>
        <v>5.2098600337270362</v>
      </c>
      <c r="Y12" s="39">
        <f t="shared" si="8"/>
        <v>5.7154465275030493</v>
      </c>
      <c r="Z12" s="39">
        <f t="shared" si="8"/>
        <v>1.1626016553403731</v>
      </c>
      <c r="AA12" s="39">
        <f t="shared" si="8"/>
        <v>-7.6136369116634572E-2</v>
      </c>
      <c r="AB12" s="39">
        <f t="shared" si="8"/>
        <v>-1.9998592869221961</v>
      </c>
      <c r="AC12" s="39">
        <f t="shared" si="8"/>
        <v>-0.39035504847787728</v>
      </c>
      <c r="AD12" s="39">
        <f t="shared" si="8"/>
        <v>3.6819614960765437</v>
      </c>
      <c r="AE12" s="39">
        <f t="shared" si="8"/>
        <v>-1.9511410675169245</v>
      </c>
      <c r="AF12" s="39">
        <f t="shared" si="8"/>
        <v>-1.2540570351215434</v>
      </c>
      <c r="AG12" s="39">
        <f t="shared" si="8"/>
        <v>-1.774351151866526</v>
      </c>
      <c r="AH12" s="39">
        <f t="shared" si="8"/>
        <v>-1.9491698918052069</v>
      </c>
      <c r="AI12" s="44">
        <f t="shared" si="5"/>
        <v>1</v>
      </c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</row>
    <row r="13" spans="1:55" ht="9.75" customHeight="1" x14ac:dyDescent="0.25">
      <c r="A13" s="23">
        <v>5</v>
      </c>
      <c r="B13" s="2">
        <f t="shared" si="2"/>
        <v>3.7032442921159552</v>
      </c>
      <c r="C13" s="23">
        <v>1</v>
      </c>
      <c r="D13" s="24">
        <v>27.4368844473275</v>
      </c>
      <c r="E13" s="42" t="s">
        <v>83</v>
      </c>
      <c r="F13" s="5"/>
      <c r="G13" s="5"/>
      <c r="H13" s="5">
        <v>0.13239999999999999</v>
      </c>
      <c r="I13" s="5">
        <v>1.37</v>
      </c>
      <c r="J13" s="5">
        <v>49.68</v>
      </c>
      <c r="K13" s="5">
        <v>0.14710000000000001</v>
      </c>
      <c r="L13" s="5">
        <v>1.6</v>
      </c>
      <c r="M13" s="5"/>
      <c r="N13" s="5">
        <v>0.26640000000000003</v>
      </c>
      <c r="O13" s="5">
        <v>3.6509999999999998</v>
      </c>
      <c r="P13" s="5"/>
      <c r="Q13" s="5">
        <v>159.30000000000001</v>
      </c>
      <c r="R13" s="5">
        <v>1.917</v>
      </c>
      <c r="S13" s="5"/>
      <c r="T13" s="43" t="str">
        <f t="shared" si="3"/>
        <v>NOM05</v>
      </c>
      <c r="U13" s="39" t="str">
        <f t="shared" ref="U13:AH13" si="9">IF(OR(F13=0,F13&lt;0.00000000001,F13&gt;100000),"",IF((IF(F13&gt;F$5,ABS(LOG(((F$5/SUM($F13:$S13))/(F$4/SUM($F$4:$S$4)))*4+2,2)),ABS(LOG(((F13/SUM($F13:$S13))/(F$4/SUM($F$4:$S$4)))*4+2,2)))-3)&gt;8,(IF(F13&gt;F$5,ABS(LOG(((F$5/SUM($F13:$S13))/(F$4/SUM($F$4:$S$4)))*4+2,2)),ABS(LOG(((F13/SUM($F13:$S13))/(F$4/SUM($F$4:$S$4)))*4+2,2)))-3)/7,IF(F13&gt;F$5,ABS(LOG(((F$5/SUM($F13:$S13))/(F$4/SUM($F$4:$S$4)))*4+2,2)),ABS(LOG(((F13/SUM($F13:$S13))/(F$4/SUM($F$4:$S$4)))*4+2,2)))-3))</f>
        <v/>
      </c>
      <c r="V13" s="39" t="str">
        <f t="shared" si="9"/>
        <v/>
      </c>
      <c r="W13" s="39">
        <f t="shared" si="9"/>
        <v>0.37558857159206305</v>
      </c>
      <c r="X13" s="39">
        <f t="shared" si="9"/>
        <v>1.2735250486623775</v>
      </c>
      <c r="Y13" s="39">
        <f t="shared" si="9"/>
        <v>4.2944734068980459</v>
      </c>
      <c r="Z13" s="39">
        <f t="shared" si="9"/>
        <v>4.556006462108467</v>
      </c>
      <c r="AA13" s="39">
        <f t="shared" si="9"/>
        <v>0.59998650900454953</v>
      </c>
      <c r="AB13" s="39" t="str">
        <f t="shared" si="9"/>
        <v/>
      </c>
      <c r="AC13" s="39">
        <f t="shared" si="9"/>
        <v>-1.9351454012224285</v>
      </c>
      <c r="AD13" s="39">
        <f t="shared" si="9"/>
        <v>-0.36750345992893019</v>
      </c>
      <c r="AE13" s="39" t="str">
        <f t="shared" si="9"/>
        <v/>
      </c>
      <c r="AF13" s="39">
        <f t="shared" si="9"/>
        <v>-0.45515317016936585</v>
      </c>
      <c r="AG13" s="39">
        <f t="shared" si="9"/>
        <v>-1.3160001093693336</v>
      </c>
      <c r="AH13" s="39" t="str">
        <f t="shared" si="9"/>
        <v/>
      </c>
      <c r="AI13" s="44">
        <f t="shared" si="5"/>
        <v>2.1436884447327502</v>
      </c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</row>
    <row r="14" spans="1:55" ht="9.75" customHeight="1" x14ac:dyDescent="0.25">
      <c r="A14" s="23">
        <v>6</v>
      </c>
      <c r="B14" s="2">
        <f t="shared" si="2"/>
        <v>1.5361383961650856</v>
      </c>
      <c r="C14" s="23">
        <v>1</v>
      </c>
      <c r="D14" s="24">
        <v>26.285887974267201</v>
      </c>
      <c r="E14" s="42" t="s">
        <v>84</v>
      </c>
      <c r="F14" s="5">
        <v>3.6600000000000001E-4</v>
      </c>
      <c r="G14" s="5"/>
      <c r="H14" s="5">
        <v>1.1399999999999999E-5</v>
      </c>
      <c r="I14" s="5">
        <v>0.96740000000000004</v>
      </c>
      <c r="J14" s="5">
        <v>0.69340000000000002</v>
      </c>
      <c r="K14" s="5">
        <v>0.6361</v>
      </c>
      <c r="L14" s="5"/>
      <c r="M14" s="5">
        <v>9.6600000000000007E-6</v>
      </c>
      <c r="N14" s="5">
        <v>4.6199999999999998E-2</v>
      </c>
      <c r="O14" s="5">
        <v>3.1760000000000002</v>
      </c>
      <c r="P14" s="5">
        <v>2.3E-3</v>
      </c>
      <c r="Q14" s="5">
        <v>0.88039999999999996</v>
      </c>
      <c r="R14" s="5">
        <v>2.79E-6</v>
      </c>
      <c r="S14" s="5">
        <v>1.8E-5</v>
      </c>
      <c r="T14" s="43" t="str">
        <f t="shared" si="3"/>
        <v>NOM06</v>
      </c>
      <c r="U14" s="39">
        <f t="shared" ref="U14:AH14" si="10">IF(OR(F14=0,F14&lt;0.00000000001,F14&gt;100000),"",IF((IF(F14&gt;F$5,ABS(LOG(((F$5/SUM($F14:$S14))/(F$4/SUM($F$4:$S$4)))*4+2,2)),ABS(LOG(((F14/SUM($F14:$S14))/(F$4/SUM($F$4:$S$4)))*4+2,2)))-3)&gt;8,(IF(F14&gt;F$5,ABS(LOG(((F$5/SUM($F14:$S14))/(F$4/SUM($F$4:$S$4)))*4+2,2)),ABS(LOG(((F14/SUM($F14:$S14))/(F$4/SUM($F$4:$S$4)))*4+2,2)))-3)/7,IF(F14&gt;F$5,ABS(LOG(((F$5/SUM($F14:$S14))/(F$4/SUM($F$4:$S$4)))*4+2,2)),ABS(LOG(((F14/SUM($F14:$S14))/(F$4/SUM($F$4:$S$4)))*4+2,2)))-3))</f>
        <v>-0.87343004194861562</v>
      </c>
      <c r="V14" s="39" t="str">
        <f t="shared" si="10"/>
        <v/>
      </c>
      <c r="W14" s="39">
        <f t="shared" si="10"/>
        <v>-1.9823822448200246</v>
      </c>
      <c r="X14" s="39">
        <f t="shared" si="10"/>
        <v>5.7109903659149115</v>
      </c>
      <c r="Y14" s="39">
        <f t="shared" si="10"/>
        <v>4.5315244970922439</v>
      </c>
      <c r="Z14" s="39">
        <f t="shared" si="10"/>
        <v>1.6775986916133652</v>
      </c>
      <c r="AA14" s="39" t="str">
        <f t="shared" si="10"/>
        <v/>
      </c>
      <c r="AB14" s="39">
        <f t="shared" si="10"/>
        <v>-1.9887785635375341</v>
      </c>
      <c r="AC14" s="39">
        <f t="shared" si="10"/>
        <v>-1.6533576394988265</v>
      </c>
      <c r="AD14" s="39">
        <f t="shared" si="10"/>
        <v>3.9826799205237844</v>
      </c>
      <c r="AE14" s="39">
        <f t="shared" si="10"/>
        <v>-1.896514380514297</v>
      </c>
      <c r="AF14" s="39">
        <f t="shared" si="10"/>
        <v>-1.3445828488877003</v>
      </c>
      <c r="AG14" s="39">
        <f t="shared" si="10"/>
        <v>-1.9999566191729028</v>
      </c>
      <c r="AH14" s="39">
        <f t="shared" si="10"/>
        <v>-1.9999800086733857</v>
      </c>
      <c r="AI14" s="44">
        <f t="shared" si="5"/>
        <v>2.0285887974267203</v>
      </c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</row>
    <row r="15" spans="1:55" ht="9.75" customHeight="1" x14ac:dyDescent="0.25">
      <c r="A15" s="23">
        <v>7</v>
      </c>
      <c r="B15" s="2">
        <f t="shared" si="2"/>
        <v>1.7287254783852335</v>
      </c>
      <c r="C15" s="23">
        <v>1</v>
      </c>
      <c r="D15" s="24">
        <v>28.619793694795302</v>
      </c>
      <c r="E15" s="42" t="s">
        <v>85</v>
      </c>
      <c r="F15" s="5">
        <v>1.4570000000000001</v>
      </c>
      <c r="G15" s="5"/>
      <c r="H15" s="5">
        <v>0.12720000000000001</v>
      </c>
      <c r="I15" s="5">
        <v>7.6639999999999997</v>
      </c>
      <c r="J15" s="5">
        <v>19.61</v>
      </c>
      <c r="K15" s="5">
        <v>15.39</v>
      </c>
      <c r="L15" s="5"/>
      <c r="M15" s="5">
        <v>0.02</v>
      </c>
      <c r="N15" s="5">
        <v>0.02</v>
      </c>
      <c r="O15" s="5">
        <v>8.0799999999999997E-2</v>
      </c>
      <c r="P15" s="5">
        <v>2.8000000000000001E-2</v>
      </c>
      <c r="Q15" s="5">
        <v>61.53</v>
      </c>
      <c r="R15" s="5">
        <v>23.19</v>
      </c>
      <c r="S15" s="5">
        <v>0.02</v>
      </c>
      <c r="T15" s="43" t="str">
        <f t="shared" si="3"/>
        <v>NOM07</v>
      </c>
      <c r="U15" s="39">
        <f t="shared" ref="U15:AH15" si="11">IF(OR(F15=0,F15&lt;0.00000000001,F15&gt;100000),"",IF((IF(F15&gt;F$5,ABS(LOG(((F$5/SUM($F15:$S15))/(F$4/SUM($F$4:$S$4)))*4+2,2)),ABS(LOG(((F15/SUM($F15:$S15))/(F$4/SUM($F$4:$S$4)))*4+2,2)))-3)&gt;8,(IF(F15&gt;F$5,ABS(LOG(((F$5/SUM($F15:$S15))/(F$4/SUM($F$4:$S$4)))*4+2,2)),ABS(LOG(((F15/SUM($F15:$S15))/(F$4/SUM($F$4:$S$4)))*4+2,2)))-3)/7,IF(F15&gt;F$5,ABS(LOG(((F$5/SUM($F15:$S15))/(F$4/SUM($F$4:$S$4)))*4+2,2)),ABS(LOG(((F15/SUM($F15:$S15))/(F$4/SUM($F$4:$S$4)))*4+2,2)))-3))</f>
        <v>5.8737703022464967</v>
      </c>
      <c r="V15" s="39" t="str">
        <f t="shared" si="11"/>
        <v/>
      </c>
      <c r="W15" s="39">
        <f t="shared" si="11"/>
        <v>0.96284538603962311</v>
      </c>
      <c r="X15" s="39">
        <f t="shared" si="11"/>
        <v>4.3733208124405065</v>
      </c>
      <c r="Y15" s="39">
        <f t="shared" si="11"/>
        <v>5.0146140624090929</v>
      </c>
      <c r="Z15" s="39">
        <f t="shared" si="11"/>
        <v>1.6262334476380464</v>
      </c>
      <c r="AA15" s="39" t="str">
        <f t="shared" si="11"/>
        <v/>
      </c>
      <c r="AB15" s="39">
        <f t="shared" si="11"/>
        <v>-1.1508125449021793</v>
      </c>
      <c r="AC15" s="39">
        <f t="shared" si="11"/>
        <v>-1.9916149606280915</v>
      </c>
      <c r="AD15" s="39">
        <f t="shared" si="11"/>
        <v>-1.8909777630948192</v>
      </c>
      <c r="AE15" s="39">
        <f t="shared" si="11"/>
        <v>-1.936658293674592</v>
      </c>
      <c r="AF15" s="39">
        <f t="shared" si="11"/>
        <v>-0.41862811052759596</v>
      </c>
      <c r="AG15" s="39">
        <f t="shared" si="11"/>
        <v>-0.1235832229558067</v>
      </c>
      <c r="AH15" s="39">
        <f t="shared" si="11"/>
        <v>-1.9988991820804087</v>
      </c>
      <c r="AI15" s="44">
        <f t="shared" si="5"/>
        <v>2.2619793694795303</v>
      </c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ht="9.75" customHeight="1" x14ac:dyDescent="0.25">
      <c r="A16" s="23">
        <v>8</v>
      </c>
      <c r="B16" s="2">
        <f t="shared" si="2"/>
        <v>1.5231621771278021</v>
      </c>
      <c r="C16" s="23">
        <v>1</v>
      </c>
      <c r="D16" s="24">
        <v>24.767895365995798</v>
      </c>
      <c r="E16" s="42" t="s">
        <v>86</v>
      </c>
      <c r="F16" s="5"/>
      <c r="G16" s="5"/>
      <c r="H16" s="5">
        <v>8.3100000000000003E-4</v>
      </c>
      <c r="I16" s="5">
        <v>0.47810000000000002</v>
      </c>
      <c r="J16" s="5">
        <v>0.72640000000000005</v>
      </c>
      <c r="K16" s="5">
        <v>0.20860000000000001</v>
      </c>
      <c r="L16" s="5">
        <v>6.7299999999999999E-2</v>
      </c>
      <c r="M16" s="5">
        <v>8.3100000000000003E-4</v>
      </c>
      <c r="N16" s="5">
        <v>8.3100000000000003E-4</v>
      </c>
      <c r="O16" s="5">
        <v>8.3100000000000003E-4</v>
      </c>
      <c r="P16" s="5"/>
      <c r="Q16" s="5">
        <v>2.71</v>
      </c>
      <c r="R16" s="5">
        <v>0.49730000000000002</v>
      </c>
      <c r="S16" s="5">
        <v>0.31969999999999998</v>
      </c>
      <c r="T16" s="43" t="str">
        <f t="shared" si="3"/>
        <v>NOM08</v>
      </c>
      <c r="U16" s="39" t="str">
        <f t="shared" ref="U16:AH16" si="12">IF(OR(F16=0,F16&lt;0.00000000001,F16&gt;100000),"",IF((IF(F16&gt;F$5,ABS(LOG(((F$5/SUM($F16:$S16))/(F$4/SUM($F$4:$S$4)))*4+2,2)),ABS(LOG(((F16/SUM($F16:$S16))/(F$4/SUM($F$4:$S$4)))*4+2,2)))-3)&gt;8,(IF(F16&gt;F$5,ABS(LOG(((F$5/SUM($F16:$S16))/(F$4/SUM($F$4:$S$4)))*4+2,2)),ABS(LOG(((F16/SUM($F16:$S16))/(F$4/SUM($F$4:$S$4)))*4+2,2)))-3)/7,IF(F16&gt;F$5,ABS(LOG(((F$5/SUM($F16:$S16))/(F$4/SUM($F$4:$S$4)))*4+2,2)),ABS(LOG(((F16/SUM($F16:$S16))/(F$4/SUM($F$4:$S$4)))*4+2,2)))-3))</f>
        <v/>
      </c>
      <c r="V16" s="39" t="str">
        <f t="shared" si="12"/>
        <v/>
      </c>
      <c r="W16" s="39">
        <f t="shared" si="12"/>
        <v>-0.89946482321076049</v>
      </c>
      <c r="X16" s="39">
        <f t="shared" si="12"/>
        <v>5.0517537786652955</v>
      </c>
      <c r="Y16" s="39">
        <f t="shared" si="12"/>
        <v>4.9482018881459142</v>
      </c>
      <c r="Z16" s="39">
        <f t="shared" si="12"/>
        <v>1.4983389619930656</v>
      </c>
      <c r="AA16" s="39">
        <f t="shared" si="12"/>
        <v>1.360035148403191</v>
      </c>
      <c r="AB16" s="39">
        <f t="shared" si="12"/>
        <v>-1.1060502088641742</v>
      </c>
      <c r="AC16" s="39">
        <f t="shared" si="12"/>
        <v>-1.9910228777598828</v>
      </c>
      <c r="AD16" s="39">
        <f t="shared" si="12"/>
        <v>-1.970290971631907</v>
      </c>
      <c r="AE16" s="39" t="str">
        <f t="shared" si="12"/>
        <v/>
      </c>
      <c r="AF16" s="39">
        <f t="shared" si="12"/>
        <v>-0.29436380867377565</v>
      </c>
      <c r="AG16" s="39">
        <f t="shared" si="12"/>
        <v>0.97235289967192307</v>
      </c>
      <c r="AH16" s="39">
        <f t="shared" si="12"/>
        <v>-1.6055265063762967</v>
      </c>
      <c r="AI16" s="44">
        <f t="shared" si="5"/>
        <v>1</v>
      </c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ht="9.75" customHeight="1" x14ac:dyDescent="0.25">
      <c r="A17" s="23">
        <v>9</v>
      </c>
      <c r="B17" s="2">
        <f t="shared" si="2"/>
        <v>0.77430983280305155</v>
      </c>
      <c r="C17" s="23">
        <v>1</v>
      </c>
      <c r="D17" s="24">
        <v>35.545823633263602</v>
      </c>
      <c r="E17" s="42" t="s">
        <v>87</v>
      </c>
      <c r="F17" s="5">
        <v>44.81</v>
      </c>
      <c r="G17" s="5"/>
      <c r="H17" s="5">
        <v>5.0900000000000001E-2</v>
      </c>
      <c r="I17" s="5">
        <v>51.12</v>
      </c>
      <c r="J17" s="5">
        <v>574.20000000000005</v>
      </c>
      <c r="K17" s="5"/>
      <c r="L17" s="5">
        <v>19.75</v>
      </c>
      <c r="M17" s="5"/>
      <c r="N17" s="5">
        <v>0.27479999999999999</v>
      </c>
      <c r="O17" s="5">
        <v>0.16900000000000001</v>
      </c>
      <c r="P17" s="5"/>
      <c r="Q17" s="5">
        <v>1161</v>
      </c>
      <c r="R17" s="5"/>
      <c r="S17" s="5">
        <v>212.9</v>
      </c>
      <c r="T17" s="43" t="str">
        <f t="shared" si="3"/>
        <v>NOM09</v>
      </c>
      <c r="U17" s="39">
        <f t="shared" ref="U17:AH17" si="13">IF(OR(F17=0,F17&lt;0.00000000001,F17&gt;100000),"",IF((IF(F17&gt;F$5,ABS(LOG(((F$5/SUM($F17:$S17))/(F$4/SUM($F$4:$S$4)))*4+2,2)),ABS(LOG(((F17/SUM($F17:$S17))/(F$4/SUM($F$4:$S$4)))*4+2,2)))-3)&gt;8,(IF(F17&gt;F$5,ABS(LOG(((F$5/SUM($F17:$S17))/(F$4/SUM($F$4:$S$4)))*4+2,2)),ABS(LOG(((F17/SUM($F17:$S17))/(F$4/SUM($F$4:$S$4)))*4+2,2)))-3)/7,IF(F17&gt;F$5,ABS(LOG(((F$5/SUM($F17:$S17))/(F$4/SUM($F$4:$S$4)))*4+2,2)),ABS(LOG(((F17/SUM($F17:$S17))/(F$4/SUM($F$4:$S$4)))*4+2,2)))-3))</f>
        <v>3.6763633987408806</v>
      </c>
      <c r="V17" s="39" t="str">
        <f t="shared" si="13"/>
        <v/>
      </c>
      <c r="W17" s="39">
        <f t="shared" si="13"/>
        <v>-1.7733192131582154</v>
      </c>
      <c r="X17" s="39">
        <f t="shared" si="13"/>
        <v>1.8450390894818627</v>
      </c>
      <c r="Y17" s="39">
        <f t="shared" si="13"/>
        <v>1.1994406932003949</v>
      </c>
      <c r="Z17" s="39" t="str">
        <f t="shared" si="13"/>
        <v/>
      </c>
      <c r="AA17" s="39">
        <f t="shared" si="13"/>
        <v>0.9263198116957474</v>
      </c>
      <c r="AB17" s="39" t="str">
        <f t="shared" si="13"/>
        <v/>
      </c>
      <c r="AC17" s="39">
        <f t="shared" si="13"/>
        <v>-1.9927897218202979</v>
      </c>
      <c r="AD17" s="39">
        <f t="shared" si="13"/>
        <v>-1.9852576872475944</v>
      </c>
      <c r="AE17" s="39" t="str">
        <f t="shared" si="13"/>
        <v/>
      </c>
      <c r="AF17" s="39">
        <f t="shared" si="13"/>
        <v>-1.7338629974330544</v>
      </c>
      <c r="AG17" s="39" t="str">
        <f t="shared" si="13"/>
        <v/>
      </c>
      <c r="AH17" s="39">
        <f t="shared" si="13"/>
        <v>-1.4070593388392121</v>
      </c>
      <c r="AI17" s="44">
        <f t="shared" si="5"/>
        <v>2.1776368020960932</v>
      </c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ht="9.75" customHeight="1" x14ac:dyDescent="0.25">
      <c r="A18" s="23">
        <v>10</v>
      </c>
      <c r="B18" s="2">
        <f t="shared" si="2"/>
        <v>2.7401695654576308</v>
      </c>
      <c r="C18" s="23">
        <v>1</v>
      </c>
      <c r="D18" s="24">
        <v>28.858390086637101</v>
      </c>
      <c r="E18" s="42" t="s">
        <v>88</v>
      </c>
      <c r="F18" s="5">
        <v>9.4E-2</v>
      </c>
      <c r="G18" s="5"/>
      <c r="H18" s="5">
        <v>0.43059999999999998</v>
      </c>
      <c r="I18" s="5">
        <v>3.7759999999999998</v>
      </c>
      <c r="J18" s="5">
        <v>26.96</v>
      </c>
      <c r="K18" s="5">
        <v>5.218</v>
      </c>
      <c r="L18" s="5"/>
      <c r="M18" s="5"/>
      <c r="N18" s="5">
        <v>3.15E-3</v>
      </c>
      <c r="O18" s="5">
        <v>0.1212</v>
      </c>
      <c r="P18" s="5"/>
      <c r="Q18" s="5">
        <v>134.80000000000001</v>
      </c>
      <c r="R18" s="5">
        <v>1.8879999999999999</v>
      </c>
      <c r="S18" s="5">
        <v>9.8299999999999993E-4</v>
      </c>
      <c r="T18" s="43" t="str">
        <f t="shared" si="3"/>
        <v>NOM10</v>
      </c>
      <c r="U18" s="39">
        <f t="shared" ref="U18:AH18" si="14">IF(OR(F18=0,F18&lt;0.00000000001,F18&gt;100000),"",IF((IF(F18&gt;F$5,ABS(LOG(((F$5/SUM($F18:$S18))/(F$4/SUM($F$4:$S$4)))*4+2,2)),ABS(LOG(((F18/SUM($F18:$S18))/(F$4/SUM($F$4:$S$4)))*4+2,2)))-3)&gt;8,(IF(F18&gt;F$5,ABS(LOG(((F$5/SUM($F18:$S18))/(F$4/SUM($F$4:$S$4)))*4+2,2)),ABS(LOG(((F18/SUM($F18:$S18))/(F$4/SUM($F$4:$S$4)))*4+2,2)))-3)/7,IF(F18&gt;F$5,ABS(LOG(((F$5/SUM($F18:$S18))/(F$4/SUM($F$4:$S$4)))*4+2,2)),ABS(LOG(((F18/SUM($F18:$S18))/(F$4/SUM($F$4:$S$4)))*4+2,2)))-3))</f>
        <v>1.6121889749136793</v>
      </c>
      <c r="V18" s="39" t="str">
        <f t="shared" si="14"/>
        <v/>
      </c>
      <c r="W18" s="39">
        <f t="shared" si="14"/>
        <v>2.1815427607930644</v>
      </c>
      <c r="X18" s="39">
        <f t="shared" si="14"/>
        <v>2.9574683143060581</v>
      </c>
      <c r="Y18" s="39">
        <f t="shared" si="14"/>
        <v>4.6222411839412452</v>
      </c>
      <c r="Z18" s="39">
        <f t="shared" si="14"/>
        <v>1.4315875790094079</v>
      </c>
      <c r="AA18" s="39" t="str">
        <f t="shared" si="14"/>
        <v/>
      </c>
      <c r="AB18" s="39" t="str">
        <f t="shared" si="14"/>
        <v/>
      </c>
      <c r="AC18" s="39">
        <f t="shared" si="14"/>
        <v>-1.9990133294185572</v>
      </c>
      <c r="AD18" s="39">
        <f t="shared" si="14"/>
        <v>-1.8786610642075492</v>
      </c>
      <c r="AE18" s="39" t="str">
        <f t="shared" si="14"/>
        <v/>
      </c>
      <c r="AF18" s="39">
        <f t="shared" si="14"/>
        <v>-0.22887556866865877</v>
      </c>
      <c r="AG18" s="39">
        <f t="shared" si="14"/>
        <v>-1.1911951320670273</v>
      </c>
      <c r="AH18" s="39">
        <f t="shared" si="14"/>
        <v>-1.9999596660283301</v>
      </c>
      <c r="AI18" s="44">
        <f t="shared" si="5"/>
        <v>2.2858390086637099</v>
      </c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ht="9.75" customHeight="1" x14ac:dyDescent="0.25">
      <c r="A19" s="23">
        <v>11</v>
      </c>
      <c r="B19" s="2">
        <f t="shared" si="2"/>
        <v>1.3865410651496473</v>
      </c>
      <c r="C19" s="23">
        <v>1</v>
      </c>
      <c r="D19" s="24">
        <v>26.5842120196106</v>
      </c>
      <c r="E19" s="42" t="s">
        <v>89</v>
      </c>
      <c r="F19" s="5">
        <v>0.77810000000000001</v>
      </c>
      <c r="G19" s="5">
        <v>1.6899999999999999E-4</v>
      </c>
      <c r="H19" s="5">
        <v>4.8700000000000002E-4</v>
      </c>
      <c r="I19" s="5">
        <v>6.28E-3</v>
      </c>
      <c r="J19" s="5">
        <v>0.75049999999999994</v>
      </c>
      <c r="K19" s="5">
        <v>0.55659999999999998</v>
      </c>
      <c r="L19" s="5">
        <v>0.71589999999999998</v>
      </c>
      <c r="M19" s="5">
        <v>5.9800000000000001E-4</v>
      </c>
      <c r="N19" s="5">
        <v>7.2999999999999996E-4</v>
      </c>
      <c r="O19" s="5">
        <v>2.8600000000000001E-6</v>
      </c>
      <c r="P19" s="5">
        <v>0.59509999999999996</v>
      </c>
      <c r="Q19" s="5">
        <v>0.5655</v>
      </c>
      <c r="R19" s="5">
        <v>1.0740000000000001</v>
      </c>
      <c r="S19" s="5">
        <v>7.5800000000000006E-2</v>
      </c>
      <c r="T19" s="43" t="str">
        <f t="shared" si="3"/>
        <v>NOM11</v>
      </c>
      <c r="U19" s="39">
        <f t="shared" ref="U19:AH19" si="15">IF(OR(F19=0,F19&lt;0.00000000001,F19&gt;100000),"",IF((IF(F19&gt;F$5,ABS(LOG(((F$5/SUM($F19:$S19))/(F$4/SUM($F$4:$S$4)))*4+2,2)),ABS(LOG(((F19/SUM($F19:$S19))/(F$4/SUM($F$4:$S$4)))*4+2,2)))-3)&gt;8,(IF(F19&gt;F$5,ABS(LOG(((F$5/SUM($F19:$S19))/(F$4/SUM($F$4:$S$4)))*4+2,2)),ABS(LOG(((F19/SUM($F19:$S19))/(F$4/SUM($F$4:$S$4)))*4+2,2)))-3)/7,IF(F19&gt;F$5,ABS(LOG(((F$5/SUM($F19:$S19))/(F$4/SUM($F$4:$S$4)))*4+2,2)),ABS(LOG(((F19/SUM($F19:$S19))/(F$4/SUM($F$4:$S$4)))*4+2,2)))-3))</f>
        <v>1.3742531328149901</v>
      </c>
      <c r="V19" s="39">
        <f t="shared" si="15"/>
        <v>-1.8742073712301821</v>
      </c>
      <c r="W19" s="39">
        <f t="shared" si="15"/>
        <v>-1.2719941906084109</v>
      </c>
      <c r="X19" s="39">
        <f t="shared" si="15"/>
        <v>-0.57091549466424496</v>
      </c>
      <c r="Y19" s="39">
        <f t="shared" si="15"/>
        <v>4.9641016252935257</v>
      </c>
      <c r="Z19" s="39">
        <f t="shared" si="15"/>
        <v>1.6961515007825914</v>
      </c>
      <c r="AA19" s="39">
        <f t="shared" si="15"/>
        <v>4.6071009827213532</v>
      </c>
      <c r="AB19" s="39">
        <f t="shared" si="15"/>
        <v>-1.3179120762731185</v>
      </c>
      <c r="AC19" s="39">
        <f t="shared" si="15"/>
        <v>-1.9922785572993351</v>
      </c>
      <c r="AD19" s="39">
        <f t="shared" si="15"/>
        <v>-1.9998988961101647</v>
      </c>
      <c r="AE19" s="39">
        <f t="shared" si="15"/>
        <v>2.6473807908774996</v>
      </c>
      <c r="AF19" s="39">
        <f t="shared" si="15"/>
        <v>-1.4521491761203635</v>
      </c>
      <c r="AG19" s="39">
        <f t="shared" si="15"/>
        <v>1.9518392559616027</v>
      </c>
      <c r="AH19" s="39">
        <f t="shared" si="15"/>
        <v>-1.8983898035931468</v>
      </c>
      <c r="AI19" s="44">
        <f t="shared" si="5"/>
        <v>2.0584212019610599</v>
      </c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ht="9.75" customHeight="1" x14ac:dyDescent="0.25">
      <c r="A20" s="23">
        <v>12</v>
      </c>
      <c r="B20" s="2">
        <f t="shared" si="2"/>
        <v>0.90336482817711883</v>
      </c>
      <c r="C20" s="23">
        <v>1</v>
      </c>
      <c r="D20" s="24">
        <v>27.039336189799901</v>
      </c>
      <c r="E20" s="42" t="s">
        <v>90</v>
      </c>
      <c r="F20" s="5"/>
      <c r="G20" s="5"/>
      <c r="H20" s="5">
        <v>3.0400000000000002E-4</v>
      </c>
      <c r="I20" s="5">
        <v>2.7900000000000001E-2</v>
      </c>
      <c r="J20" s="5">
        <v>5.0209999999999999</v>
      </c>
      <c r="K20" s="5">
        <v>3.7100000000000002E-3</v>
      </c>
      <c r="L20" s="5">
        <v>0.75790000000000002</v>
      </c>
      <c r="M20" s="5"/>
      <c r="N20" s="5">
        <v>8.9099999999999997E-4</v>
      </c>
      <c r="O20" s="5"/>
      <c r="P20" s="5">
        <v>3.9199999999999997E-6</v>
      </c>
      <c r="Q20" s="5">
        <v>30.03</v>
      </c>
      <c r="R20" s="5">
        <v>0.2392</v>
      </c>
      <c r="S20" s="5">
        <v>7.5899999999999995E-2</v>
      </c>
      <c r="T20" s="43" t="str">
        <f t="shared" si="3"/>
        <v>NOM12</v>
      </c>
      <c r="U20" s="39" t="str">
        <f t="shared" ref="U20:AH20" si="16">IF(OR(F20=0,F20&lt;0.00000000001,F20&gt;100000),"",IF((IF(F20&gt;F$5,ABS(LOG(((F$5/SUM($F20:$S20))/(F$4/SUM($F$4:$S$4)))*4+2,2)),ABS(LOG(((F20/SUM($F20:$S20))/(F$4/SUM($F$4:$S$4)))*4+2,2)))-3)&gt;8,(IF(F20&gt;F$5,ABS(LOG(((F$5/SUM($F20:$S20))/(F$4/SUM($F$4:$S$4)))*4+2,2)),ABS(LOG(((F20/SUM($F20:$S20))/(F$4/SUM($F$4:$S$4)))*4+2,2)))-3)/7,IF(F20&gt;F$5,ABS(LOG(((F$5/SUM($F20:$S20))/(F$4/SUM($F$4:$S$4)))*4+2,2)),ABS(LOG(((F20/SUM($F20:$S20))/(F$4/SUM($F$4:$S$4)))*4+2,2)))-3))</f>
        <v/>
      </c>
      <c r="V20" s="39" t="str">
        <f t="shared" si="16"/>
        <v/>
      </c>
      <c r="W20" s="39">
        <f t="shared" si="16"/>
        <v>-1.9186401776747353</v>
      </c>
      <c r="X20" s="39">
        <f t="shared" si="16"/>
        <v>-0.95394408064727942</v>
      </c>
      <c r="Y20" s="39">
        <f t="shared" si="16"/>
        <v>4.886677382730408</v>
      </c>
      <c r="Z20" s="39">
        <f t="shared" si="16"/>
        <v>1.922216287234753</v>
      </c>
      <c r="AA20" s="39">
        <f t="shared" si="16"/>
        <v>1.9508067902217174</v>
      </c>
      <c r="AB20" s="39" t="str">
        <f t="shared" si="16"/>
        <v/>
      </c>
      <c r="AC20" s="39">
        <f t="shared" si="16"/>
        <v>-1.9986625585510867</v>
      </c>
      <c r="AD20" s="39" t="str">
        <f t="shared" si="16"/>
        <v/>
      </c>
      <c r="AE20" s="39">
        <f t="shared" si="16"/>
        <v>-1.9999676225770819</v>
      </c>
      <c r="AF20" s="39">
        <f t="shared" si="16"/>
        <v>0.16132502569448981</v>
      </c>
      <c r="AG20" s="39">
        <f t="shared" si="16"/>
        <v>-1.4575092035416108</v>
      </c>
      <c r="AH20" s="39">
        <f t="shared" si="16"/>
        <v>-1.9851503384321321</v>
      </c>
      <c r="AI20" s="44">
        <f t="shared" si="5"/>
        <v>2.10393361897999</v>
      </c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ht="9.75" customHeight="1" x14ac:dyDescent="0.25">
      <c r="A21" s="23">
        <v>13</v>
      </c>
      <c r="B21" s="2">
        <f t="shared" si="2"/>
        <v>0.57427746274426172</v>
      </c>
      <c r="C21" s="23">
        <v>1</v>
      </c>
      <c r="D21" s="24">
        <v>22.783340364349801</v>
      </c>
      <c r="E21" s="42" t="s">
        <v>91</v>
      </c>
      <c r="F21" s="5"/>
      <c r="G21" s="5"/>
      <c r="H21" s="5">
        <v>6.0999999999999998E-7</v>
      </c>
      <c r="I21" s="5">
        <v>0.47120000000000001</v>
      </c>
      <c r="J21" s="5">
        <v>5.8599999999999999E-2</v>
      </c>
      <c r="K21" s="5"/>
      <c r="L21" s="5">
        <v>7.6499999999999999E-2</v>
      </c>
      <c r="M21" s="5"/>
      <c r="N21" s="5">
        <v>2.05E-7</v>
      </c>
      <c r="O21" s="5">
        <v>0.95209999999999995</v>
      </c>
      <c r="P21" s="5">
        <v>1.8699999999999999E-3</v>
      </c>
      <c r="Q21" s="5">
        <v>0.19750000000000001</v>
      </c>
      <c r="R21" s="5">
        <v>0.1014</v>
      </c>
      <c r="S21" s="5">
        <v>8.8099999999999998E-2</v>
      </c>
      <c r="T21" s="43" t="str">
        <f t="shared" si="3"/>
        <v>NOM13</v>
      </c>
      <c r="U21" s="39" t="str">
        <f t="shared" ref="U21:AH21" si="17">IF(OR(F21=0,F21&lt;0.00000000001,F21&gt;100000),"",IF((IF(F21&gt;F$5,ABS(LOG(((F$5/SUM($F21:$S21))/(F$4/SUM($F$4:$S$4)))*4+2,2)),ABS(LOG(((F21/SUM($F21:$S21))/(F$4/SUM($F$4:$S$4)))*4+2,2)))-3)&gt;8,(IF(F21&gt;F$5,ABS(LOG(((F$5/SUM($F21:$S21))/(F$4/SUM($F$4:$S$4)))*4+2,2)),ABS(LOG(((F21/SUM($F21:$S21))/(F$4/SUM($F$4:$S$4)))*4+2,2)))-3)/7,IF(F21&gt;F$5,ABS(LOG(((F$5/SUM($F21:$S21))/(F$4/SUM($F$4:$S$4)))*4+2,2)),ABS(LOG(((F21/SUM($F21:$S21))/(F$4/SUM($F$4:$S$4)))*4+2,2)))-3))</f>
        <v/>
      </c>
      <c r="V21" s="39" t="str">
        <f t="shared" si="17"/>
        <v/>
      </c>
      <c r="W21" s="39">
        <f t="shared" si="17"/>
        <v>-1.9968849540419797</v>
      </c>
      <c r="X21" s="39">
        <f t="shared" si="17"/>
        <v>6.3877451725027825</v>
      </c>
      <c r="Y21" s="39">
        <f t="shared" si="17"/>
        <v>2.7238982228338511</v>
      </c>
      <c r="Z21" s="39" t="str">
        <f t="shared" si="17"/>
        <v/>
      </c>
      <c r="AA21" s="39">
        <f t="shared" si="17"/>
        <v>2.8128864344025004</v>
      </c>
      <c r="AB21" s="39" t="str">
        <f t="shared" si="17"/>
        <v/>
      </c>
      <c r="AC21" s="39">
        <f t="shared" si="17"/>
        <v>-1.9999942836983984</v>
      </c>
      <c r="AD21" s="39">
        <f t="shared" si="17"/>
        <v>3.9621030309952214</v>
      </c>
      <c r="AE21" s="39">
        <f t="shared" si="17"/>
        <v>-1.7384225012195593</v>
      </c>
      <c r="AF21" s="39">
        <f t="shared" si="17"/>
        <v>-1.489906100473696</v>
      </c>
      <c r="AG21" s="39">
        <f t="shared" si="17"/>
        <v>0.19946216679386231</v>
      </c>
      <c r="AH21" s="39">
        <f t="shared" si="17"/>
        <v>-1.709592531703406</v>
      </c>
      <c r="AI21" s="44">
        <f t="shared" si="5"/>
        <v>1</v>
      </c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ht="9.75" customHeight="1" x14ac:dyDescent="0.25">
      <c r="A22" s="23">
        <v>14</v>
      </c>
      <c r="B22" s="2">
        <f t="shared" si="2"/>
        <v>1.40021608056906</v>
      </c>
      <c r="C22" s="23">
        <v>1</v>
      </c>
      <c r="D22" s="24">
        <v>24.565474275247102</v>
      </c>
      <c r="E22" s="42" t="s">
        <v>92</v>
      </c>
      <c r="F22" s="5"/>
      <c r="G22" s="5"/>
      <c r="H22" s="5"/>
      <c r="I22" s="5">
        <v>0.81759999999999999</v>
      </c>
      <c r="J22" s="5">
        <v>0.51819999999999999</v>
      </c>
      <c r="K22" s="5">
        <v>0.27189999999999998</v>
      </c>
      <c r="L22" s="5">
        <v>1.01E-4</v>
      </c>
      <c r="M22" s="5"/>
      <c r="N22" s="5">
        <v>7.06E-7</v>
      </c>
      <c r="O22" s="5">
        <v>1.171</v>
      </c>
      <c r="P22" s="5">
        <v>4.9899999999999999E-4</v>
      </c>
      <c r="Q22" s="5">
        <v>0.40920000000000001</v>
      </c>
      <c r="R22" s="5">
        <v>0.2016</v>
      </c>
      <c r="S22" s="5">
        <v>0.42380000000000001</v>
      </c>
      <c r="T22" s="43" t="str">
        <f t="shared" si="3"/>
        <v>NOM14</v>
      </c>
      <c r="U22" s="39" t="str">
        <f t="shared" ref="U22:AH22" si="18">IF(OR(F22=0,F22&lt;0.00000000001,F22&gt;100000),"",IF((IF(F22&gt;F$5,ABS(LOG(((F$5/SUM($F22:$S22))/(F$4/SUM($F$4:$S$4)))*4+2,2)),ABS(LOG(((F22/SUM($F22:$S22))/(F$4/SUM($F$4:$S$4)))*4+2,2)))-3)&gt;8,(IF(F22&gt;F$5,ABS(LOG(((F$5/SUM($F22:$S22))/(F$4/SUM($F$4:$S$4)))*4+2,2)),ABS(LOG(((F22/SUM($F22:$S22))/(F$4/SUM($F$4:$S$4)))*4+2,2)))-3)/7,IF(F22&gt;F$5,ABS(LOG(((F$5/SUM($F22:$S22))/(F$4/SUM($F$4:$S$4)))*4+2,2)),ABS(LOG(((F22/SUM($F22:$S22))/(F$4/SUM($F$4:$S$4)))*4+2,2)))-3))</f>
        <v/>
      </c>
      <c r="V22" s="39" t="str">
        <f t="shared" si="18"/>
        <v/>
      </c>
      <c r="W22" s="39" t="str">
        <f t="shared" si="18"/>
        <v/>
      </c>
      <c r="X22" s="39">
        <f t="shared" si="18"/>
        <v>6.2135416600481275</v>
      </c>
      <c r="Y22" s="39">
        <f t="shared" si="18"/>
        <v>4.8554805545075519</v>
      </c>
      <c r="Z22" s="39">
        <f t="shared" si="18"/>
        <v>1.6091938648523374</v>
      </c>
      <c r="AA22" s="39">
        <f t="shared" si="18"/>
        <v>-1.9738757464610068</v>
      </c>
      <c r="AB22" s="39" t="str">
        <f t="shared" si="18"/>
        <v/>
      </c>
      <c r="AC22" s="39">
        <f t="shared" si="18"/>
        <v>-1.9999899486986217</v>
      </c>
      <c r="AD22" s="39">
        <f t="shared" si="18"/>
        <v>3.3044913874068369</v>
      </c>
      <c r="AE22" s="39">
        <f t="shared" si="18"/>
        <v>-1.9614462609678702</v>
      </c>
      <c r="AF22" s="39">
        <f t="shared" si="18"/>
        <v>-1.4652600474979907</v>
      </c>
      <c r="AG22" s="39">
        <f t="shared" si="18"/>
        <v>0.21640592894361621</v>
      </c>
      <c r="AH22" s="39">
        <f t="shared" si="18"/>
        <v>-1.3699021508960301</v>
      </c>
      <c r="AI22" s="44">
        <f t="shared" si="5"/>
        <v>1</v>
      </c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ht="9.75" customHeight="1" x14ac:dyDescent="0.25">
      <c r="A23" s="23">
        <v>15</v>
      </c>
      <c r="B23" s="2">
        <f t="shared" si="2"/>
        <v>1.397907317617918</v>
      </c>
      <c r="C23" s="23">
        <v>1</v>
      </c>
      <c r="D23" s="24">
        <v>26.374127349606798</v>
      </c>
      <c r="E23" s="42" t="s">
        <v>93</v>
      </c>
      <c r="F23" s="5">
        <v>3.4300000000000002E-6</v>
      </c>
      <c r="G23" s="5"/>
      <c r="H23" s="5"/>
      <c r="I23" s="5">
        <v>0.37880000000000003</v>
      </c>
      <c r="J23" s="5">
        <v>6.0750000000000002</v>
      </c>
      <c r="K23" s="5">
        <v>3.4000000000000002E-2</v>
      </c>
      <c r="L23" s="5"/>
      <c r="M23" s="5"/>
      <c r="N23" s="5">
        <v>3.1300000000000002E-4</v>
      </c>
      <c r="O23" s="5">
        <v>4.7190000000000003</v>
      </c>
      <c r="P23" s="5">
        <v>1.9699999999999999E-4</v>
      </c>
      <c r="Q23" s="5">
        <v>1.4990000000000001</v>
      </c>
      <c r="R23" s="5"/>
      <c r="S23" s="5">
        <v>7.5500000000000006E-5</v>
      </c>
      <c r="T23" s="43" t="str">
        <f t="shared" si="3"/>
        <v>NOM15</v>
      </c>
      <c r="U23" s="39">
        <f t="shared" ref="U23:AH23" si="19">IF(OR(F23=0,F23&lt;0.00000000001,F23&gt;100000),"",IF((IF(F23&gt;F$5,ABS(LOG(((F$5/SUM($F23:$S23))/(F$4/SUM($F$4:$S$4)))*4+2,2)),ABS(LOG(((F23/SUM($F23:$S23))/(F$4/SUM($F$4:$S$4)))*4+2,2)))-3)&gt;8,(IF(F23&gt;F$5,ABS(LOG(((F$5/SUM($F23:$S23))/(F$4/SUM($F$4:$S$4)))*4+2,2)),ABS(LOG(((F23/SUM($F23:$S23))/(F$4/SUM($F$4:$S$4)))*4+2,2)))-3)/7,IF(F23&gt;F$5,ABS(LOG(((F$5/SUM($F23:$S23))/(F$4/SUM($F$4:$S$4)))*4+2,2)),ABS(LOG(((F23/SUM($F23:$S23))/(F$4/SUM($F$4:$S$4)))*4+2,2)))-3))</f>
        <v>-1.991960804822918</v>
      </c>
      <c r="V23" s="39" t="str">
        <f t="shared" si="19"/>
        <v/>
      </c>
      <c r="W23" s="39" t="str">
        <f t="shared" si="19"/>
        <v/>
      </c>
      <c r="X23" s="39">
        <f t="shared" si="19"/>
        <v>3.3971473339875509</v>
      </c>
      <c r="Y23" s="39">
        <f t="shared" si="19"/>
        <v>6.6616234389261226</v>
      </c>
      <c r="Z23" s="39">
        <f t="shared" si="19"/>
        <v>6.5324276475090191</v>
      </c>
      <c r="AA23" s="39" t="str">
        <f t="shared" si="19"/>
        <v/>
      </c>
      <c r="AB23" s="39" t="str">
        <f t="shared" si="19"/>
        <v/>
      </c>
      <c r="AC23" s="39">
        <f t="shared" si="19"/>
        <v>-1.9986630676315855</v>
      </c>
      <c r="AD23" s="39">
        <f t="shared" si="19"/>
        <v>3.5726770160450778</v>
      </c>
      <c r="AE23" s="39">
        <f t="shared" si="19"/>
        <v>-1.9953772619677832</v>
      </c>
      <c r="AF23" s="39">
        <f t="shared" si="19"/>
        <v>-1.4214522802546778</v>
      </c>
      <c r="AG23" s="39" t="str">
        <f t="shared" si="19"/>
        <v/>
      </c>
      <c r="AH23" s="39">
        <f t="shared" si="19"/>
        <v>-1.9999577506204034</v>
      </c>
      <c r="AI23" s="44">
        <f t="shared" si="5"/>
        <v>2.0374127349606796</v>
      </c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ht="9.75" customHeight="1" x14ac:dyDescent="0.25">
      <c r="A24" s="23">
        <v>16</v>
      </c>
      <c r="B24" s="2">
        <f t="shared" si="2"/>
        <v>1.626263699326979</v>
      </c>
      <c r="C24" s="23">
        <v>1</v>
      </c>
      <c r="D24" s="24">
        <v>26.256870606523101</v>
      </c>
      <c r="E24" s="42" t="s">
        <v>94</v>
      </c>
      <c r="F24" s="5">
        <v>1.37E-4</v>
      </c>
      <c r="G24" s="5">
        <v>0.4219</v>
      </c>
      <c r="H24" s="5">
        <v>1.3799999999999999E-3</v>
      </c>
      <c r="I24" s="5">
        <v>1.1299999999999999</v>
      </c>
      <c r="J24" s="5">
        <v>5.0699999999999999E-5</v>
      </c>
      <c r="K24" s="5">
        <v>0.6865</v>
      </c>
      <c r="L24" s="5">
        <v>2.2800000000000002E-6</v>
      </c>
      <c r="M24" s="5">
        <v>5.21E-2</v>
      </c>
      <c r="N24" s="5"/>
      <c r="O24" s="5">
        <v>0.77810000000000001</v>
      </c>
      <c r="P24" s="5">
        <v>2.2800000000000002E-6</v>
      </c>
      <c r="Q24" s="5">
        <v>0.69450000000000001</v>
      </c>
      <c r="R24" s="5"/>
      <c r="S24" s="5">
        <v>1.1299999999999999E-2</v>
      </c>
      <c r="T24" s="43" t="str">
        <f t="shared" si="3"/>
        <v>NOM16</v>
      </c>
      <c r="U24" s="39">
        <f t="shared" ref="U24:AH24" si="20">IF(OR(F24=0,F24&lt;0.00000000001,F24&gt;100000),"",IF((IF(F24&gt;F$5,ABS(LOG(((F$5/SUM($F24:$S24))/(F$4/SUM($F$4:$S$4)))*4+2,2)),ABS(LOG(((F24/SUM($F24:$S24))/(F$4/SUM($F$4:$S$4)))*4+2,2)))-3)&gt;8,(IF(F24&gt;F$5,ABS(LOG(((F$5/SUM($F24:$S24))/(F$4/SUM($F$4:$S$4)))*4+2,2)),ABS(LOG(((F24/SUM($F24:$S24))/(F$4/SUM($F$4:$S$4)))*4+2,2)))-3)/7,IF(F24&gt;F$5,ABS(LOG(((F$5/SUM($F24:$S24))/(F$4/SUM($F$4:$S$4)))*4+2,2)),ABS(LOG(((F24/SUM($F24:$S24))/(F$4/SUM($F$4:$S$4)))*4+2,2)))-3))</f>
        <v>-1.1917803458218961</v>
      </c>
      <c r="V24" s="39">
        <f t="shared" si="20"/>
        <v>6.2732689143810028</v>
      </c>
      <c r="W24" s="39">
        <f t="shared" si="20"/>
        <v>-0.18369882635416968</v>
      </c>
      <c r="X24" s="39">
        <f t="shared" si="20"/>
        <v>6.6934371733545337</v>
      </c>
      <c r="Y24" s="39">
        <f t="shared" si="20"/>
        <v>-1.9837253231998961</v>
      </c>
      <c r="Z24" s="39">
        <f t="shared" si="20"/>
        <v>1.8021243727814227</v>
      </c>
      <c r="AA24" s="39">
        <f t="shared" si="20"/>
        <v>-1.9993990400653376</v>
      </c>
      <c r="AB24" s="39">
        <f t="shared" si="20"/>
        <v>4.1780074399498375</v>
      </c>
      <c r="AC24" s="39" t="str">
        <f t="shared" si="20"/>
        <v/>
      </c>
      <c r="AD24" s="39">
        <f t="shared" si="20"/>
        <v>2.7469741716620142</v>
      </c>
      <c r="AE24" s="39">
        <f t="shared" si="20"/>
        <v>-1.9998196857332735</v>
      </c>
      <c r="AF24" s="39">
        <f t="shared" si="20"/>
        <v>-1.176938063742812</v>
      </c>
      <c r="AG24" s="39" t="str">
        <f t="shared" si="20"/>
        <v/>
      </c>
      <c r="AH24" s="39">
        <f t="shared" si="20"/>
        <v>-1.9788763853466311</v>
      </c>
      <c r="AI24" s="44">
        <f t="shared" si="5"/>
        <v>2.0256870606523103</v>
      </c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ht="9.75" customHeight="1" x14ac:dyDescent="0.25">
      <c r="A25" s="23">
        <v>17</v>
      </c>
      <c r="B25" s="2">
        <f t="shared" si="2"/>
        <v>0.51194382735664956</v>
      </c>
      <c r="C25" s="23">
        <v>1</v>
      </c>
      <c r="D25" s="24">
        <v>25.746963413077101</v>
      </c>
      <c r="E25" s="42" t="s">
        <v>95</v>
      </c>
      <c r="F25" s="5">
        <v>1.5400000000000001E-6</v>
      </c>
      <c r="G25" s="5">
        <v>0.29870000000000002</v>
      </c>
      <c r="H25" s="5">
        <v>3.7999999999999999E-2</v>
      </c>
      <c r="I25" s="5">
        <v>0.82110000000000005</v>
      </c>
      <c r="J25" s="5">
        <v>1.6519999999999999</v>
      </c>
      <c r="K25" s="5">
        <v>0.24959999999999999</v>
      </c>
      <c r="L25" s="5">
        <v>3.6200000000000002E-4</v>
      </c>
      <c r="M25" s="5">
        <v>3.3500000000000001E-5</v>
      </c>
      <c r="N25" s="5">
        <v>0.41870000000000002</v>
      </c>
      <c r="O25" s="5">
        <v>7.0659999999999998</v>
      </c>
      <c r="P25" s="5">
        <v>1.9599999999999999E-3</v>
      </c>
      <c r="Q25" s="5">
        <v>1.5400000000000001E-6</v>
      </c>
      <c r="R25" s="5"/>
      <c r="S25" s="5">
        <v>0.44280000000000003</v>
      </c>
      <c r="T25" s="43" t="str">
        <f t="shared" si="3"/>
        <v>NOM17</v>
      </c>
      <c r="U25" s="39">
        <f t="shared" ref="U25:AH25" si="21">IF(OR(F25=0,F25&lt;0.00000000001,F25&gt;100000),"",IF((IF(F25&gt;F$5,ABS(LOG(((F$5/SUM($F25:$S25))/(F$4/SUM($F$4:$S$4)))*4+2,2)),ABS(LOG(((F25/SUM($F25:$S25))/(F$4/SUM($F$4:$S$4)))*4+2,2)))-3)&gt;8,(IF(F25&gt;F$5,ABS(LOG(((F$5/SUM($F25:$S25))/(F$4/SUM($F$4:$S$4)))*4+2,2)),ABS(LOG(((F25/SUM($F25:$S25))/(F$4/SUM($F$4:$S$4)))*4+2,2)))-3)/7,IF(F25&gt;F$5,ABS(LOG(((F$5/SUM($F25:$S25))/(F$4/SUM($F$4:$S$4)))*4+2,2)),ABS(LOG(((F25/SUM($F25:$S25))/(F$4/SUM($F$4:$S$4)))*4+2,2)))-3))</f>
        <v>-1.9958209809594982</v>
      </c>
      <c r="V25" s="39">
        <f t="shared" si="21"/>
        <v>4.2483239910726818</v>
      </c>
      <c r="W25" s="39">
        <f t="shared" si="21"/>
        <v>2.6357548680404639</v>
      </c>
      <c r="X25" s="39">
        <f t="shared" si="21"/>
        <v>4.7020051524221671</v>
      </c>
      <c r="Y25" s="39">
        <f t="shared" si="21"/>
        <v>5.0001598042436228</v>
      </c>
      <c r="Z25" s="39">
        <f t="shared" si="21"/>
        <v>1.3734939338567322</v>
      </c>
      <c r="AA25" s="39">
        <f t="shared" si="21"/>
        <v>-1.9675749610610753</v>
      </c>
      <c r="AB25" s="39">
        <f t="shared" si="21"/>
        <v>-1.9774179053088468</v>
      </c>
      <c r="AC25" s="39">
        <f t="shared" si="21"/>
        <v>-0.7166720707357257</v>
      </c>
      <c r="AD25" s="39">
        <f t="shared" si="21"/>
        <v>4.3516879877440919</v>
      </c>
      <c r="AE25" s="39">
        <f t="shared" si="21"/>
        <v>-1.9476950971366231</v>
      </c>
      <c r="AF25" s="39">
        <f t="shared" si="21"/>
        <v>-1.9999991545300417</v>
      </c>
      <c r="AG25" s="39" t="str">
        <f t="shared" si="21"/>
        <v/>
      </c>
      <c r="AH25" s="39">
        <f t="shared" si="21"/>
        <v>-1.7386566976918247</v>
      </c>
      <c r="AI25" s="44">
        <f t="shared" si="5"/>
        <v>1</v>
      </c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ht="9.75" customHeight="1" x14ac:dyDescent="0.25">
      <c r="A26" s="23">
        <v>18</v>
      </c>
      <c r="B26" s="2">
        <f t="shared" si="2"/>
        <v>1.1781810720262018</v>
      </c>
      <c r="C26" s="23">
        <v>1</v>
      </c>
      <c r="D26" s="24">
        <v>25.592722143155299</v>
      </c>
      <c r="E26" s="42" t="s">
        <v>96</v>
      </c>
      <c r="F26" s="5"/>
      <c r="G26" s="5"/>
      <c r="H26" s="5"/>
      <c r="I26" s="5">
        <v>1.2789999999999999</v>
      </c>
      <c r="J26" s="5">
        <v>0.21329999999999999</v>
      </c>
      <c r="K26" s="5">
        <v>5.8100000000000003E-4</v>
      </c>
      <c r="L26" s="5">
        <v>1.6700000000000001E-6</v>
      </c>
      <c r="M26" s="5">
        <v>1.6700000000000001E-6</v>
      </c>
      <c r="N26" s="5"/>
      <c r="O26" s="5"/>
      <c r="P26" s="5"/>
      <c r="Q26" s="5">
        <v>0.45150000000000001</v>
      </c>
      <c r="R26" s="5">
        <v>1.6700000000000001E-6</v>
      </c>
      <c r="S26" s="5">
        <v>1.07</v>
      </c>
      <c r="T26" s="43" t="str">
        <f t="shared" si="3"/>
        <v>NOM18</v>
      </c>
      <c r="U26" s="39" t="str">
        <f t="shared" ref="U26:AH26" si="22">IF(OR(F26=0,F26&lt;0.00000000001,F26&gt;100000),"",IF((IF(F26&gt;F$5,ABS(LOG(((F$5/SUM($F26:$S26))/(F$4/SUM($F$4:$S$4)))*4+2,2)),ABS(LOG(((F26/SUM($F26:$S26))/(F$4/SUM($F$4:$S$4)))*4+2,2)))-3)&gt;8,(IF(F26&gt;F$5,ABS(LOG(((F$5/SUM($F26:$S26))/(F$4/SUM($F$4:$S$4)))*4+2,2)),ABS(LOG(((F26/SUM($F26:$S26))/(F$4/SUM($F$4:$S$4)))*4+2,2)))-3)/7,IF(F26&gt;F$5,ABS(LOG(((F$5/SUM($F26:$S26))/(F$4/SUM($F$4:$S$4)))*4+2,2)),ABS(LOG(((F26/SUM($F26:$S26))/(F$4/SUM($F$4:$S$4)))*4+2,2)))-3))</f>
        <v/>
      </c>
      <c r="V26" s="39" t="str">
        <f t="shared" si="22"/>
        <v/>
      </c>
      <c r="W26" s="39" t="str">
        <f t="shared" si="22"/>
        <v/>
      </c>
      <c r="X26" s="39">
        <f t="shared" si="22"/>
        <v>7.1960873166456469</v>
      </c>
      <c r="Y26" s="39">
        <f t="shared" si="22"/>
        <v>3.9256771371814905</v>
      </c>
      <c r="Z26" s="39">
        <f t="shared" si="22"/>
        <v>2.7865355664440017</v>
      </c>
      <c r="AA26" s="39">
        <f t="shared" si="22"/>
        <v>-1.9994486028294776</v>
      </c>
      <c r="AB26" s="39">
        <f t="shared" si="22"/>
        <v>-1.9958696489540981</v>
      </c>
      <c r="AC26" s="39" t="str">
        <f t="shared" si="22"/>
        <v/>
      </c>
      <c r="AD26" s="39" t="str">
        <f t="shared" si="22"/>
        <v/>
      </c>
      <c r="AE26" s="39" t="str">
        <f t="shared" si="22"/>
        <v/>
      </c>
      <c r="AF26" s="39">
        <f t="shared" si="22"/>
        <v>-1.2983452836921439</v>
      </c>
      <c r="AG26" s="39">
        <f t="shared" si="22"/>
        <v>-1.9999448507985162</v>
      </c>
      <c r="AH26" s="39">
        <f t="shared" si="22"/>
        <v>-0.54083427614118973</v>
      </c>
      <c r="AI26" s="44">
        <f t="shared" si="5"/>
        <v>1</v>
      </c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ht="9.75" customHeight="1" x14ac:dyDescent="0.25">
      <c r="A27" s="23">
        <v>19</v>
      </c>
      <c r="B27" s="2">
        <f t="shared" si="2"/>
        <v>5.8502036004044031</v>
      </c>
      <c r="C27" s="23">
        <v>1</v>
      </c>
      <c r="D27" s="24">
        <v>24.303013463419202</v>
      </c>
      <c r="E27" s="42" t="s">
        <v>97</v>
      </c>
      <c r="F27" s="5"/>
      <c r="G27" s="5">
        <v>0.14530000000000001</v>
      </c>
      <c r="H27" s="5">
        <v>1.7799999999999999E-3</v>
      </c>
      <c r="I27" s="5">
        <v>0.28639999999999999</v>
      </c>
      <c r="J27" s="5">
        <v>0.2303</v>
      </c>
      <c r="K27" s="5">
        <v>4.0699999999999998E-3</v>
      </c>
      <c r="L27" s="5">
        <v>7.2800000000000004E-2</v>
      </c>
      <c r="M27" s="5"/>
      <c r="N27" s="5">
        <v>1.3699999999999999E-3</v>
      </c>
      <c r="O27" s="5">
        <v>4.0099999999999997E-3</v>
      </c>
      <c r="P27" s="5">
        <v>6.2199999999999997E-6</v>
      </c>
      <c r="Q27" s="5">
        <v>2.6779999999999999</v>
      </c>
      <c r="R27" s="5">
        <v>0.19220000000000001</v>
      </c>
      <c r="S27" s="5">
        <v>0.35670000000000002</v>
      </c>
      <c r="T27" s="43" t="str">
        <f t="shared" si="3"/>
        <v>NOM19</v>
      </c>
      <c r="U27" s="39" t="str">
        <f t="shared" ref="U27:AH27" si="23">IF(OR(F27=0,F27&lt;0.00000000001,F27&gt;100000),"",IF((IF(F27&gt;F$5,ABS(LOG(((F$5/SUM($F27:$S27))/(F$4/SUM($F$4:$S$4)))*4+2,2)),ABS(LOG(((F27/SUM($F27:$S27))/(F$4/SUM($F$4:$S$4)))*4+2,2)))-3)&gt;8,(IF(F27&gt;F$5,ABS(LOG(((F$5/SUM($F27:$S27))/(F$4/SUM($F$4:$S$4)))*4+2,2)),ABS(LOG(((F27/SUM($F27:$S27))/(F$4/SUM($F$4:$S$4)))*4+2,2)))-3)/7,IF(F27&gt;F$5,ABS(LOG(((F$5/SUM($F27:$S27))/(F$4/SUM($F$4:$S$4)))*4+2,2)),ABS(LOG(((F27/SUM($F27:$S27))/(F$4/SUM($F$4:$S$4)))*4+2,2)))-3))</f>
        <v/>
      </c>
      <c r="V27" s="39">
        <f t="shared" si="23"/>
        <v>4.6715965030113482</v>
      </c>
      <c r="W27" s="39">
        <f t="shared" si="23"/>
        <v>3.2616155216270037E-2</v>
      </c>
      <c r="X27" s="39">
        <f t="shared" si="23"/>
        <v>4.6508008169216586</v>
      </c>
      <c r="Y27" s="39">
        <f t="shared" si="23"/>
        <v>3.6431947424795785</v>
      </c>
      <c r="Z27" s="39">
        <f t="shared" si="23"/>
        <v>5.1535374474836448</v>
      </c>
      <c r="AA27" s="39">
        <f t="shared" si="23"/>
        <v>1.7701660756014146</v>
      </c>
      <c r="AB27" s="39" t="str">
        <f t="shared" si="23"/>
        <v/>
      </c>
      <c r="AC27" s="39">
        <f t="shared" si="23"/>
        <v>-1.9813965132053883</v>
      </c>
      <c r="AD27" s="39">
        <f t="shared" si="23"/>
        <v>-1.8279903629750742</v>
      </c>
      <c r="AE27" s="39">
        <f t="shared" si="23"/>
        <v>-1.9995325236914314</v>
      </c>
      <c r="AF27" s="39">
        <f t="shared" si="23"/>
        <v>-6.6865537500761185E-2</v>
      </c>
      <c r="AG27" s="39">
        <f t="shared" si="23"/>
        <v>0.11705776867572126</v>
      </c>
      <c r="AH27" s="39">
        <f t="shared" si="23"/>
        <v>-1.4714229843833846</v>
      </c>
      <c r="AI27" s="44">
        <f t="shared" si="5"/>
        <v>1</v>
      </c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ht="9.75" customHeight="1" x14ac:dyDescent="0.25">
      <c r="A28" s="23">
        <v>20</v>
      </c>
      <c r="B28" s="2">
        <f t="shared" si="2"/>
        <v>1.8573316529205419</v>
      </c>
      <c r="C28" s="23">
        <v>1</v>
      </c>
      <c r="D28" s="24">
        <v>25.907427230688501</v>
      </c>
      <c r="E28" s="42" t="s">
        <v>98</v>
      </c>
      <c r="F28" s="5"/>
      <c r="G28" s="5"/>
      <c r="H28" s="5">
        <v>1.79E-6</v>
      </c>
      <c r="I28" s="5">
        <v>0.55349999999999999</v>
      </c>
      <c r="J28" s="5">
        <v>0.52359999999999995</v>
      </c>
      <c r="K28" s="5">
        <v>1.79E-6</v>
      </c>
      <c r="L28" s="5"/>
      <c r="M28" s="5"/>
      <c r="N28" s="5">
        <v>1.79E-6</v>
      </c>
      <c r="O28" s="5">
        <v>1.79E-6</v>
      </c>
      <c r="P28" s="5"/>
      <c r="Q28" s="5">
        <v>1.9370000000000001</v>
      </c>
      <c r="R28" s="5"/>
      <c r="S28" s="5">
        <v>0.72960000000000003</v>
      </c>
      <c r="T28" s="43" t="str">
        <f t="shared" si="3"/>
        <v>NOM20</v>
      </c>
      <c r="U28" s="39" t="str">
        <f t="shared" ref="U28:AH28" si="24">IF(OR(F28=0,F28&lt;0.00000000001,F28&gt;100000),"",IF((IF(F28&gt;F$5,ABS(LOG(((F$5/SUM($F28:$S28))/(F$4/SUM($F$4:$S$4)))*4+2,2)),ABS(LOG(((F28/SUM($F28:$S28))/(F$4/SUM($F$4:$S$4)))*4+2,2)))-3)&gt;8,(IF(F28&gt;F$5,ABS(LOG(((F$5/SUM($F28:$S28))/(F$4/SUM($F$4:$S$4)))*4+2,2)),ABS(LOG(((F28/SUM($F28:$S28))/(F$4/SUM($F$4:$S$4)))*4+2,2)))-3)/7,IF(F28&gt;F$5,ABS(LOG(((F$5/SUM($F28:$S28))/(F$4/SUM($F$4:$S$4)))*4+2,2)),ABS(LOG(((F28/SUM($F28:$S28))/(F$4/SUM($F$4:$S$4)))*4+2,2)))-3))</f>
        <v/>
      </c>
      <c r="V28" s="39" t="str">
        <f t="shared" si="24"/>
        <v/>
      </c>
      <c r="W28" s="39">
        <f t="shared" si="24"/>
        <v>-1.9952481178766523</v>
      </c>
      <c r="X28" s="39">
        <f t="shared" si="24"/>
        <v>5.6797147009341238</v>
      </c>
      <c r="Y28" s="39">
        <f t="shared" si="24"/>
        <v>4.896880867694632</v>
      </c>
      <c r="Z28" s="39">
        <f t="shared" si="24"/>
        <v>-1.9078146473966366</v>
      </c>
      <c r="AA28" s="39" t="str">
        <f t="shared" si="24"/>
        <v/>
      </c>
      <c r="AB28" s="39" t="str">
        <f t="shared" si="24"/>
        <v/>
      </c>
      <c r="AC28" s="39">
        <f t="shared" si="24"/>
        <v>-1.9999740381436681</v>
      </c>
      <c r="AD28" s="39">
        <f t="shared" si="24"/>
        <v>-1.9999134622956973</v>
      </c>
      <c r="AE28" s="39" t="str">
        <f t="shared" si="24"/>
        <v/>
      </c>
      <c r="AF28" s="39">
        <f t="shared" si="24"/>
        <v>-0.33838232225286324</v>
      </c>
      <c r="AG28" s="39" t="str">
        <f t="shared" si="24"/>
        <v/>
      </c>
      <c r="AH28" s="39">
        <f t="shared" si="24"/>
        <v>-1.0287573059319519</v>
      </c>
      <c r="AI28" s="44">
        <f t="shared" si="5"/>
        <v>1</v>
      </c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ht="9.75" customHeight="1" x14ac:dyDescent="0.25">
      <c r="A29" s="23">
        <v>21</v>
      </c>
      <c r="B29" s="2">
        <f t="shared" si="2"/>
        <v>0.25012570033226567</v>
      </c>
      <c r="C29" s="23">
        <v>1</v>
      </c>
      <c r="D29" s="24">
        <v>26.332393321079302</v>
      </c>
      <c r="E29" s="42" t="s">
        <v>99</v>
      </c>
      <c r="F29" s="5">
        <v>4.9799999999999996E-4</v>
      </c>
      <c r="G29" s="5"/>
      <c r="H29" s="5">
        <v>2.5999999999999999E-3</v>
      </c>
      <c r="I29" s="5">
        <v>3.3099999999999997E-2</v>
      </c>
      <c r="J29" s="5">
        <v>0.26889999999999997</v>
      </c>
      <c r="K29" s="5"/>
      <c r="L29" s="5"/>
      <c r="M29" s="5">
        <v>3.9600000000000002E-6</v>
      </c>
      <c r="N29" s="5">
        <v>2.51E-5</v>
      </c>
      <c r="O29" s="5">
        <v>3.9600000000000002E-6</v>
      </c>
      <c r="P29" s="5"/>
      <c r="Q29" s="5">
        <v>1.7370000000000001</v>
      </c>
      <c r="R29" s="5"/>
      <c r="S29" s="5">
        <v>3.8600000000000003E-5</v>
      </c>
      <c r="T29" s="43" t="str">
        <f t="shared" si="3"/>
        <v>NOM21</v>
      </c>
      <c r="U29" s="39">
        <f t="shared" ref="U29:AH29" si="25">IF(OR(F29=0,F29&lt;0.00000000001,F29&gt;100000),"",IF((IF(F29&gt;F$5,ABS(LOG(((F$5/SUM($F29:$S29))/(F$4/SUM($F$4:$S$4)))*4+2,2)),ABS(LOG(((F29/SUM($F29:$S29))/(F$4/SUM($F$4:$S$4)))*4+2,2)))-3)&gt;8,(IF(F29&gt;F$5,ABS(LOG(((F$5/SUM($F29:$S29))/(F$4/SUM($F$4:$S$4)))*4+2,2)),ABS(LOG(((F29/SUM($F29:$S29))/(F$4/SUM($F$4:$S$4)))*4+2,2)))-3)/7,IF(F29&gt;F$5,ABS(LOG(((F$5/SUM($F29:$S29))/(F$4/SUM($F$4:$S$4)))*4+2,2)),ABS(LOG(((F29/SUM($F29:$S29))/(F$4/SUM($F$4:$S$4)))*4+2,2)))-3))</f>
        <v>0.59644379064160091</v>
      </c>
      <c r="V29" s="39" t="str">
        <f t="shared" si="25"/>
        <v/>
      </c>
      <c r="W29" s="39">
        <f t="shared" si="25"/>
        <v>1.290557403223981</v>
      </c>
      <c r="X29" s="39">
        <f t="shared" si="25"/>
        <v>2.5464445800559297</v>
      </c>
      <c r="Y29" s="39">
        <f t="shared" si="25"/>
        <v>4.8106029993166413</v>
      </c>
      <c r="Z29" s="39" t="str">
        <f t="shared" si="25"/>
        <v/>
      </c>
      <c r="AA29" s="39" t="str">
        <f t="shared" si="25"/>
        <v/>
      </c>
      <c r="AB29" s="39">
        <f t="shared" si="25"/>
        <v>-1.9855946261729969</v>
      </c>
      <c r="AC29" s="39">
        <f t="shared" si="25"/>
        <v>-1.9993327785977444</v>
      </c>
      <c r="AD29" s="39">
        <f t="shared" si="25"/>
        <v>-1.9996490721884697</v>
      </c>
      <c r="AE29" s="39" t="str">
        <f t="shared" si="25"/>
        <v/>
      </c>
      <c r="AF29" s="39">
        <f t="shared" si="25"/>
        <v>0.1880729166287658</v>
      </c>
      <c r="AG29" s="39" t="str">
        <f t="shared" si="25"/>
        <v/>
      </c>
      <c r="AH29" s="39">
        <f t="shared" si="25"/>
        <v>-1.9998656068438503</v>
      </c>
      <c r="AI29" s="44">
        <f t="shared" si="5"/>
        <v>2.0332393321079301</v>
      </c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ht="9.75" customHeight="1" x14ac:dyDescent="0.25">
      <c r="A30" s="23">
        <v>22</v>
      </c>
      <c r="B30" s="2">
        <f t="shared" si="2"/>
        <v>11.631957596949443</v>
      </c>
      <c r="C30" s="23">
        <v>1</v>
      </c>
      <c r="D30" s="24">
        <v>24.309228296447898</v>
      </c>
      <c r="E30" s="42" t="s">
        <v>100</v>
      </c>
      <c r="F30" s="5">
        <v>2.0299999999999999E-2</v>
      </c>
      <c r="G30" s="5">
        <v>0.58209999999999995</v>
      </c>
      <c r="H30" s="5">
        <v>0.1318</v>
      </c>
      <c r="I30" s="5">
        <v>0.42070000000000002</v>
      </c>
      <c r="J30" s="5">
        <v>0.96</v>
      </c>
      <c r="K30" s="5">
        <v>4.6100000000000002E-2</v>
      </c>
      <c r="L30" s="5">
        <v>7.0800000000000002E-2</v>
      </c>
      <c r="M30" s="5"/>
      <c r="N30" s="5">
        <v>1.49E-3</v>
      </c>
      <c r="O30" s="5">
        <v>1.7000000000000001E-2</v>
      </c>
      <c r="P30" s="5">
        <v>1.4300000000000001E-3</v>
      </c>
      <c r="Q30" s="5">
        <v>2.1419999999999999</v>
      </c>
      <c r="R30" s="5">
        <v>0.20150000000000001</v>
      </c>
      <c r="S30" s="5">
        <v>2.19E-5</v>
      </c>
      <c r="T30" s="43" t="str">
        <f t="shared" si="3"/>
        <v>NOM22</v>
      </c>
      <c r="U30" s="39">
        <f t="shared" ref="U30:AH30" si="26">IF(OR(F30=0,F30&lt;0.00000000001,F30&gt;100000),"",IF((IF(F30&gt;F$5,ABS(LOG(((F$5/SUM($F30:$S30))/(F$4/SUM($F$4:$S$4)))*4+2,2)),ABS(LOG(((F30/SUM($F30:$S30))/(F$4/SUM($F$4:$S$4)))*4+2,2)))-3)&gt;8,(IF(F30&gt;F$5,ABS(LOG(((F$5/SUM($F30:$S30))/(F$4/SUM($F$4:$S$4)))*4+2,2)),ABS(LOG(((F30/SUM($F30:$S30))/(F$4/SUM($F$4:$S$4)))*4+2,2)))-3)/7,IF(F30&gt;F$5,ABS(LOG(((F$5/SUM($F30:$S30))/(F$4/SUM($F$4:$S$4)))*4+2,2)),ABS(LOG(((F30/SUM($F30:$S30))/(F$4/SUM($F$4:$S$4)))*4+2,2)))-3))</f>
        <v>4.5305376315059087</v>
      </c>
      <c r="V30" s="39">
        <f t="shared" si="26"/>
        <v>6.4537920707806951</v>
      </c>
      <c r="W30" s="39">
        <f t="shared" si="26"/>
        <v>5.6359544076413712</v>
      </c>
      <c r="X30" s="39">
        <f t="shared" si="26"/>
        <v>4.9925703409146447</v>
      </c>
      <c r="Y30" s="39">
        <f t="shared" si="26"/>
        <v>5.4717700175772084</v>
      </c>
      <c r="Z30" s="39">
        <f t="shared" si="26"/>
        <v>1.20516301356277</v>
      </c>
      <c r="AA30" s="39">
        <f t="shared" si="26"/>
        <v>1.5399218975116487</v>
      </c>
      <c r="AB30" s="39" t="str">
        <f t="shared" si="26"/>
        <v/>
      </c>
      <c r="AC30" s="39">
        <f t="shared" si="26"/>
        <v>-1.9825003342092904</v>
      </c>
      <c r="AD30" s="39">
        <f t="shared" si="26"/>
        <v>-1.449963085872968</v>
      </c>
      <c r="AE30" s="39">
        <f t="shared" si="26"/>
        <v>-1.9099357781186144</v>
      </c>
      <c r="AF30" s="39">
        <f t="shared" si="26"/>
        <v>-0.43961897609704703</v>
      </c>
      <c r="AG30" s="39">
        <f t="shared" si="26"/>
        <v>9.2301568827255487E-3</v>
      </c>
      <c r="AH30" s="39">
        <f t="shared" si="26"/>
        <v>-1.9999661130466935</v>
      </c>
      <c r="AI30" s="44">
        <f t="shared" si="5"/>
        <v>1</v>
      </c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ht="9.75" customHeight="1" x14ac:dyDescent="0.25">
      <c r="A31" s="23">
        <v>23</v>
      </c>
      <c r="B31" s="2">
        <f t="shared" si="2"/>
        <v>2.287269495088879</v>
      </c>
      <c r="C31" s="23">
        <v>1</v>
      </c>
      <c r="D31" s="24">
        <v>22.010026611917699</v>
      </c>
      <c r="E31" s="42" t="s">
        <v>101</v>
      </c>
      <c r="F31" s="5"/>
      <c r="G31" s="5">
        <v>2.5499999999999998E-2</v>
      </c>
      <c r="H31" s="5">
        <v>5.3899999999999998E-3</v>
      </c>
      <c r="I31" s="5">
        <v>0.37590000000000001</v>
      </c>
      <c r="J31" s="5">
        <v>0.43059999999999998</v>
      </c>
      <c r="K31" s="5"/>
      <c r="L31" s="5">
        <v>1.49E-3</v>
      </c>
      <c r="M31" s="5"/>
      <c r="N31" s="5">
        <v>5.4700000000000001E-6</v>
      </c>
      <c r="O31" s="5">
        <v>1.9400000000000001E-2</v>
      </c>
      <c r="P31" s="5">
        <v>4.7099999999999998E-3</v>
      </c>
      <c r="Q31" s="5">
        <v>1.202</v>
      </c>
      <c r="R31" s="5">
        <v>2.9899999999999999E-2</v>
      </c>
      <c r="S31" s="5">
        <v>0.19550000000000001</v>
      </c>
      <c r="T31" s="43" t="str">
        <f t="shared" si="3"/>
        <v>NOM23</v>
      </c>
      <c r="U31" s="39" t="str">
        <f t="shared" ref="U31:AH31" si="27">IF(OR(F31=0,F31&lt;0.00000000001,F31&gt;100000),"",IF((IF(F31&gt;F$5,ABS(LOG(((F$5/SUM($F31:$S31))/(F$4/SUM($F$4:$S$4)))*4+2,2)),ABS(LOG(((F31/SUM($F31:$S31))/(F$4/SUM($F$4:$S$4)))*4+2,2)))-3)&gt;8,(IF(F31&gt;F$5,ABS(LOG(((F$5/SUM($F31:$S31))/(F$4/SUM($F$4:$S$4)))*4+2,2)),ABS(LOG(((F31/SUM($F31:$S31))/(F$4/SUM($F$4:$S$4)))*4+2,2)))-3)/7,IF(F31&gt;F$5,ABS(LOG(((F$5/SUM($F31:$S31))/(F$4/SUM($F$4:$S$4)))*4+2,2)),ABS(LOG(((F31/SUM($F31:$S31))/(F$4/SUM($F$4:$S$4)))*4+2,2)))-3))</f>
        <v/>
      </c>
      <c r="V31" s="39">
        <f t="shared" si="27"/>
        <v>2.9877193797688406</v>
      </c>
      <c r="W31" s="39">
        <f t="shared" si="27"/>
        <v>2.1075240511244457</v>
      </c>
      <c r="X31" s="39">
        <f t="shared" si="27"/>
        <v>5.829653359915433</v>
      </c>
      <c r="Y31" s="39">
        <f t="shared" si="27"/>
        <v>5.3205316408054237</v>
      </c>
      <c r="Z31" s="39" t="str">
        <f t="shared" si="27"/>
        <v/>
      </c>
      <c r="AA31" s="39">
        <f t="shared" si="27"/>
        <v>-1.4650609395454655</v>
      </c>
      <c r="AB31" s="39" t="str">
        <f t="shared" si="27"/>
        <v/>
      </c>
      <c r="AC31" s="39">
        <f t="shared" si="27"/>
        <v>-1.9998703281157562</v>
      </c>
      <c r="AD31" s="39">
        <f t="shared" si="27"/>
        <v>-0.9555117385340548</v>
      </c>
      <c r="AE31" s="39">
        <f t="shared" si="27"/>
        <v>-1.4883460074032471</v>
      </c>
      <c r="AF31" s="39">
        <f t="shared" si="27"/>
        <v>-0.32434174757016976</v>
      </c>
      <c r="AG31" s="39">
        <f t="shared" si="27"/>
        <v>-1.0734125914405512</v>
      </c>
      <c r="AH31" s="39">
        <f t="shared" si="27"/>
        <v>-1.4934067902061869</v>
      </c>
      <c r="AI31" s="44">
        <f t="shared" si="5"/>
        <v>1</v>
      </c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ht="9.75" customHeight="1" x14ac:dyDescent="0.25">
      <c r="A32" s="23">
        <v>24</v>
      </c>
      <c r="B32" s="2">
        <f t="shared" si="2"/>
        <v>7.6555269898448781</v>
      </c>
      <c r="C32" s="23">
        <v>2</v>
      </c>
      <c r="D32" s="24">
        <v>27.000916706556499</v>
      </c>
      <c r="E32" s="42" t="s">
        <v>102</v>
      </c>
      <c r="F32" s="5"/>
      <c r="G32" s="5"/>
      <c r="H32" s="5">
        <v>3.9100000000000003E-3</v>
      </c>
      <c r="I32" s="5">
        <v>1.835</v>
      </c>
      <c r="J32" s="5">
        <v>0.13789999999999999</v>
      </c>
      <c r="K32" s="5">
        <v>6.1499999999999999E-2</v>
      </c>
      <c r="L32" s="5">
        <v>0.32619999999999999</v>
      </c>
      <c r="M32" s="5"/>
      <c r="N32" s="5"/>
      <c r="O32" s="5">
        <v>2.7189999999999999</v>
      </c>
      <c r="P32" s="5">
        <v>3.9100000000000003E-3</v>
      </c>
      <c r="Q32" s="5">
        <v>0.10589999999999999</v>
      </c>
      <c r="R32" s="5">
        <v>0.77459999999999996</v>
      </c>
      <c r="S32" s="5">
        <v>3.9100000000000003E-3</v>
      </c>
      <c r="T32" s="43" t="str">
        <f t="shared" si="3"/>
        <v>OC01</v>
      </c>
      <c r="U32" s="39" t="str">
        <f t="shared" ref="U32:AH32" si="28">IF(OR(F32=0,F32&lt;0.00000000001,F32&gt;100000),"",IF((IF(F32&gt;F$5,ABS(LOG(((F$5/SUM($F32:$S32))/(F$4/SUM($F$4:$S$4)))*4+2,2)),ABS(LOG(((F32/SUM($F32:$S32))/(F$4/SUM($F$4:$S$4)))*4+2,2)))-3)&gt;8,(IF(F32&gt;F$5,ABS(LOG(((F$5/SUM($F32:$S32))/(F$4/SUM($F$4:$S$4)))*4+2,2)),ABS(LOG(((F32/SUM($F32:$S32))/(F$4/SUM($F$4:$S$4)))*4+2,2)))-3)/7,IF(F32&gt;F$5,ABS(LOG(((F$5/SUM($F32:$S32))/(F$4/SUM($F$4:$S$4)))*4+2,2)),ABS(LOG(((F32/SUM($F32:$S32))/(F$4/SUM($F$4:$S$4)))*4+2,2)))-3))</f>
        <v/>
      </c>
      <c r="V32" s="39" t="str">
        <f t="shared" si="28"/>
        <v/>
      </c>
      <c r="W32" s="39">
        <f t="shared" si="28"/>
        <v>0.46408692297007725</v>
      </c>
      <c r="X32" s="39">
        <f t="shared" si="28"/>
        <v>6.7314786264071085</v>
      </c>
      <c r="Y32" s="39">
        <f t="shared" si="28"/>
        <v>2.3582875521922979</v>
      </c>
      <c r="Z32" s="39">
        <f t="shared" si="28"/>
        <v>1.2105573637585711</v>
      </c>
      <c r="AA32" s="39">
        <f t="shared" si="28"/>
        <v>3.2739074889724122</v>
      </c>
      <c r="AB32" s="39" t="str">
        <f t="shared" si="28"/>
        <v/>
      </c>
      <c r="AC32" s="39" t="str">
        <f t="shared" si="28"/>
        <v/>
      </c>
      <c r="AD32" s="39">
        <f t="shared" si="28"/>
        <v>3.8609832613375987</v>
      </c>
      <c r="AE32" s="39">
        <f t="shared" si="28"/>
        <v>-1.8166300063089948</v>
      </c>
      <c r="AF32" s="39">
        <f t="shared" si="28"/>
        <v>-1.8967933336623175</v>
      </c>
      <c r="AG32" s="39">
        <f t="shared" si="28"/>
        <v>1.3147037148692258</v>
      </c>
      <c r="AH32" s="39">
        <f t="shared" si="28"/>
        <v>-1.9953519432784301</v>
      </c>
      <c r="AI32" s="44">
        <f t="shared" si="5"/>
        <v>2.1000916706556501</v>
      </c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ht="9.75" customHeight="1" x14ac:dyDescent="0.25">
      <c r="A33" s="23">
        <v>25</v>
      </c>
      <c r="B33" s="2">
        <f t="shared" si="2"/>
        <v>7.431225984287833</v>
      </c>
      <c r="C33" s="23">
        <v>2</v>
      </c>
      <c r="D33" s="24">
        <v>25.8980989396021</v>
      </c>
      <c r="E33" s="42" t="s">
        <v>103</v>
      </c>
      <c r="F33" s="5"/>
      <c r="G33" s="5">
        <v>0.45129999999999998</v>
      </c>
      <c r="H33" s="5"/>
      <c r="I33" s="5">
        <v>2.806</v>
      </c>
      <c r="J33" s="5">
        <v>0.97709999999999997</v>
      </c>
      <c r="K33" s="5">
        <v>0.86960000000000004</v>
      </c>
      <c r="L33" s="5"/>
      <c r="M33" s="5"/>
      <c r="N33" s="5">
        <v>1.9830000000000001</v>
      </c>
      <c r="O33" s="5">
        <v>0.26169999999999999</v>
      </c>
      <c r="P33" s="5">
        <v>1.5200000000000001E-4</v>
      </c>
      <c r="Q33" s="5">
        <v>1.6659999999999999</v>
      </c>
      <c r="R33" s="5">
        <v>0.251</v>
      </c>
      <c r="S33" s="5">
        <v>2.65E-6</v>
      </c>
      <c r="T33" s="43" t="str">
        <f t="shared" si="3"/>
        <v>OC02</v>
      </c>
      <c r="U33" s="39" t="str">
        <f t="shared" ref="U33:AH33" si="29">IF(OR(F33=0,F33&lt;0.00000000001,F33&gt;100000),"",IF((IF(F33&gt;F$5,ABS(LOG(((F$5/SUM($F33:$S33))/(F$4/SUM($F$4:$S$4)))*4+2,2)),ABS(LOG(((F33/SUM($F33:$S33))/(F$4/SUM($F$4:$S$4)))*4+2,2)))-3)&gt;8,(IF(F33&gt;F$5,ABS(LOG(((F$5/SUM($F33:$S33))/(F$4/SUM($F$4:$S$4)))*4+2,2)),ABS(LOG(((F33/SUM($F33:$S33))/(F$4/SUM($F$4:$S$4)))*4+2,2)))-3)/7,IF(F33&gt;F$5,ABS(LOG(((F$5/SUM($F33:$S33))/(F$4/SUM($F$4:$S$4)))*4+2,2)),ABS(LOG(((F33/SUM($F33:$S33))/(F$4/SUM($F$4:$S$4)))*4+2,2)))-3))</f>
        <v/>
      </c>
      <c r="V33" s="39">
        <f t="shared" si="29"/>
        <v>5.0814003390825384</v>
      </c>
      <c r="W33" s="39" t="str">
        <f t="shared" si="29"/>
        <v/>
      </c>
      <c r="X33" s="39">
        <f t="shared" si="29"/>
        <v>6.7105124226310959</v>
      </c>
      <c r="Y33" s="39">
        <f t="shared" si="29"/>
        <v>4.4934104620870237</v>
      </c>
      <c r="Z33" s="39">
        <f t="shared" si="29"/>
        <v>1.6658486902634453</v>
      </c>
      <c r="AA33" s="39" t="str">
        <f t="shared" si="29"/>
        <v/>
      </c>
      <c r="AB33" s="39" t="str">
        <f t="shared" si="29"/>
        <v/>
      </c>
      <c r="AC33" s="39">
        <f t="shared" si="29"/>
        <v>1.1786721952179633</v>
      </c>
      <c r="AD33" s="39">
        <f t="shared" si="29"/>
        <v>0.18374837085489037</v>
      </c>
      <c r="AE33" s="39">
        <f t="shared" si="29"/>
        <v>-1.9951092783266267</v>
      </c>
      <c r="AF33" s="39">
        <f t="shared" si="29"/>
        <v>-1.1910783332771038</v>
      </c>
      <c r="AG33" s="39">
        <f t="shared" si="29"/>
        <v>-0.47937775689811568</v>
      </c>
      <c r="AH33" s="39">
        <f t="shared" si="29"/>
        <v>-1.9999979664166723</v>
      </c>
      <c r="AI33" s="44">
        <f t="shared" si="5"/>
        <v>1</v>
      </c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ht="9.75" customHeight="1" x14ac:dyDescent="0.25">
      <c r="A34" s="23">
        <v>26</v>
      </c>
      <c r="B34" s="2">
        <f t="shared" si="2"/>
        <v>8.8551303531024796</v>
      </c>
      <c r="C34" s="23">
        <v>2</v>
      </c>
      <c r="D34" s="24">
        <v>23.5254181838393</v>
      </c>
      <c r="E34" s="42" t="s">
        <v>104</v>
      </c>
      <c r="F34" s="5">
        <v>7.5300000000000006E-2</v>
      </c>
      <c r="G34" s="5">
        <v>0.12859999999999999</v>
      </c>
      <c r="H34" s="5"/>
      <c r="I34" s="5">
        <v>1.516</v>
      </c>
      <c r="J34" s="5">
        <v>1.286</v>
      </c>
      <c r="K34" s="5">
        <v>0.15870000000000001</v>
      </c>
      <c r="L34" s="5">
        <v>7.9799999999999996E-2</v>
      </c>
      <c r="M34" s="5"/>
      <c r="N34" s="5"/>
      <c r="O34" s="5">
        <v>7.2640000000000002</v>
      </c>
      <c r="P34" s="5">
        <v>3.1099999999999999E-3</v>
      </c>
      <c r="Q34" s="5">
        <v>0.45</v>
      </c>
      <c r="R34" s="5">
        <v>4.0800000000000003E-2</v>
      </c>
      <c r="S34" s="5">
        <v>0.19889999999999999</v>
      </c>
      <c r="T34" s="43" t="str">
        <f t="shared" si="3"/>
        <v>OC03</v>
      </c>
      <c r="U34" s="39">
        <f t="shared" ref="U34:AH34" si="30">IF(OR(F34=0,F34&lt;0.00000000001,F34&gt;100000),"",IF((IF(F34&gt;F$5,ABS(LOG(((F$5/SUM($F34:$S34))/(F$4/SUM($F$4:$S$4)))*4+2,2)),ABS(LOG(((F34/SUM($F34:$S34))/(F$4/SUM($F$4:$S$4)))*4+2,2)))-3)&gt;8,(IF(F34&gt;F$5,ABS(LOG(((F$5/SUM($F34:$S34))/(F$4/SUM($F$4:$S$4)))*4+2,2)),ABS(LOG(((F34/SUM($F34:$S34))/(F$4/SUM($F$4:$S$4)))*4+2,2)))-3)/7,IF(F34&gt;F$5,ABS(LOG(((F$5/SUM($F34:$S34))/(F$4/SUM($F$4:$S$4)))*4+2,2)),ABS(LOG(((F34/SUM($F34:$S34))/(F$4/SUM($F$4:$S$4)))*4+2,2)))-3))</f>
        <v>5.1309053290463513</v>
      </c>
      <c r="V34" s="39">
        <f t="shared" si="30"/>
        <v>3.0306781773823541</v>
      </c>
      <c r="W34" s="39" t="str">
        <f t="shared" si="30"/>
        <v/>
      </c>
      <c r="X34" s="39">
        <f t="shared" si="30"/>
        <v>5.5528641526302618</v>
      </c>
      <c r="Y34" s="39">
        <f t="shared" si="30"/>
        <v>4.6147586715176532</v>
      </c>
      <c r="Z34" s="39">
        <f t="shared" si="30"/>
        <v>1.2762655255249178</v>
      </c>
      <c r="AA34" s="39">
        <f t="shared" si="30"/>
        <v>0.56457088148182866</v>
      </c>
      <c r="AB34" s="39" t="str">
        <f t="shared" si="30"/>
        <v/>
      </c>
      <c r="AC34" s="39" t="str">
        <f t="shared" si="30"/>
        <v/>
      </c>
      <c r="AD34" s="39">
        <f t="shared" si="30"/>
        <v>4.3638478099632927</v>
      </c>
      <c r="AE34" s="39">
        <f t="shared" si="30"/>
        <v>-1.9193776874584187</v>
      </c>
      <c r="AF34" s="39">
        <f t="shared" si="30"/>
        <v>-1.7759550751019699</v>
      </c>
      <c r="AG34" s="39">
        <f t="shared" si="30"/>
        <v>-1.6765335053980912</v>
      </c>
      <c r="AH34" s="39">
        <f t="shared" si="30"/>
        <v>-1.8789607713675656</v>
      </c>
      <c r="AI34" s="44">
        <f t="shared" si="5"/>
        <v>1</v>
      </c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ht="9.75" customHeight="1" x14ac:dyDescent="0.25">
      <c r="A35" s="23">
        <v>27</v>
      </c>
      <c r="B35" s="2">
        <f t="shared" si="2"/>
        <v>7.7406039299850242</v>
      </c>
      <c r="C35" s="23">
        <v>2</v>
      </c>
      <c r="D35" s="24">
        <v>20.580396311716999</v>
      </c>
      <c r="E35" s="42" t="s">
        <v>105</v>
      </c>
      <c r="F35" s="5">
        <v>3.1800000000000001E-3</v>
      </c>
      <c r="G35" s="5">
        <v>8.8599999999999998E-2</v>
      </c>
      <c r="H35" s="5">
        <v>8.43E-3</v>
      </c>
      <c r="I35" s="5">
        <v>0.56189999999999996</v>
      </c>
      <c r="J35" s="5">
        <v>0.1368</v>
      </c>
      <c r="K35" s="5">
        <v>4.9799999999999997E-2</v>
      </c>
      <c r="L35" s="5">
        <v>1.17E-2</v>
      </c>
      <c r="M35" s="5"/>
      <c r="N35" s="5">
        <v>1.98E-3</v>
      </c>
      <c r="O35" s="5">
        <v>2.5840000000000001</v>
      </c>
      <c r="P35" s="5"/>
      <c r="Q35" s="5">
        <v>0.41239999999999999</v>
      </c>
      <c r="R35" s="5">
        <v>4.4200000000000003E-3</v>
      </c>
      <c r="S35" s="5">
        <v>0.13639999999999999</v>
      </c>
      <c r="T35" s="43" t="str">
        <f t="shared" si="3"/>
        <v>OC04</v>
      </c>
      <c r="U35" s="39">
        <f t="shared" ref="U35:AH35" si="31">IF(OR(F35=0,F35&lt;0.00000000001,F35&gt;100000),"",IF((IF(F35&gt;F$5,ABS(LOG(((F$5/SUM($F35:$S35))/(F$4/SUM($F$4:$S$4)))*4+2,2)),ABS(LOG(((F35/SUM($F35:$S35))/(F$4/SUM($F$4:$S$4)))*4+2,2)))-3)&gt;8,(IF(F35&gt;F$5,ABS(LOG(((F$5/SUM($F35:$S35))/(F$4/SUM($F$4:$S$4)))*4+2,2)),ABS(LOG(((F35/SUM($F35:$S35))/(F$4/SUM($F$4:$S$4)))*4+2,2)))-3)/7,IF(F35&gt;F$5,ABS(LOG(((F$5/SUM($F35:$S35))/(F$4/SUM($F$4:$S$4)))*4+2,2)),ABS(LOG(((F35/SUM($F35:$S35))/(F$4/SUM($F$4:$S$4)))*4+2,2)))-3))</f>
        <v>2.1258447473709179</v>
      </c>
      <c r="V35" s="39">
        <f t="shared" si="31"/>
        <v>3.9574700062850869</v>
      </c>
      <c r="W35" s="39">
        <f t="shared" si="31"/>
        <v>1.9582282373946658</v>
      </c>
      <c r="X35" s="39">
        <f t="shared" si="31"/>
        <v>5.6064215923533212</v>
      </c>
      <c r="Y35" s="39">
        <f t="shared" si="31"/>
        <v>2.9020131010093975</v>
      </c>
      <c r="Z35" s="39">
        <f t="shared" si="31"/>
        <v>1.2496570339374193</v>
      </c>
      <c r="AA35" s="39">
        <f t="shared" si="31"/>
        <v>-0.40617964514449545</v>
      </c>
      <c r="AB35" s="39" t="str">
        <f t="shared" si="31"/>
        <v/>
      </c>
      <c r="AC35" s="39">
        <f t="shared" si="31"/>
        <v>-1.973366932442167</v>
      </c>
      <c r="AD35" s="39">
        <f t="shared" si="31"/>
        <v>4.3584791404906262</v>
      </c>
      <c r="AE35" s="39" t="str">
        <f t="shared" si="31"/>
        <v/>
      </c>
      <c r="AF35" s="39">
        <f t="shared" si="31"/>
        <v>-1.482781013334191</v>
      </c>
      <c r="AG35" s="39">
        <f t="shared" si="31"/>
        <v>-1.8939820174503366</v>
      </c>
      <c r="AH35" s="39">
        <f t="shared" si="31"/>
        <v>-1.7758570738611095</v>
      </c>
      <c r="AI35" s="44">
        <f t="shared" si="5"/>
        <v>1</v>
      </c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ht="9.75" customHeight="1" x14ac:dyDescent="0.25">
      <c r="A36" s="23">
        <v>28</v>
      </c>
      <c r="B36" s="2">
        <f t="shared" si="2"/>
        <v>11.879222995067837</v>
      </c>
      <c r="C36" s="23">
        <v>2</v>
      </c>
      <c r="D36" s="24">
        <v>17.253100926560599</v>
      </c>
      <c r="E36" s="42" t="s">
        <v>106</v>
      </c>
      <c r="F36" s="5">
        <v>2.6100000000000001E-5</v>
      </c>
      <c r="G36" s="5">
        <v>4.3400000000000001E-2</v>
      </c>
      <c r="H36" s="5">
        <v>3.27E-2</v>
      </c>
      <c r="I36" s="5">
        <v>0.7107</v>
      </c>
      <c r="J36" s="5">
        <v>2.3170000000000002</v>
      </c>
      <c r="K36" s="5">
        <v>0.23</v>
      </c>
      <c r="L36" s="5">
        <v>0.16200000000000001</v>
      </c>
      <c r="M36" s="5">
        <v>2.2599999999999999E-3</v>
      </c>
      <c r="N36" s="5">
        <v>6.28E-3</v>
      </c>
      <c r="O36" s="5">
        <v>12.61</v>
      </c>
      <c r="P36" s="5"/>
      <c r="Q36" s="5">
        <v>0.15859999999999999</v>
      </c>
      <c r="R36" s="5">
        <v>7.0899999999999999E-3</v>
      </c>
      <c r="S36" s="5">
        <v>0.25340000000000001</v>
      </c>
      <c r="T36" s="43" t="str">
        <f t="shared" si="3"/>
        <v>OC05</v>
      </c>
      <c r="U36" s="39">
        <f t="shared" ref="U36:AH36" si="32">IF(OR(F36=0,F36&lt;0.00000000001,F36&gt;100000),"",IF((IF(F36&gt;F$5,ABS(LOG(((F$5/SUM($F36:$S36))/(F$4/SUM($F$4:$S$4)))*4+2,2)),ABS(LOG(((F36/SUM($F36:$S36))/(F$4/SUM($F$4:$S$4)))*4+2,2)))-3)&gt;8,(IF(F36&gt;F$5,ABS(LOG(((F$5/SUM($F36:$S36))/(F$4/SUM($F$4:$S$4)))*4+2,2)),ABS(LOG(((F36/SUM($F36:$S36))/(F$4/SUM($F$4:$S$4)))*4+2,2)))-3)/7,IF(F36&gt;F$5,ABS(LOG(((F$5/SUM($F36:$S36))/(F$4/SUM($F$4:$S$4)))*4+2,2)),ABS(LOG(((F36/SUM($F36:$S36))/(F$4/SUM($F$4:$S$4)))*4+2,2)))-3))</f>
        <v>-1.9536097302463344</v>
      </c>
      <c r="V36" s="39">
        <f t="shared" si="32"/>
        <v>1.0435284529677027</v>
      </c>
      <c r="W36" s="39">
        <f t="shared" si="32"/>
        <v>1.8725404136515706</v>
      </c>
      <c r="X36" s="39">
        <f t="shared" si="32"/>
        <v>3.9145870876554687</v>
      </c>
      <c r="Y36" s="39">
        <f t="shared" si="32"/>
        <v>4.8997289932170132</v>
      </c>
      <c r="Z36" s="39">
        <f t="shared" si="32"/>
        <v>1.2724957551797325</v>
      </c>
      <c r="AA36" s="39">
        <f t="shared" si="32"/>
        <v>0.95623044913717825</v>
      </c>
      <c r="AB36" s="39">
        <f t="shared" si="32"/>
        <v>-1.2282038905876944</v>
      </c>
      <c r="AC36" s="39">
        <f t="shared" si="32"/>
        <v>-1.9795214823817768</v>
      </c>
      <c r="AD36" s="39">
        <f t="shared" si="32"/>
        <v>4.5952210791065475</v>
      </c>
      <c r="AE36" s="39" t="str">
        <f t="shared" si="32"/>
        <v/>
      </c>
      <c r="AF36" s="39">
        <f t="shared" si="32"/>
        <v>-1.9432564160713368</v>
      </c>
      <c r="AG36" s="39">
        <f t="shared" si="32"/>
        <v>-1.9579307210880197</v>
      </c>
      <c r="AH36" s="39">
        <f t="shared" si="32"/>
        <v>-1.8949403750984284</v>
      </c>
      <c r="AI36" s="44">
        <f t="shared" si="5"/>
        <v>1</v>
      </c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ht="9.75" customHeight="1" x14ac:dyDescent="0.25">
      <c r="A37" s="23">
        <v>29</v>
      </c>
      <c r="B37" s="2">
        <f t="shared" si="2"/>
        <v>11.867229269162463</v>
      </c>
      <c r="C37" s="23">
        <v>2</v>
      </c>
      <c r="D37" s="24">
        <v>22.0654342056045</v>
      </c>
      <c r="E37" s="42" t="s">
        <v>107</v>
      </c>
      <c r="F37" s="5">
        <v>1.2799999999999999E-4</v>
      </c>
      <c r="G37" s="5">
        <v>6.7599999999999993E-2</v>
      </c>
      <c r="H37" s="5">
        <v>2.2599999999999999E-2</v>
      </c>
      <c r="I37" s="5">
        <v>1.091</v>
      </c>
      <c r="J37" s="5">
        <v>0.33700000000000002</v>
      </c>
      <c r="K37" s="5">
        <v>2.6100000000000002E-2</v>
      </c>
      <c r="L37" s="5">
        <v>6.4500000000000002E-2</v>
      </c>
      <c r="M37" s="5"/>
      <c r="N37" s="5">
        <v>2.61E-4</v>
      </c>
      <c r="O37" s="5">
        <v>0.77849999999999997</v>
      </c>
      <c r="P37" s="5">
        <v>1.2799999999999999E-4</v>
      </c>
      <c r="Q37" s="5">
        <v>1.498</v>
      </c>
      <c r="R37" s="5">
        <v>0.1118</v>
      </c>
      <c r="S37" s="5">
        <v>0.38840000000000002</v>
      </c>
      <c r="T37" s="43" t="str">
        <f t="shared" si="3"/>
        <v>OC06</v>
      </c>
      <c r="U37" s="39">
        <f t="shared" ref="U37:AH37" si="33">IF(OR(F37=0,F37&lt;0.00000000001,F37&gt;100000),"",IF((IF(F37&gt;F$5,ABS(LOG(((F$5/SUM($F37:$S37))/(F$4/SUM($F$4:$S$4)))*4+2,2)),ABS(LOG(((F37/SUM($F37:$S37))/(F$4/SUM($F$4:$S$4)))*4+2,2)))-3)&gt;8,(IF(F37&gt;F$5,ABS(LOG(((F$5/SUM($F37:$S37))/(F$4/SUM($F$4:$S$4)))*4+2,2)),ABS(LOG(((F37/SUM($F37:$S37))/(F$4/SUM($F$4:$S$4)))*4+2,2)))-3)/7,IF(F37&gt;F$5,ABS(LOG(((F$5/SUM($F37:$S37))/(F$4/SUM($F$4:$S$4)))*4+2,2)),ABS(LOG(((F37/SUM($F37:$S37))/(F$4/SUM($F$4:$S$4)))*4+2,2)))-3))</f>
        <v>-1.3182265811920644</v>
      </c>
      <c r="V37" s="39">
        <f t="shared" si="33"/>
        <v>3.4442509239874344</v>
      </c>
      <c r="W37" s="39">
        <f t="shared" si="33"/>
        <v>3.1919736811068535</v>
      </c>
      <c r="X37" s="39">
        <f t="shared" si="33"/>
        <v>6.4274098094629419</v>
      </c>
      <c r="Y37" s="39">
        <f t="shared" si="33"/>
        <v>4.0426169685268611</v>
      </c>
      <c r="Z37" s="39">
        <f t="shared" si="33"/>
        <v>7.6833675807333197</v>
      </c>
      <c r="AA37" s="39">
        <f t="shared" si="33"/>
        <v>1.4786051395169517</v>
      </c>
      <c r="AB37" s="39" t="str">
        <f t="shared" si="33"/>
        <v/>
      </c>
      <c r="AC37" s="39">
        <f t="shared" si="33"/>
        <v>-1.9967724513249572</v>
      </c>
      <c r="AD37" s="39">
        <f t="shared" si="33"/>
        <v>2.5402746331703865</v>
      </c>
      <c r="AE37" s="39">
        <f t="shared" si="33"/>
        <v>-1.9913107494804991</v>
      </c>
      <c r="AF37" s="39">
        <f t="shared" si="33"/>
        <v>-0.7200660187509218</v>
      </c>
      <c r="AG37" s="39">
        <f t="shared" si="33"/>
        <v>-0.53593705883612275</v>
      </c>
      <c r="AH37" s="39">
        <f t="shared" si="33"/>
        <v>-1.4774904452947037</v>
      </c>
      <c r="AI37" s="44">
        <f t="shared" si="5"/>
        <v>1</v>
      </c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ht="9.75" customHeight="1" x14ac:dyDescent="0.25">
      <c r="A38" s="23">
        <v>30</v>
      </c>
      <c r="B38" s="2">
        <f t="shared" si="2"/>
        <v>9.1181061640092782</v>
      </c>
      <c r="C38" s="23">
        <v>2</v>
      </c>
      <c r="D38" s="24">
        <v>17.247320382591202</v>
      </c>
      <c r="E38" s="42" t="s">
        <v>108</v>
      </c>
      <c r="F38" s="5">
        <v>8.7799999999999998E-4</v>
      </c>
      <c r="G38" s="5">
        <v>0.14680000000000001</v>
      </c>
      <c r="H38" s="5">
        <v>4.9599999999999998E-2</v>
      </c>
      <c r="I38" s="5">
        <v>0.75029999999999997</v>
      </c>
      <c r="J38" s="5">
        <v>1.3280000000000001</v>
      </c>
      <c r="K38" s="5">
        <v>0.20880000000000001</v>
      </c>
      <c r="L38" s="5">
        <v>0.1593</v>
      </c>
      <c r="M38" s="5">
        <v>4.7999999999999996E-3</v>
      </c>
      <c r="N38" s="5">
        <v>1.0500000000000001E-2</v>
      </c>
      <c r="O38" s="5">
        <v>1.28</v>
      </c>
      <c r="P38" s="5">
        <v>1.72E-3</v>
      </c>
      <c r="Q38" s="5">
        <v>1.0149999999999999</v>
      </c>
      <c r="R38" s="5">
        <v>9.1299999999999992E-3</v>
      </c>
      <c r="S38" s="5">
        <v>0.63070000000000004</v>
      </c>
      <c r="T38" s="43" t="str">
        <f t="shared" si="3"/>
        <v>OC07</v>
      </c>
      <c r="U38" s="39">
        <f t="shared" ref="U38:AH38" si="34">IF(OR(F38=0,F38&lt;0.00000000001,F38&gt;100000),"",IF((IF(F38&gt;F$5,ABS(LOG(((F$5/SUM($F38:$S38))/(F$4/SUM($F$4:$S$4)))*4+2,2)),ABS(LOG(((F38/SUM($F38:$S38))/(F$4/SUM($F$4:$S$4)))*4+2,2)))-3)&gt;8,(IF(F38&gt;F$5,ABS(LOG(((F$5/SUM($F38:$S38))/(F$4/SUM($F$4:$S$4)))*4+2,2)),ABS(LOG(((F38/SUM($F38:$S38))/(F$4/SUM($F$4:$S$4)))*4+2,2)))-3)/7,IF(F38&gt;F$5,ABS(LOG(((F$5/SUM($F38:$S38))/(F$4/SUM($F$4:$S$4)))*4+2,2)),ABS(LOG(((F38/SUM($F38:$S38))/(F$4/SUM($F$4:$S$4)))*4+2,2)))-3))</f>
        <v>8.6819481711374991E-2</v>
      </c>
      <c r="V38" s="39">
        <f t="shared" si="34"/>
        <v>4.1979106309321406</v>
      </c>
      <c r="W38" s="39">
        <f t="shared" si="34"/>
        <v>3.9580077874010415</v>
      </c>
      <c r="X38" s="39">
        <f t="shared" si="34"/>
        <v>5.5395140820660469</v>
      </c>
      <c r="Y38" s="39">
        <f t="shared" si="34"/>
        <v>5.6548118118475816</v>
      </c>
      <c r="Z38" s="39">
        <f t="shared" si="34"/>
        <v>1.4757898748202281</v>
      </c>
      <c r="AA38" s="39">
        <f t="shared" si="34"/>
        <v>2.3676511422853022</v>
      </c>
      <c r="AB38" s="39">
        <f t="shared" si="34"/>
        <v>0.44342728163735812</v>
      </c>
      <c r="AC38" s="39">
        <f t="shared" si="34"/>
        <v>-1.9015459396032686</v>
      </c>
      <c r="AD38" s="39">
        <f t="shared" si="34"/>
        <v>2.892325845140709</v>
      </c>
      <c r="AE38" s="39">
        <f t="shared" si="34"/>
        <v>-1.91100321014764</v>
      </c>
      <c r="AF38" s="39">
        <f t="shared" si="34"/>
        <v>-1.1855961678121856</v>
      </c>
      <c r="AG38" s="39">
        <f t="shared" si="34"/>
        <v>-1.846082907920781</v>
      </c>
      <c r="AH38" s="39">
        <f t="shared" si="34"/>
        <v>-1.3625918947309659</v>
      </c>
      <c r="AI38" s="44">
        <f t="shared" si="5"/>
        <v>1</v>
      </c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ht="9.75" customHeight="1" x14ac:dyDescent="0.25">
      <c r="A39" s="23">
        <v>31</v>
      </c>
      <c r="B39" s="2">
        <f t="shared" si="2"/>
        <v>10.599553615864059</v>
      </c>
      <c r="C39" s="23">
        <v>2</v>
      </c>
      <c r="D39" s="24">
        <v>22.607310034427801</v>
      </c>
      <c r="E39" s="42" t="s">
        <v>109</v>
      </c>
      <c r="F39" s="5">
        <v>3.2800000000000003E-2</v>
      </c>
      <c r="G39" s="5">
        <v>0.54039999999999999</v>
      </c>
      <c r="H39" s="5">
        <v>2.8799999999999999E-2</v>
      </c>
      <c r="I39" s="5">
        <v>3.2759999999999998</v>
      </c>
      <c r="J39" s="5">
        <v>2.3490000000000002</v>
      </c>
      <c r="K39" s="5">
        <v>0.34799999999999998</v>
      </c>
      <c r="L39" s="5">
        <v>4.58E-2</v>
      </c>
      <c r="M39" s="5"/>
      <c r="N39" s="5">
        <v>5.3400000000000003E-2</v>
      </c>
      <c r="O39" s="5">
        <v>34.590000000000003</v>
      </c>
      <c r="P39" s="5">
        <v>5.8900000000000003E-3</v>
      </c>
      <c r="Q39" s="5">
        <v>2.173</v>
      </c>
      <c r="R39" s="5">
        <v>0.10299999999999999</v>
      </c>
      <c r="S39" s="5">
        <v>0.20730000000000001</v>
      </c>
      <c r="T39" s="43" t="str">
        <f t="shared" si="3"/>
        <v>OC08</v>
      </c>
      <c r="U39" s="39">
        <f t="shared" ref="U39:AH39" si="35">IF(OR(F39=0,F39&lt;0.00000000001,F39&gt;100000),"",IF((IF(F39&gt;F$5,ABS(LOG(((F$5/SUM($F39:$S39))/(F$4/SUM($F$4:$S$4)))*4+2,2)),ABS(LOG(((F39/SUM($F39:$S39))/(F$4/SUM($F$4:$S$4)))*4+2,2)))-3)&gt;8,(IF(F39&gt;F$5,ABS(LOG(((F$5/SUM($F39:$S39))/(F$4/SUM($F$4:$S$4)))*4+2,2)),ABS(LOG(((F39/SUM($F39:$S39))/(F$4/SUM($F$4:$S$4)))*4+2,2)))-3)/7,IF(F39&gt;F$5,ABS(LOG(((F$5/SUM($F39:$S39))/(F$4/SUM($F$4:$S$4)))*4+2,2)),ABS(LOG(((F39/SUM($F39:$S39))/(F$4/SUM($F$4:$S$4)))*4+2,2)))-3))</f>
        <v>2.0459765606232416</v>
      </c>
      <c r="V39" s="39">
        <f t="shared" si="35"/>
        <v>3.1329622490574867</v>
      </c>
      <c r="W39" s="39">
        <f t="shared" si="35"/>
        <v>0.47037685851933242</v>
      </c>
      <c r="X39" s="39">
        <f t="shared" si="35"/>
        <v>4.7049810913102244</v>
      </c>
      <c r="Y39" s="39">
        <f t="shared" si="35"/>
        <v>3.5348373234122974</v>
      </c>
      <c r="Z39" s="39">
        <f t="shared" si="35"/>
        <v>1.1573542498604181</v>
      </c>
      <c r="AA39" s="39">
        <f t="shared" si="35"/>
        <v>-1.215675324173336</v>
      </c>
      <c r="AB39" s="39" t="str">
        <f t="shared" si="35"/>
        <v/>
      </c>
      <c r="AC39" s="39">
        <f t="shared" si="35"/>
        <v>-1.9352068347102498</v>
      </c>
      <c r="AD39" s="39">
        <f t="shared" si="35"/>
        <v>4.6464751936913267</v>
      </c>
      <c r="AE39" s="39">
        <f t="shared" si="35"/>
        <v>-1.9603472995218154</v>
      </c>
      <c r="AF39" s="39">
        <f t="shared" si="35"/>
        <v>-1.7277476083464636</v>
      </c>
      <c r="AG39" s="39">
        <f t="shared" si="35"/>
        <v>-1.7828493544689685</v>
      </c>
      <c r="AH39" s="39">
        <f t="shared" si="35"/>
        <v>-1.9666982218216897</v>
      </c>
      <c r="AI39" s="44">
        <f t="shared" si="5"/>
        <v>1</v>
      </c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ht="9.75" customHeight="1" x14ac:dyDescent="0.25">
      <c r="A40" s="23">
        <v>32</v>
      </c>
      <c r="B40" s="2">
        <f t="shared" si="2"/>
        <v>11.357783560543764</v>
      </c>
      <c r="C40" s="23">
        <v>2</v>
      </c>
      <c r="D40" s="24">
        <v>21.4242652525529</v>
      </c>
      <c r="E40" s="42" t="s">
        <v>110</v>
      </c>
      <c r="F40" s="5"/>
      <c r="G40" s="5">
        <v>0.2727</v>
      </c>
      <c r="H40" s="5">
        <v>4.5199999999999997E-2</v>
      </c>
      <c r="I40" s="5">
        <v>0.93810000000000004</v>
      </c>
      <c r="J40" s="5">
        <v>0.33700000000000002</v>
      </c>
      <c r="K40" s="5">
        <v>0.15559999999999999</v>
      </c>
      <c r="L40" s="5">
        <v>0.1943</v>
      </c>
      <c r="M40" s="5">
        <v>6.1999999999999998E-3</v>
      </c>
      <c r="N40" s="5">
        <v>5.1799999999999997E-3</v>
      </c>
      <c r="O40" s="5">
        <v>1.603</v>
      </c>
      <c r="P40" s="5">
        <v>2.0100000000000001E-3</v>
      </c>
      <c r="Q40" s="5">
        <v>7.3599999999999999E-2</v>
      </c>
      <c r="R40" s="5">
        <v>9.2899999999999996E-3</v>
      </c>
      <c r="S40" s="5">
        <v>8.0299999999999996E-2</v>
      </c>
      <c r="T40" s="43" t="str">
        <f t="shared" si="3"/>
        <v>OC09</v>
      </c>
      <c r="U40" s="39" t="str">
        <f t="shared" ref="U40:AH40" si="36">IF(OR(F40=0,F40&lt;0.00000000001,F40&gt;100000),"",IF((IF(F40&gt;F$5,ABS(LOG(((F$5/SUM($F40:$S40))/(F$4/SUM($F$4:$S$4)))*4+2,2)),ABS(LOG(((F40/SUM($F40:$S40))/(F$4/SUM($F$4:$S$4)))*4+2,2)))-3)&gt;8,(IF(F40&gt;F$5,ABS(LOG(((F$5/SUM($F40:$S40))/(F$4/SUM($F$4:$S$4)))*4+2,2)),ABS(LOG(((F40/SUM($F40:$S40))/(F$4/SUM($F$4:$S$4)))*4+2,2)))-3)/7,IF(F40&gt;F$5,ABS(LOG(((F$5/SUM($F40:$S40))/(F$4/SUM($F$4:$S$4)))*4+2,2)),ABS(LOG(((F40/SUM($F40:$S40))/(F$4/SUM($F$4:$S$4)))*4+2,2)))-3))</f>
        <v/>
      </c>
      <c r="V40" s="39">
        <f t="shared" si="36"/>
        <v>5.6667135854975221</v>
      </c>
      <c r="W40" s="39">
        <f t="shared" si="36"/>
        <v>4.4057212961399186</v>
      </c>
      <c r="X40" s="39">
        <f t="shared" si="36"/>
        <v>6.4461653564232027</v>
      </c>
      <c r="Y40" s="39">
        <f t="shared" si="36"/>
        <v>4.2759494601663475</v>
      </c>
      <c r="Z40" s="39">
        <f t="shared" si="36"/>
        <v>1.4991756564419429</v>
      </c>
      <c r="AA40" s="39">
        <f t="shared" si="36"/>
        <v>3.2100781806781429</v>
      </c>
      <c r="AB40" s="39">
        <f t="shared" si="36"/>
        <v>1.2659437228061057</v>
      </c>
      <c r="AC40" s="39">
        <f t="shared" si="36"/>
        <v>-1.9263532178385399</v>
      </c>
      <c r="AD40" s="39">
        <f t="shared" si="36"/>
        <v>3.7820122986569578</v>
      </c>
      <c r="AE40" s="39">
        <f t="shared" si="36"/>
        <v>-1.8471366080438876</v>
      </c>
      <c r="AF40" s="39">
        <f t="shared" si="36"/>
        <v>-1.8853889371311978</v>
      </c>
      <c r="AG40" s="39">
        <f t="shared" si="36"/>
        <v>-1.7707785351572367</v>
      </c>
      <c r="AH40" s="39">
        <f t="shared" si="36"/>
        <v>-1.8542326780606149</v>
      </c>
      <c r="AI40" s="44">
        <f t="shared" si="5"/>
        <v>1</v>
      </c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ht="9.75" customHeight="1" x14ac:dyDescent="0.25">
      <c r="A41" s="23">
        <v>33</v>
      </c>
      <c r="B41" s="2">
        <f t="shared" si="2"/>
        <v>7.9381388036901654</v>
      </c>
      <c r="C41" s="23">
        <v>2</v>
      </c>
      <c r="D41" s="24">
        <v>20.7005550613518</v>
      </c>
      <c r="E41" s="42" t="s">
        <v>111</v>
      </c>
      <c r="F41" s="5">
        <v>2.9600000000000001E-5</v>
      </c>
      <c r="G41" s="5">
        <v>2.3300000000000001E-2</v>
      </c>
      <c r="H41" s="5">
        <v>3.0200000000000001E-2</v>
      </c>
      <c r="I41" s="5">
        <v>0.86909999999999998</v>
      </c>
      <c r="J41" s="5">
        <v>0.32379999999999998</v>
      </c>
      <c r="K41" s="5">
        <v>7.1199999999999999E-2</v>
      </c>
      <c r="L41" s="5">
        <v>4.9599999999999998E-2</v>
      </c>
      <c r="M41" s="5">
        <v>4.0500000000000002E-6</v>
      </c>
      <c r="N41" s="5">
        <v>3.6299999999999999E-2</v>
      </c>
      <c r="O41" s="5">
        <v>0.1031</v>
      </c>
      <c r="P41" s="5">
        <v>5.0200000000000002E-3</v>
      </c>
      <c r="Q41" s="5">
        <v>0.1933</v>
      </c>
      <c r="R41" s="5">
        <v>6.4199999999999993E-2</v>
      </c>
      <c r="S41" s="5">
        <v>0.28399999999999997</v>
      </c>
      <c r="T41" s="43" t="str">
        <f t="shared" si="3"/>
        <v>OC10</v>
      </c>
      <c r="U41" s="39">
        <f t="shared" ref="U41:AH41" si="37">IF(OR(F41=0,F41&lt;0.00000000001,F41&gt;100000),"",IF((IF(F41&gt;F$5,ABS(LOG(((F$5/SUM($F41:$S41))/(F$4/SUM($F$4:$S$4)))*4+2,2)),ABS(LOG(((F41/SUM($F41:$S41))/(F$4/SUM($F$4:$S$4)))*4+2,2)))-3)&gt;8,(IF(F41&gt;F$5,ABS(LOG(((F$5/SUM($F41:$S41))/(F$4/SUM($F$4:$S$4)))*4+2,2)),ABS(LOG(((F41/SUM($F41:$S41))/(F$4/SUM($F$4:$S$4)))*4+2,2)))-3)/7,IF(F41&gt;F$5,ABS(LOG(((F$5/SUM($F41:$S41))/(F$4/SUM($F$4:$S$4)))*4+2,2)),ABS(LOG(((F41/SUM($F41:$S41))/(F$4/SUM($F$4:$S$4)))*4+2,2)))-3))</f>
        <v>-1.6232283865342541</v>
      </c>
      <c r="V41" s="39">
        <f t="shared" si="37"/>
        <v>3.0144457262511768</v>
      </c>
      <c r="W41" s="39">
        <f t="shared" si="37"/>
        <v>4.6793973156010731</v>
      </c>
      <c r="X41" s="39">
        <f t="shared" si="37"/>
        <v>7.1926935229728173</v>
      </c>
      <c r="Y41" s="39">
        <f t="shared" si="37"/>
        <v>5.0687740918773638</v>
      </c>
      <c r="Z41" s="39">
        <f t="shared" si="37"/>
        <v>1.4606872190469766</v>
      </c>
      <c r="AA41" s="39">
        <f t="shared" si="37"/>
        <v>2.1431674875597402</v>
      </c>
      <c r="AB41" s="39">
        <f t="shared" si="37"/>
        <v>-1.9853473072773427</v>
      </c>
      <c r="AC41" s="39">
        <f t="shared" si="37"/>
        <v>-1.2641096005134129</v>
      </c>
      <c r="AD41" s="39">
        <f t="shared" si="37"/>
        <v>0.86786595958021584</v>
      </c>
      <c r="AE41" s="39">
        <f t="shared" si="37"/>
        <v>-1.409157244200798</v>
      </c>
      <c r="AF41" s="39">
        <f t="shared" si="37"/>
        <v>-1.5210645352578127</v>
      </c>
      <c r="AG41" s="39">
        <f t="shared" si="37"/>
        <v>-0.34117605198398282</v>
      </c>
      <c r="AH41" s="39">
        <f t="shared" si="37"/>
        <v>-1.2500379658246197</v>
      </c>
      <c r="AI41" s="44">
        <f t="shared" si="5"/>
        <v>1</v>
      </c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ht="9.75" customHeight="1" x14ac:dyDescent="0.25">
      <c r="A42" s="23">
        <v>34</v>
      </c>
      <c r="B42" s="2">
        <f t="shared" si="2"/>
        <v>8.1781191569358747</v>
      </c>
      <c r="C42" s="23">
        <v>2</v>
      </c>
      <c r="D42" s="24">
        <v>21.8912642966832</v>
      </c>
      <c r="E42" s="42" t="s">
        <v>112</v>
      </c>
      <c r="F42" s="5"/>
      <c r="G42" s="5">
        <v>0.26819999999999999</v>
      </c>
      <c r="H42" s="5">
        <v>0.1363</v>
      </c>
      <c r="I42" s="5">
        <v>1.819</v>
      </c>
      <c r="J42" s="5">
        <v>4.133</v>
      </c>
      <c r="K42" s="5">
        <v>0.60429999999999995</v>
      </c>
      <c r="L42" s="5">
        <v>0.18779999999999999</v>
      </c>
      <c r="M42" s="5">
        <v>4.2399999999999998E-3</v>
      </c>
      <c r="N42" s="5">
        <v>0.1638</v>
      </c>
      <c r="O42" s="5">
        <v>5.5259999999999998</v>
      </c>
      <c r="P42" s="5">
        <v>1.5499999999999999E-3</v>
      </c>
      <c r="Q42" s="5">
        <v>1.579</v>
      </c>
      <c r="R42" s="5">
        <v>1.7500000000000002E-2</v>
      </c>
      <c r="S42" s="5">
        <v>1.0109999999999999</v>
      </c>
      <c r="T42" s="43" t="str">
        <f t="shared" si="3"/>
        <v>OC11</v>
      </c>
      <c r="U42" s="39" t="str">
        <f t="shared" ref="U42:AH42" si="38">IF(OR(F42=0,F42&lt;0.00000000001,F42&gt;100000),"",IF((IF(F42&gt;F$5,ABS(LOG(((F$5/SUM($F42:$S42))/(F$4/SUM($F$4:$S$4)))*4+2,2)),ABS(LOG(((F42/SUM($F42:$S42))/(F$4/SUM($F$4:$S$4)))*4+2,2)))-3)&gt;8,(IF(F42&gt;F$5,ABS(LOG(((F$5/SUM($F42:$S42))/(F$4/SUM($F$4:$S$4)))*4+2,2)),ABS(LOG(((F42/SUM($F42:$S42))/(F$4/SUM($F$4:$S$4)))*4+2,2)))-3)/7,IF(F42&gt;F$5,ABS(LOG(((F$5/SUM($F42:$S42))/(F$4/SUM($F$4:$S$4)))*4+2,2)),ABS(LOG(((F42/SUM($F42:$S42))/(F$4/SUM($F$4:$S$4)))*4+2,2)))-3))</f>
        <v/>
      </c>
      <c r="V42" s="39">
        <f t="shared" si="38"/>
        <v>3.611966422272749</v>
      </c>
      <c r="W42" s="39">
        <f t="shared" si="38"/>
        <v>3.9510764626520141</v>
      </c>
      <c r="X42" s="39">
        <f t="shared" si="38"/>
        <v>5.3527794480363902</v>
      </c>
      <c r="Y42" s="39">
        <f t="shared" si="38"/>
        <v>5.8265204903536496</v>
      </c>
      <c r="Z42" s="39">
        <f t="shared" si="38"/>
        <v>1.4854630067029224</v>
      </c>
      <c r="AA42" s="39">
        <f t="shared" si="38"/>
        <v>1.2305702009898791</v>
      </c>
      <c r="AB42" s="39">
        <f t="shared" si="38"/>
        <v>-0.72495752706912464</v>
      </c>
      <c r="AC42" s="39">
        <f t="shared" si="38"/>
        <v>-1.5156239660134907</v>
      </c>
      <c r="AD42" s="39">
        <f t="shared" si="38"/>
        <v>3.5193864559218557</v>
      </c>
      <c r="AE42" s="39">
        <f t="shared" si="38"/>
        <v>-1.9703492039831492</v>
      </c>
      <c r="AF42" s="39">
        <f t="shared" si="38"/>
        <v>-1.486666950083315</v>
      </c>
      <c r="AG42" s="39">
        <f t="shared" si="38"/>
        <v>-1.8914448673888413</v>
      </c>
      <c r="AH42" s="39">
        <f t="shared" si="38"/>
        <v>-1.5967543117440064</v>
      </c>
      <c r="AI42" s="44">
        <f t="shared" si="5"/>
        <v>1</v>
      </c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ht="9.75" customHeight="1" x14ac:dyDescent="0.25">
      <c r="A43" s="23">
        <v>35</v>
      </c>
      <c r="B43" s="2">
        <f t="shared" si="2"/>
        <v>8.2920894593523062</v>
      </c>
      <c r="C43" s="23">
        <v>2</v>
      </c>
      <c r="D43" s="24">
        <v>23.255031163515099</v>
      </c>
      <c r="E43" s="42" t="s">
        <v>113</v>
      </c>
      <c r="F43" s="5"/>
      <c r="G43" s="5">
        <v>0.60909999999999997</v>
      </c>
      <c r="H43" s="5">
        <v>8.2699999999999996E-2</v>
      </c>
      <c r="I43" s="5">
        <v>4.6500000000000004</v>
      </c>
      <c r="J43" s="5">
        <v>1.0329999999999999</v>
      </c>
      <c r="K43" s="5">
        <v>0.30669999999999997</v>
      </c>
      <c r="L43" s="5">
        <v>6.6900000000000001E-2</v>
      </c>
      <c r="M43" s="5">
        <v>2.19E-5</v>
      </c>
      <c r="N43" s="5">
        <v>0.24260000000000001</v>
      </c>
      <c r="O43" s="5">
        <v>2.4830000000000001</v>
      </c>
      <c r="P43" s="5">
        <v>1.4799999999999999E-4</v>
      </c>
      <c r="Q43" s="5">
        <v>0.248</v>
      </c>
      <c r="R43" s="5">
        <v>3.8E-3</v>
      </c>
      <c r="S43" s="5">
        <v>0.28360000000000002</v>
      </c>
      <c r="T43" s="43" t="str">
        <f t="shared" si="3"/>
        <v>OC12</v>
      </c>
      <c r="U43" s="39" t="str">
        <f t="shared" ref="U43:AH43" si="39">IF(OR(F43=0,F43&lt;0.00000000001,F43&gt;100000),"",IF((IF(F43&gt;F$5,ABS(LOG(((F$5/SUM($F43:$S43))/(F$4/SUM($F$4:$S$4)))*4+2,2)),ABS(LOG(((F43/SUM($F43:$S43))/(F$4/SUM($F$4:$S$4)))*4+2,2)))-3)&gt;8,(IF(F43&gt;F$5,ABS(LOG(((F$5/SUM($F43:$S43))/(F$4/SUM($F$4:$S$4)))*4+2,2)),ABS(LOG(((F43/SUM($F43:$S43))/(F$4/SUM($F$4:$S$4)))*4+2,2)))-3)/7,IF(F43&gt;F$5,ABS(LOG(((F$5/SUM($F43:$S43))/(F$4/SUM($F$4:$S$4)))*4+2,2)),ABS(LOG(((F43/SUM($F43:$S43))/(F$4/SUM($F$4:$S$4)))*4+2,2)))-3))</f>
        <v/>
      </c>
      <c r="V43" s="39">
        <f t="shared" si="39"/>
        <v>5.4004807770726604</v>
      </c>
      <c r="W43" s="39">
        <f t="shared" si="39"/>
        <v>3.85821155168271</v>
      </c>
      <c r="X43" s="39">
        <f t="shared" si="39"/>
        <v>7.326644701734768</v>
      </c>
      <c r="Y43" s="39">
        <f t="shared" si="39"/>
        <v>4.4626376991054686</v>
      </c>
      <c r="Z43" s="39">
        <f t="shared" si="39"/>
        <v>1.4351803982245495</v>
      </c>
      <c r="AA43" s="39">
        <f t="shared" si="39"/>
        <v>0.48845163850258277</v>
      </c>
      <c r="AB43" s="39">
        <f t="shared" si="39"/>
        <v>-1.9837567570639723</v>
      </c>
      <c r="AC43" s="39">
        <f t="shared" si="39"/>
        <v>-1.0647677446652355</v>
      </c>
      <c r="AD43" s="39">
        <f t="shared" si="39"/>
        <v>3.0054463658673454</v>
      </c>
      <c r="AE43" s="39">
        <f t="shared" si="39"/>
        <v>-1.9955910649883861</v>
      </c>
      <c r="AF43" s="39">
        <f t="shared" si="39"/>
        <v>-1.8577676847205542</v>
      </c>
      <c r="AG43" s="39">
        <f t="shared" si="39"/>
        <v>-1.9626946609668916</v>
      </c>
      <c r="AH43" s="39">
        <f t="shared" si="39"/>
        <v>-1.8114184494029411</v>
      </c>
      <c r="AI43" s="44">
        <f t="shared" si="5"/>
        <v>1</v>
      </c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ht="9.75" customHeight="1" x14ac:dyDescent="0.25">
      <c r="A44" s="23">
        <v>36</v>
      </c>
      <c r="B44" s="2">
        <f t="shared" si="2"/>
        <v>7.5753926949207226</v>
      </c>
      <c r="C44" s="23">
        <v>2</v>
      </c>
      <c r="D44" s="24">
        <v>16.4325628089308</v>
      </c>
      <c r="E44" s="42" t="s">
        <v>114</v>
      </c>
      <c r="F44" s="5">
        <v>4.3600000000000002E-3</v>
      </c>
      <c r="G44" s="5">
        <v>3.8399999999999997E-2</v>
      </c>
      <c r="H44" s="5">
        <v>2.5000000000000001E-2</v>
      </c>
      <c r="I44" s="5">
        <v>0.99180000000000001</v>
      </c>
      <c r="J44" s="5">
        <v>0.29909999999999998</v>
      </c>
      <c r="K44" s="5">
        <v>0.12959999999999999</v>
      </c>
      <c r="L44" s="5">
        <v>6.6500000000000004E-2</v>
      </c>
      <c r="M44" s="5">
        <v>1.83E-3</v>
      </c>
      <c r="N44" s="5">
        <v>5.5199999999999997E-4</v>
      </c>
      <c r="O44" s="5">
        <v>1.978</v>
      </c>
      <c r="P44" s="5">
        <v>8.7600000000000004E-3</v>
      </c>
      <c r="Q44" s="5">
        <v>1.46</v>
      </c>
      <c r="R44" s="5">
        <v>5.6899999999999997E-3</v>
      </c>
      <c r="S44" s="5">
        <v>0.66090000000000004</v>
      </c>
      <c r="T44" s="43" t="str">
        <f t="shared" si="3"/>
        <v>OC13</v>
      </c>
      <c r="U44" s="39">
        <f t="shared" ref="U44:AH44" si="40">IF(OR(F44=0,F44&lt;0.00000000001,F44&gt;100000),"",IF((IF(F44&gt;F$5,ABS(LOG(((F$5/SUM($F44:$S44))/(F$4/SUM($F$4:$S$4)))*4+2,2)),ABS(LOG(((F44/SUM($F44:$S44))/(F$4/SUM($F$4:$S$4)))*4+2,2)))-3)&gt;8,(IF(F44&gt;F$5,ABS(LOG(((F$5/SUM($F44:$S44))/(F$4/SUM($F$4:$S$4)))*4+2,2)),ABS(LOG(((F44/SUM($F44:$S44))/(F$4/SUM($F$4:$S$4)))*4+2,2)))-3)/7,IF(F44&gt;F$5,ABS(LOG(((F$5/SUM($F44:$S44))/(F$4/SUM($F$4:$S$4)))*4+2,2)),ABS(LOG(((F44/SUM($F44:$S44))/(F$4/SUM($F$4:$S$4)))*4+2,2)))-3))</f>
        <v>2.0803429908418876</v>
      </c>
      <c r="V44" s="39">
        <f t="shared" si="40"/>
        <v>2.2994434141781586</v>
      </c>
      <c r="W44" s="39">
        <f t="shared" si="40"/>
        <v>2.973660939165236</v>
      </c>
      <c r="X44" s="39">
        <f t="shared" si="40"/>
        <v>5.9210853623642965</v>
      </c>
      <c r="Y44" s="39">
        <f t="shared" si="40"/>
        <v>3.5098941749877515</v>
      </c>
      <c r="Z44" s="39">
        <f t="shared" si="40"/>
        <v>1.3747786705689633</v>
      </c>
      <c r="AA44" s="39">
        <f t="shared" si="40"/>
        <v>1.1845989080200043</v>
      </c>
      <c r="AB44" s="39">
        <f t="shared" si="40"/>
        <v>-0.58309683420416825</v>
      </c>
      <c r="AC44" s="39">
        <f t="shared" si="40"/>
        <v>-1.9947239068860432</v>
      </c>
      <c r="AD44" s="39">
        <f t="shared" si="40"/>
        <v>3.4842060967037876</v>
      </c>
      <c r="AE44" s="39">
        <f t="shared" si="40"/>
        <v>-1.5996955325895765</v>
      </c>
      <c r="AF44" s="39">
        <f t="shared" si="40"/>
        <v>-0.94569195297043729</v>
      </c>
      <c r="AG44" s="39">
        <f t="shared" si="40"/>
        <v>-1.9034164688516377</v>
      </c>
      <c r="AH44" s="39">
        <f t="shared" si="40"/>
        <v>-1.3451640261601967</v>
      </c>
      <c r="AI44" s="44">
        <f t="shared" si="5"/>
        <v>1</v>
      </c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ht="9.75" customHeight="1" x14ac:dyDescent="0.25">
      <c r="A45" s="23">
        <v>37</v>
      </c>
      <c r="B45" s="2">
        <f t="shared" si="2"/>
        <v>11.108474574868971</v>
      </c>
      <c r="C45" s="23">
        <v>2</v>
      </c>
      <c r="D45" s="24">
        <v>24.003163719337401</v>
      </c>
      <c r="E45" s="42" t="s">
        <v>115</v>
      </c>
      <c r="F45" s="5">
        <v>2.3E-2</v>
      </c>
      <c r="G45" s="5">
        <v>1.2300000000000001E-4</v>
      </c>
      <c r="H45" s="5">
        <v>0.2409</v>
      </c>
      <c r="I45" s="5">
        <v>2.3109999999999999</v>
      </c>
      <c r="J45" s="5">
        <v>0.1246</v>
      </c>
      <c r="K45" s="5">
        <v>5.4899999999999997E-2</v>
      </c>
      <c r="L45" s="5">
        <v>0.12559999999999999</v>
      </c>
      <c r="M45" s="5"/>
      <c r="N45" s="5">
        <v>0.1179</v>
      </c>
      <c r="O45" s="5">
        <v>0.40179999999999999</v>
      </c>
      <c r="P45" s="5">
        <v>1.4300000000000001E-3</v>
      </c>
      <c r="Q45" s="5">
        <v>0.317</v>
      </c>
      <c r="R45" s="5">
        <v>0.26840000000000003</v>
      </c>
      <c r="S45" s="5">
        <v>0.1134</v>
      </c>
      <c r="T45" s="43" t="str">
        <f t="shared" si="3"/>
        <v>OC14</v>
      </c>
      <c r="U45" s="39">
        <f t="shared" ref="U45:AH45" si="41">IF(OR(F45=0,F45&lt;0.00000000001,F45&gt;100000),"",IF((IF(F45&gt;F$5,ABS(LOG(((F$5/SUM($F45:$S45))/(F$4/SUM($F$4:$S$4)))*4+2,2)),ABS(LOG(((F45/SUM($F45:$S45))/(F$4/SUM($F$4:$S$4)))*4+2,2)))-3)&gt;8,(IF(F45&gt;F$5,ABS(LOG(((F$5/SUM($F45:$S45))/(F$4/SUM($F$4:$S$4)))*4+2,2)),ABS(LOG(((F45/SUM($F45:$S45))/(F$4/SUM($F$4:$S$4)))*4+2,2)))-3)/7,IF(F45&gt;F$5,ABS(LOG(((F$5/SUM($F45:$S45))/(F$4/SUM($F$4:$S$4)))*4+2,2)),ABS(LOG(((F45/SUM($F45:$S45))/(F$4/SUM($F$4:$S$4)))*4+2,2)))-3))</f>
        <v>4.8718699234440601</v>
      </c>
      <c r="V45" s="39">
        <f t="shared" si="41"/>
        <v>-1.8852330345830093</v>
      </c>
      <c r="W45" s="39">
        <f t="shared" si="41"/>
        <v>6.6668194528809845</v>
      </c>
      <c r="X45" s="39">
        <f t="shared" si="41"/>
        <v>7.6052016910746882</v>
      </c>
      <c r="Y45" s="39">
        <f t="shared" si="41"/>
        <v>2.7375080497114057</v>
      </c>
      <c r="Z45" s="39">
        <f t="shared" si="41"/>
        <v>1.2646310826920839</v>
      </c>
      <c r="AA45" s="39">
        <f t="shared" si="41"/>
        <v>2.4684265326947052</v>
      </c>
      <c r="AB45" s="39" t="str">
        <f t="shared" si="41"/>
        <v/>
      </c>
      <c r="AC45" s="39">
        <f t="shared" si="41"/>
        <v>-0.94183825045833292</v>
      </c>
      <c r="AD45" s="39">
        <f t="shared" si="41"/>
        <v>1.7327646358381372</v>
      </c>
      <c r="AE45" s="39">
        <f t="shared" si="41"/>
        <v>-1.8994290894910806</v>
      </c>
      <c r="AF45" s="39">
        <f t="shared" si="41"/>
        <v>-1.5958309990412696</v>
      </c>
      <c r="AG45" s="39">
        <f t="shared" si="41"/>
        <v>0.46387945204546455</v>
      </c>
      <c r="AH45" s="39">
        <f t="shared" si="41"/>
        <v>-1.8156342743695788</v>
      </c>
      <c r="AI45" s="44">
        <f t="shared" si="5"/>
        <v>1</v>
      </c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ht="9.75" customHeight="1" x14ac:dyDescent="0.25">
      <c r="A46" s="23">
        <v>38</v>
      </c>
      <c r="B46" s="2">
        <f t="shared" si="2"/>
        <v>8.2530998533016433</v>
      </c>
      <c r="C46" s="23">
        <v>2</v>
      </c>
      <c r="D46" s="24">
        <v>20.378442161911298</v>
      </c>
      <c r="E46" s="42" t="s">
        <v>116</v>
      </c>
      <c r="F46" s="5"/>
      <c r="G46" s="5">
        <v>8.2500000000000004E-2</v>
      </c>
      <c r="H46" s="5">
        <v>7.4799999999999997E-3</v>
      </c>
      <c r="I46" s="5">
        <v>1.0369999999999999</v>
      </c>
      <c r="J46" s="5">
        <v>2.7189999999999999</v>
      </c>
      <c r="K46" s="5">
        <v>4.1799999999999997E-2</v>
      </c>
      <c r="L46" s="5">
        <v>2.07E-2</v>
      </c>
      <c r="M46" s="5">
        <v>5.5400000000000003E-6</v>
      </c>
      <c r="N46" s="5">
        <v>0.1082</v>
      </c>
      <c r="O46" s="5">
        <v>2.347</v>
      </c>
      <c r="P46" s="5">
        <v>7.9799999999999999E-4</v>
      </c>
      <c r="Q46" s="5">
        <v>0.76800000000000002</v>
      </c>
      <c r="R46" s="5">
        <v>1.7600000000000001E-2</v>
      </c>
      <c r="S46" s="5">
        <v>0.38800000000000001</v>
      </c>
      <c r="T46" s="43" t="str">
        <f t="shared" si="3"/>
        <v>OC15</v>
      </c>
      <c r="U46" s="39" t="str">
        <f t="shared" ref="U46:AH46" si="42">IF(OR(F46=0,F46&lt;0.00000000001,F46&gt;100000),"",IF((IF(F46&gt;F$5,ABS(LOG(((F$5/SUM($F46:$S46))/(F$4/SUM($F$4:$S$4)))*4+2,2)),ABS(LOG(((F46/SUM($F46:$S46))/(F$4/SUM($F$4:$S$4)))*4+2,2)))-3)&gt;8,(IF(F46&gt;F$5,ABS(LOG(((F$5/SUM($F46:$S46))/(F$4/SUM($F$4:$S$4)))*4+2,2)),ABS(LOG(((F46/SUM($F46:$S46))/(F$4/SUM($F$4:$S$4)))*4+2,2)))-3)/7,IF(F46&gt;F$5,ABS(LOG(((F$5/SUM($F46:$S46))/(F$4/SUM($F$4:$S$4)))*4+2,2)),ABS(LOG(((F46/SUM($F46:$S46))/(F$4/SUM($F$4:$S$4)))*4+2,2)))-3))</f>
        <v/>
      </c>
      <c r="V46" s="39">
        <f t="shared" si="42"/>
        <v>2.9638002868221083</v>
      </c>
      <c r="W46" s="39">
        <f t="shared" si="42"/>
        <v>0.97212876134010884</v>
      </c>
      <c r="X46" s="39">
        <f t="shared" si="42"/>
        <v>5.5762708872746281</v>
      </c>
      <c r="Y46" s="39">
        <f t="shared" si="42"/>
        <v>6.2562586932160453</v>
      </c>
      <c r="Z46" s="39">
        <f t="shared" si="42"/>
        <v>7.5816626592596172</v>
      </c>
      <c r="AA46" s="39">
        <f t="shared" si="42"/>
        <v>-0.46653326163751085</v>
      </c>
      <c r="AB46" s="39">
        <f t="shared" si="42"/>
        <v>-1.9945233444627433</v>
      </c>
      <c r="AC46" s="39">
        <f t="shared" si="42"/>
        <v>-1.3768523720122423</v>
      </c>
      <c r="AD46" s="39">
        <f t="shared" si="42"/>
        <v>3.3241313268748929</v>
      </c>
      <c r="AE46" s="39">
        <f t="shared" si="42"/>
        <v>-1.9687264286624542</v>
      </c>
      <c r="AF46" s="39">
        <f t="shared" si="42"/>
        <v>-1.4879643727524028</v>
      </c>
      <c r="AG46" s="39">
        <f t="shared" si="42"/>
        <v>-1.7845024390408404</v>
      </c>
      <c r="AH46" s="39">
        <f t="shared" si="42"/>
        <v>-1.6738228518823712</v>
      </c>
      <c r="AI46" s="44">
        <f t="shared" si="5"/>
        <v>1</v>
      </c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ht="9.75" customHeight="1" x14ac:dyDescent="0.25">
      <c r="A47" s="23">
        <v>39</v>
      </c>
      <c r="B47" s="2">
        <f t="shared" si="2"/>
        <v>9.8865705454464123</v>
      </c>
      <c r="C47" s="23">
        <v>2</v>
      </c>
      <c r="D47" s="24">
        <v>26.030904142853799</v>
      </c>
      <c r="E47" s="42" t="s">
        <v>117</v>
      </c>
      <c r="F47" s="5"/>
      <c r="G47" s="5">
        <v>0.2266</v>
      </c>
      <c r="H47" s="5">
        <v>1.54E-2</v>
      </c>
      <c r="I47" s="5">
        <v>2.2810000000000001</v>
      </c>
      <c r="J47" s="5">
        <v>1.744</v>
      </c>
      <c r="K47" s="5">
        <v>0.14399999999999999</v>
      </c>
      <c r="L47" s="5"/>
      <c r="M47" s="5"/>
      <c r="N47" s="5"/>
      <c r="O47" s="5">
        <v>2.589</v>
      </c>
      <c r="P47" s="5">
        <v>3.9500000000000004E-3</v>
      </c>
      <c r="Q47" s="5">
        <v>0.70599999999999996</v>
      </c>
      <c r="R47" s="5">
        <v>0.39929999999999999</v>
      </c>
      <c r="S47" s="5">
        <v>2.8399999999999999E-6</v>
      </c>
      <c r="T47" s="43" t="str">
        <f t="shared" si="3"/>
        <v>OC16</v>
      </c>
      <c r="U47" s="39" t="str">
        <f t="shared" ref="U47:AH47" si="43">IF(OR(F47=0,F47&lt;0.00000000001,F47&gt;100000),"",IF((IF(F47&gt;F$5,ABS(LOG(((F$5/SUM($F47:$S47))/(F$4/SUM($F$4:$S$4)))*4+2,2)),ABS(LOG(((F47/SUM($F47:$S47))/(F$4/SUM($F$4:$S$4)))*4+2,2)))-3)&gt;8,(IF(F47&gt;F$5,ABS(LOG(((F$5/SUM($F47:$S47))/(F$4/SUM($F$4:$S$4)))*4+2,2)),ABS(LOG(((F47/SUM($F47:$S47))/(F$4/SUM($F$4:$S$4)))*4+2,2)))-3)/7,IF(F47&gt;F$5,ABS(LOG(((F$5/SUM($F47:$S47))/(F$4/SUM($F$4:$S$4)))*4+2,2)),ABS(LOG(((F47/SUM($F47:$S47))/(F$4/SUM($F$4:$S$4)))*4+2,2)))-3))</f>
        <v/>
      </c>
      <c r="V47" s="39">
        <f t="shared" si="43"/>
        <v>4.2877099627753559</v>
      </c>
      <c r="W47" s="39">
        <f t="shared" si="43"/>
        <v>1.8180058688577336</v>
      </c>
      <c r="X47" s="39">
        <f t="shared" si="43"/>
        <v>6.604282722907632</v>
      </c>
      <c r="Y47" s="39">
        <f t="shared" si="43"/>
        <v>5.5134030840961135</v>
      </c>
      <c r="Z47" s="39">
        <f t="shared" si="43"/>
        <v>1.3227842813570854</v>
      </c>
      <c r="AA47" s="39" t="str">
        <f t="shared" si="43"/>
        <v/>
      </c>
      <c r="AB47" s="39" t="str">
        <f t="shared" si="43"/>
        <v/>
      </c>
      <c r="AC47" s="39" t="str">
        <f t="shared" si="43"/>
        <v/>
      </c>
      <c r="AD47" s="39">
        <f t="shared" si="43"/>
        <v>3.3594444419573062</v>
      </c>
      <c r="AE47" s="39">
        <f t="shared" si="43"/>
        <v>-1.861407356478719</v>
      </c>
      <c r="AF47" s="39">
        <f t="shared" si="43"/>
        <v>-1.5520730924186614</v>
      </c>
      <c r="AG47" s="39">
        <f t="shared" si="43"/>
        <v>0.13672050491191312</v>
      </c>
      <c r="AH47" s="39">
        <f t="shared" si="43"/>
        <v>-1.9999975097725748</v>
      </c>
      <c r="AI47" s="44">
        <f t="shared" si="5"/>
        <v>2.00309041428538</v>
      </c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ht="9.75" customHeight="1" x14ac:dyDescent="0.25">
      <c r="A48" s="23">
        <v>40</v>
      </c>
      <c r="B48" s="2">
        <f t="shared" si="2"/>
        <v>9.8167889503378589</v>
      </c>
      <c r="C48" s="23">
        <v>2</v>
      </c>
      <c r="D48" s="24">
        <v>20.762730812991201</v>
      </c>
      <c r="E48" s="42" t="s">
        <v>118</v>
      </c>
      <c r="F48" s="5"/>
      <c r="G48" s="5">
        <v>8.2000000000000003E-2</v>
      </c>
      <c r="H48" s="5">
        <v>2.8199999999999999E-2</v>
      </c>
      <c r="I48" s="5">
        <v>1.8440000000000001</v>
      </c>
      <c r="J48" s="5">
        <v>0.53810000000000002</v>
      </c>
      <c r="K48" s="5">
        <v>8.8499999999999995E-2</v>
      </c>
      <c r="L48" s="5">
        <v>7.3400000000000007E-2</v>
      </c>
      <c r="M48" s="5">
        <v>5.1900000000000002E-3</v>
      </c>
      <c r="N48" s="5">
        <v>0.17330000000000001</v>
      </c>
      <c r="O48" s="5">
        <v>1.325</v>
      </c>
      <c r="P48" s="5">
        <v>3.5800000000000003E-5</v>
      </c>
      <c r="Q48" s="5">
        <v>0.3856</v>
      </c>
      <c r="R48" s="5">
        <v>1.7999999999999999E-2</v>
      </c>
      <c r="S48" s="5">
        <v>0.22689999999999999</v>
      </c>
      <c r="T48" s="43" t="str">
        <f t="shared" si="3"/>
        <v>OC17</v>
      </c>
      <c r="U48" s="39" t="str">
        <f t="shared" ref="U48:AH48" si="44">IF(OR(F48=0,F48&lt;0.00000000001,F48&gt;100000),"",IF((IF(F48&gt;F$5,ABS(LOG(((F$5/SUM($F48:$S48))/(F$4/SUM($F$4:$S$4)))*4+2,2)),ABS(LOG(((F48/SUM($F48:$S48))/(F$4/SUM($F$4:$S$4)))*4+2,2)))-3)&gt;8,(IF(F48&gt;F$5,ABS(LOG(((F$5/SUM($F48:$S48))/(F$4/SUM($F$4:$S$4)))*4+2,2)),ABS(LOG(((F48/SUM($F48:$S48))/(F$4/SUM($F$4:$S$4)))*4+2,2)))-3)/7,IF(F48&gt;F$5,ABS(LOG(((F$5/SUM($F48:$S48))/(F$4/SUM($F$4:$S$4)))*4+2,2)),ABS(LOG(((F48/SUM($F48:$S48))/(F$4/SUM($F$4:$S$4)))*4+2,2)))-3))</f>
        <v/>
      </c>
      <c r="V48" s="39">
        <f t="shared" si="44"/>
        <v>3.5929540878534185</v>
      </c>
      <c r="W48" s="39">
        <f t="shared" si="44"/>
        <v>3.3798209078808359</v>
      </c>
      <c r="X48" s="39">
        <f t="shared" si="44"/>
        <v>7.0565329590409043</v>
      </c>
      <c r="Y48" s="39">
        <f t="shared" si="44"/>
        <v>4.5842239050804832</v>
      </c>
      <c r="Z48" s="39">
        <f t="shared" si="44"/>
        <v>1.3310321759152166</v>
      </c>
      <c r="AA48" s="39">
        <f t="shared" si="44"/>
        <v>1.5332329995523866</v>
      </c>
      <c r="AB48" s="39">
        <f t="shared" si="44"/>
        <v>0.72449950017329989</v>
      </c>
      <c r="AC48" s="39">
        <f t="shared" si="44"/>
        <v>-0.75987460097072068</v>
      </c>
      <c r="AD48" s="39">
        <f t="shared" si="44"/>
        <v>3.1585124026546971</v>
      </c>
      <c r="AE48" s="39">
        <f t="shared" si="44"/>
        <v>-1.9977688759284353</v>
      </c>
      <c r="AF48" s="39">
        <f t="shared" si="44"/>
        <v>-1.5812483646207358</v>
      </c>
      <c r="AG48" s="39">
        <f t="shared" si="44"/>
        <v>-1.6672748567431461</v>
      </c>
      <c r="AH48" s="39">
        <f t="shared" si="44"/>
        <v>-1.6971791823951159</v>
      </c>
      <c r="AI48" s="44">
        <f t="shared" si="5"/>
        <v>1</v>
      </c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ht="9.75" customHeight="1" x14ac:dyDescent="0.25">
      <c r="A49" s="23">
        <v>41</v>
      </c>
      <c r="B49" s="2">
        <f t="shared" si="2"/>
        <v>5.3724698068704111</v>
      </c>
      <c r="C49" s="23">
        <v>2</v>
      </c>
      <c r="D49" s="24">
        <v>20.004649978714401</v>
      </c>
      <c r="E49" s="42" t="s">
        <v>119</v>
      </c>
      <c r="F49" s="5"/>
      <c r="G49" s="5">
        <v>4.2099999999999999E-2</v>
      </c>
      <c r="H49" s="5">
        <v>1.67E-2</v>
      </c>
      <c r="I49" s="5">
        <v>0.99639999999999995</v>
      </c>
      <c r="J49" s="5">
        <v>0.2399</v>
      </c>
      <c r="K49" s="5">
        <v>8.8099999999999998E-2</v>
      </c>
      <c r="L49" s="5">
        <v>2.5700000000000001E-2</v>
      </c>
      <c r="M49" s="5">
        <v>2.9900000000000003E-8</v>
      </c>
      <c r="N49" s="5"/>
      <c r="O49" s="5">
        <v>4.2240000000000002</v>
      </c>
      <c r="P49" s="5">
        <v>3.2699999999999999E-3</v>
      </c>
      <c r="Q49" s="5">
        <v>0.16350000000000001</v>
      </c>
      <c r="R49" s="5">
        <v>4.0399999999999998E-2</v>
      </c>
      <c r="S49" s="5">
        <v>0.1295</v>
      </c>
      <c r="T49" s="43" t="str">
        <f t="shared" si="3"/>
        <v>OC18</v>
      </c>
      <c r="U49" s="39" t="str">
        <f t="shared" ref="U49:AH49" si="45">IF(OR(F49=0,F49&lt;0.00000000001,F49&gt;100000),"",IF((IF(F49&gt;F$5,ABS(LOG(((F$5/SUM($F49:$S49))/(F$4/SUM($F$4:$S$4)))*4+2,2)),ABS(LOG(((F49/SUM($F49:$S49))/(F$4/SUM($F$4:$S$4)))*4+2,2)))-3)&gt;8,(IF(F49&gt;F$5,ABS(LOG(((F$5/SUM($F49:$S49))/(F$4/SUM($F$4:$S$4)))*4+2,2)),ABS(LOG(((F49/SUM($F49:$S49))/(F$4/SUM($F$4:$S$4)))*4+2,2)))-3)/7,IF(F49&gt;F$5,ABS(LOG(((F$5/SUM($F49:$S49))/(F$4/SUM($F$4:$S$4)))*4+2,2)),ABS(LOG(((F49/SUM($F49:$S49))/(F$4/SUM($F$4:$S$4)))*4+2,2)))-3))</f>
        <v/>
      </c>
      <c r="V49" s="39">
        <f t="shared" si="45"/>
        <v>2.3550868014416366</v>
      </c>
      <c r="W49" s="39">
        <f t="shared" si="45"/>
        <v>2.3436336268466933</v>
      </c>
      <c r="X49" s="39">
        <f t="shared" si="45"/>
        <v>5.8538930402543876</v>
      </c>
      <c r="Y49" s="39">
        <f t="shared" si="45"/>
        <v>3.1274076233613357</v>
      </c>
      <c r="Z49" s="39">
        <f t="shared" si="45"/>
        <v>1.2846709495539137</v>
      </c>
      <c r="AA49" s="39">
        <f t="shared" si="45"/>
        <v>-1.0639788137217998E-2</v>
      </c>
      <c r="AB49" s="39">
        <f t="shared" si="45"/>
        <v>-1.9999626049863894</v>
      </c>
      <c r="AC49" s="39" t="str">
        <f t="shared" si="45"/>
        <v/>
      </c>
      <c r="AD49" s="39">
        <f t="shared" si="45"/>
        <v>4.488185580351761</v>
      </c>
      <c r="AE49" s="39">
        <f t="shared" si="45"/>
        <v>-1.8450387413128324</v>
      </c>
      <c r="AF49" s="39">
        <f t="shared" si="45"/>
        <v>-1.8435553715923407</v>
      </c>
      <c r="AG49" s="39">
        <f t="shared" si="45"/>
        <v>-1.4471556432923935</v>
      </c>
      <c r="AH49" s="39">
        <f t="shared" si="45"/>
        <v>-1.8534506085444455</v>
      </c>
      <c r="AI49" s="44">
        <f t="shared" si="5"/>
        <v>1</v>
      </c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ht="9.75" customHeight="1" x14ac:dyDescent="0.25">
      <c r="A50" s="23">
        <v>42</v>
      </c>
      <c r="B50" s="2">
        <f t="shared" si="2"/>
        <v>4.6528551280638641</v>
      </c>
      <c r="C50" s="23">
        <v>2</v>
      </c>
      <c r="D50" s="24">
        <v>21.305581162167101</v>
      </c>
      <c r="E50" s="42" t="s">
        <v>120</v>
      </c>
      <c r="F50" s="5">
        <v>2.31E-3</v>
      </c>
      <c r="G50" s="5">
        <v>0.2397</v>
      </c>
      <c r="H50" s="5">
        <v>7.8100000000000003E-2</v>
      </c>
      <c r="I50" s="5">
        <v>1.3109999999999999</v>
      </c>
      <c r="J50" s="5">
        <v>9.6649999999999991</v>
      </c>
      <c r="K50" s="5">
        <v>0.30420000000000003</v>
      </c>
      <c r="L50" s="5">
        <v>7.8399999999999997E-2</v>
      </c>
      <c r="M50" s="5">
        <v>8.1700000000000002E-3</v>
      </c>
      <c r="N50" s="5">
        <v>0.92369999999999997</v>
      </c>
      <c r="O50" s="5">
        <v>10.97</v>
      </c>
      <c r="P50" s="5">
        <v>1.5800000000000002E-2</v>
      </c>
      <c r="Q50" s="5">
        <v>0.87090000000000001</v>
      </c>
      <c r="R50" s="5">
        <v>2.8000000000000001E-2</v>
      </c>
      <c r="S50" s="5">
        <v>1.4419999999999999</v>
      </c>
      <c r="T50" s="43" t="str">
        <f t="shared" si="3"/>
        <v>OC19</v>
      </c>
      <c r="U50" s="39">
        <f t="shared" ref="U50:AH50" si="46">IF(OR(F50=0,F50&lt;0.00000000001,F50&gt;100000),"",IF((IF(F50&gt;F$5,ABS(LOG(((F$5/SUM($F50:$S50))/(F$4/SUM($F$4:$S$4)))*4+2,2)),ABS(LOG(((F50/SUM($F50:$S50))/(F$4/SUM($F$4:$S$4)))*4+2,2)))-3)&gt;8,(IF(F50&gt;F$5,ABS(LOG(((F$5/SUM($F50:$S50))/(F$4/SUM($F$4:$S$4)))*4+2,2)),ABS(LOG(((F50/SUM($F50:$S50))/(F$4/SUM($F$4:$S$4)))*4+2,2)))-3)/7,IF(F50&gt;F$5,ABS(LOG(((F$5/SUM($F50:$S50))/(F$4/SUM($F$4:$S$4)))*4+2,2)),ABS(LOG(((F50/SUM($F50:$S50))/(F$4/SUM($F$4:$S$4)))*4+2,2)))-3))</f>
        <v>-0.49228686671768873</v>
      </c>
      <c r="V50" s="39">
        <f t="shared" si="46"/>
        <v>2.728300207256054</v>
      </c>
      <c r="W50" s="39">
        <f t="shared" si="46"/>
        <v>2.4447306182794906</v>
      </c>
      <c r="X50" s="39">
        <f t="shared" si="46"/>
        <v>4.1447218750828903</v>
      </c>
      <c r="Y50" s="39">
        <f t="shared" si="46"/>
        <v>6.3030437248662956</v>
      </c>
      <c r="Z50" s="39">
        <f t="shared" si="46"/>
        <v>1.2373367865760623</v>
      </c>
      <c r="AA50" s="39">
        <f t="shared" si="46"/>
        <v>-0.37441302565883205</v>
      </c>
      <c r="AB50" s="39">
        <f t="shared" si="46"/>
        <v>-0.60488229074937783</v>
      </c>
      <c r="AC50" s="39">
        <f t="shared" si="46"/>
        <v>-0.77327142822677652</v>
      </c>
      <c r="AD50" s="39">
        <f t="shared" si="46"/>
        <v>3.7565145392003148</v>
      </c>
      <c r="AE50" s="39">
        <f t="shared" si="46"/>
        <v>-1.8286672065711971</v>
      </c>
      <c r="AF50" s="39">
        <f t="shared" si="46"/>
        <v>-1.8104403447790185</v>
      </c>
      <c r="AG50" s="39">
        <f t="shared" si="46"/>
        <v>-1.8963500139544909</v>
      </c>
      <c r="AH50" s="39">
        <f t="shared" si="46"/>
        <v>-1.6506221362443032</v>
      </c>
      <c r="AI50" s="44">
        <f t="shared" si="5"/>
        <v>1</v>
      </c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ht="9.75" customHeight="1" x14ac:dyDescent="0.25">
      <c r="A51" s="23">
        <v>43</v>
      </c>
      <c r="B51" s="2">
        <f t="shared" si="2"/>
        <v>9.2022555747900032</v>
      </c>
      <c r="C51" s="23">
        <v>2</v>
      </c>
      <c r="D51" s="24">
        <v>19.660903486402901</v>
      </c>
      <c r="E51" s="42" t="s">
        <v>121</v>
      </c>
      <c r="F51" s="5">
        <v>1.39E-3</v>
      </c>
      <c r="G51" s="5">
        <v>4.8800000000000003E-2</v>
      </c>
      <c r="H51" s="5">
        <v>1.8100000000000002E-2</v>
      </c>
      <c r="I51" s="5">
        <v>0.69120000000000004</v>
      </c>
      <c r="J51" s="5">
        <v>0.6028</v>
      </c>
      <c r="K51" s="5">
        <v>7.6799999999999993E-2</v>
      </c>
      <c r="L51" s="5">
        <v>2.9499999999999998E-2</v>
      </c>
      <c r="M51" s="5"/>
      <c r="N51" s="5">
        <v>1.1299999999999999E-2</v>
      </c>
      <c r="O51" s="5">
        <v>0.38919999999999999</v>
      </c>
      <c r="P51" s="5">
        <v>7.2000000000000005E-4</v>
      </c>
      <c r="Q51" s="5">
        <v>0.76480000000000004</v>
      </c>
      <c r="R51" s="5">
        <v>2.9000000000000001E-2</v>
      </c>
      <c r="S51" s="5">
        <v>0.34749999999999998</v>
      </c>
      <c r="T51" s="43" t="str">
        <f t="shared" si="3"/>
        <v>OC20</v>
      </c>
      <c r="U51" s="39">
        <f t="shared" ref="U51:AH51" si="47">IF(OR(F51=0,F51&lt;0.00000000001,F51&gt;100000),"",IF((IF(F51&gt;F$5,ABS(LOG(((F$5/SUM($F51:$S51))/(F$4/SUM($F$4:$S$4)))*4+2,2)),ABS(LOG(((F51/SUM($F51:$S51))/(F$4/SUM($F$4:$S$4)))*4+2,2)))-3)&gt;8,(IF(F51&gt;F$5,ABS(LOG(((F$5/SUM($F51:$S51))/(F$4/SUM($F$4:$S$4)))*4+2,2)),ABS(LOG(((F51/SUM($F51:$S51))/(F$4/SUM($F$4:$S$4)))*4+2,2)))-3)/7,IF(F51&gt;F$5,ABS(LOG(((F$5/SUM($F51:$S51))/(F$4/SUM($F$4:$S$4)))*4+2,2)),ABS(LOG(((F51/SUM($F51:$S51))/(F$4/SUM($F$4:$S$4)))*4+2,2)))-3))</f>
        <v>1.3999573014130871</v>
      </c>
      <c r="V51" s="39">
        <f t="shared" si="47"/>
        <v>3.515100463208026</v>
      </c>
      <c r="W51" s="39">
        <f t="shared" si="47"/>
        <v>3.4086099781668091</v>
      </c>
      <c r="X51" s="39">
        <f t="shared" si="47"/>
        <v>6.3119001964774668</v>
      </c>
      <c r="Y51" s="39">
        <f t="shared" si="47"/>
        <v>5.4106143846174515</v>
      </c>
      <c r="Z51" s="39">
        <f t="shared" si="47"/>
        <v>1.3973848825943684</v>
      </c>
      <c r="AA51" s="39">
        <f t="shared" si="47"/>
        <v>0.95606846993254591</v>
      </c>
      <c r="AB51" s="39" t="str">
        <f t="shared" si="47"/>
        <v/>
      </c>
      <c r="AC51" s="39">
        <f t="shared" si="47"/>
        <v>-1.809394466112495</v>
      </c>
      <c r="AD51" s="39">
        <f t="shared" si="47"/>
        <v>2.1056629651290661</v>
      </c>
      <c r="AE51" s="39">
        <f t="shared" si="47"/>
        <v>-1.9303013874288799</v>
      </c>
      <c r="AF51" s="39">
        <f t="shared" si="47"/>
        <v>-0.95583900997298388</v>
      </c>
      <c r="AG51" s="39">
        <f t="shared" si="47"/>
        <v>-1.2648689876633545</v>
      </c>
      <c r="AH51" s="39">
        <f t="shared" si="47"/>
        <v>-1.3503434383011725</v>
      </c>
      <c r="AI51" s="44">
        <f t="shared" si="5"/>
        <v>1</v>
      </c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ht="9.75" customHeight="1" x14ac:dyDescent="0.25">
      <c r="A52" s="23">
        <v>44</v>
      </c>
      <c r="B52" s="2">
        <f t="shared" si="2"/>
        <v>18.450381598309271</v>
      </c>
      <c r="C52" s="23">
        <v>2</v>
      </c>
      <c r="D52" s="24">
        <v>23.673245056428001</v>
      </c>
      <c r="E52" s="42" t="s">
        <v>122</v>
      </c>
      <c r="F52" s="5">
        <v>0.11169999999999999</v>
      </c>
      <c r="G52" s="5">
        <v>9.7199999999999995E-2</v>
      </c>
      <c r="H52" s="5">
        <v>0.1104</v>
      </c>
      <c r="I52" s="5">
        <v>1.2929999999999999</v>
      </c>
      <c r="J52" s="5">
        <v>0.94430000000000003</v>
      </c>
      <c r="K52" s="5">
        <v>4.1200000000000001E-2</v>
      </c>
      <c r="L52" s="5">
        <v>0.156</v>
      </c>
      <c r="M52" s="5">
        <v>3.2399999999999998E-2</v>
      </c>
      <c r="N52" s="5">
        <v>3.1100000000000002E-4</v>
      </c>
      <c r="O52" s="5">
        <v>0.85640000000000005</v>
      </c>
      <c r="P52" s="5">
        <v>5.3499999999999997E-3</v>
      </c>
      <c r="Q52" s="5">
        <v>3.702</v>
      </c>
      <c r="R52" s="5"/>
      <c r="S52" s="5">
        <v>0.4733</v>
      </c>
      <c r="T52" s="43" t="str">
        <f t="shared" si="3"/>
        <v>OC21</v>
      </c>
      <c r="U52" s="39">
        <f t="shared" ref="U52:AH52" si="48">IF(OR(F52=0,F52&lt;0.00000000001,F52&gt;100000),"",IF((IF(F52&gt;F$5,ABS(LOG(((F$5/SUM($F52:$S52))/(F$4/SUM($F$4:$S$4)))*4+2,2)),ABS(LOG(((F52/SUM($F52:$S52))/(F$4/SUM($F$4:$S$4)))*4+2,2)))-3)&gt;8,(IF(F52&gt;F$5,ABS(LOG(((F$5/SUM($F52:$S52))/(F$4/SUM($F$4:$S$4)))*4+2,2)),ABS(LOG(((F52/SUM($F52:$S52))/(F$4/SUM($F$4:$S$4)))*4+2,2)))-3)/7,IF(F52&gt;F$5,ABS(LOG(((F$5/SUM($F52:$S52))/(F$4/SUM($F$4:$S$4)))*4+2,2)),ABS(LOG(((F52/SUM($F52:$S52))/(F$4/SUM($F$4:$S$4)))*4+2,2)))-3))</f>
        <v>6.2121129416251311</v>
      </c>
      <c r="V52" s="39">
        <f t="shared" si="48"/>
        <v>3.1412187793221573</v>
      </c>
      <c r="W52" s="39">
        <f t="shared" si="48"/>
        <v>4.6201294486056588</v>
      </c>
      <c r="X52" s="39">
        <f t="shared" si="48"/>
        <v>5.839681992921772</v>
      </c>
      <c r="Y52" s="39">
        <f t="shared" si="48"/>
        <v>4.6862238656737256</v>
      </c>
      <c r="Z52" s="39">
        <f t="shared" si="48"/>
        <v>7.5072761778509829</v>
      </c>
      <c r="AA52" s="39">
        <f t="shared" si="48"/>
        <v>1.8834878874440504</v>
      </c>
      <c r="AB52" s="39">
        <f t="shared" si="48"/>
        <v>2.4874688447496194</v>
      </c>
      <c r="AC52" s="39">
        <f t="shared" si="48"/>
        <v>-1.9978431510746724</v>
      </c>
      <c r="AD52" s="39">
        <f t="shared" si="48"/>
        <v>1.8809776536326517</v>
      </c>
      <c r="AE52" s="39">
        <f t="shared" si="48"/>
        <v>-1.8089993273650575</v>
      </c>
      <c r="AF52" s="39">
        <f t="shared" si="48"/>
        <v>-0.42526547084361566</v>
      </c>
      <c r="AG52" s="39" t="str">
        <f t="shared" si="48"/>
        <v/>
      </c>
      <c r="AH52" s="39">
        <f t="shared" si="48"/>
        <v>-1.6235241611392353</v>
      </c>
      <c r="AI52" s="44">
        <f t="shared" si="5"/>
        <v>1</v>
      </c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ht="9.75" customHeight="1" x14ac:dyDescent="0.25">
      <c r="A53" s="23">
        <v>45</v>
      </c>
      <c r="B53" s="2">
        <f t="shared" si="2"/>
        <v>6.2382857144148645</v>
      </c>
      <c r="C53" s="23">
        <v>2</v>
      </c>
      <c r="D53" s="24">
        <v>27.919483856131802</v>
      </c>
      <c r="E53" s="42" t="s">
        <v>123</v>
      </c>
      <c r="F53" s="5">
        <v>1.38E-2</v>
      </c>
      <c r="G53" s="5">
        <v>0.29310000000000003</v>
      </c>
      <c r="H53" s="5">
        <v>0.16259999999999999</v>
      </c>
      <c r="I53" s="5">
        <v>4.0890000000000004</v>
      </c>
      <c r="J53" s="5">
        <v>13.56</v>
      </c>
      <c r="K53" s="5">
        <v>1.0699999999999999E-2</v>
      </c>
      <c r="L53" s="5">
        <v>0.1179</v>
      </c>
      <c r="M53" s="5"/>
      <c r="N53" s="5">
        <v>12.65</v>
      </c>
      <c r="O53" s="5">
        <v>4.8900000000000002E-3</v>
      </c>
      <c r="P53" s="5"/>
      <c r="Q53" s="5">
        <v>20.190000000000001</v>
      </c>
      <c r="R53" s="5">
        <v>1.7099999999999999E-5</v>
      </c>
      <c r="S53" s="5">
        <v>4.5179999999999998</v>
      </c>
      <c r="T53" s="43" t="str">
        <f t="shared" si="3"/>
        <v>OC22</v>
      </c>
      <c r="U53" s="39">
        <f t="shared" ref="U53:AH53" si="49">IF(OR(F53=0,F53&lt;0.00000000001,F53&gt;100000),"",IF((IF(F53&gt;F$5,ABS(LOG(((F$5/SUM($F53:$S53))/(F$4/SUM($F$4:$S$4)))*4+2,2)),ABS(LOG(((F53/SUM($F53:$S53))/(F$4/SUM($F$4:$S$4)))*4+2,2)))-3)&gt;8,(IF(F53&gt;F$5,ABS(LOG(((F$5/SUM($F53:$S53))/(F$4/SUM($F$4:$S$4)))*4+2,2)),ABS(LOG(((F53/SUM($F53:$S53))/(F$4/SUM($F$4:$S$4)))*4+2,2)))-3)/7,IF(F53&gt;F$5,ABS(LOG(((F$5/SUM($F53:$S53))/(F$4/SUM($F$4:$S$4)))*4+2,2)),ABS(LOG(((F53/SUM($F53:$S53))/(F$4/SUM($F$4:$S$4)))*4+2,2)))-3))</f>
        <v>0.61751470212767723</v>
      </c>
      <c r="V53" s="39">
        <f t="shared" si="49"/>
        <v>1.9585792508128046</v>
      </c>
      <c r="W53" s="39">
        <f t="shared" si="49"/>
        <v>2.4043199176810441</v>
      </c>
      <c r="X53" s="39">
        <f t="shared" si="49"/>
        <v>4.6790968653093135</v>
      </c>
      <c r="Y53" s="39">
        <f t="shared" si="49"/>
        <v>5.6936524955465355</v>
      </c>
      <c r="Z53" s="39">
        <f t="shared" si="49"/>
        <v>2.7841458669159795</v>
      </c>
      <c r="AA53" s="39">
        <f t="shared" si="49"/>
        <v>-0.69963879206981838</v>
      </c>
      <c r="AB53" s="39" t="str">
        <f t="shared" si="49"/>
        <v/>
      </c>
      <c r="AC53" s="39">
        <f t="shared" si="49"/>
        <v>0.957545080548309</v>
      </c>
      <c r="AD53" s="39">
        <f t="shared" si="49"/>
        <v>-1.9841715443143015</v>
      </c>
      <c r="AE53" s="39" t="str">
        <f t="shared" si="49"/>
        <v/>
      </c>
      <c r="AF53" s="39">
        <f t="shared" si="49"/>
        <v>-0.66755541519470896</v>
      </c>
      <c r="AG53" s="39">
        <f t="shared" si="49"/>
        <v>-1.9999693896372466</v>
      </c>
      <c r="AH53" s="39">
        <f t="shared" si="49"/>
        <v>-1.5141358093112356</v>
      </c>
      <c r="AI53" s="44">
        <f t="shared" si="5"/>
        <v>2.1919483856131801</v>
      </c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ht="9.75" customHeight="1" x14ac:dyDescent="0.25">
      <c r="A54" s="23">
        <v>46</v>
      </c>
      <c r="B54" s="2">
        <f t="shared" si="2"/>
        <v>12.216051145280581</v>
      </c>
      <c r="C54" s="23">
        <v>2</v>
      </c>
      <c r="D54" s="24">
        <v>25.028019288776399</v>
      </c>
      <c r="E54" s="42" t="s">
        <v>124</v>
      </c>
      <c r="F54" s="5">
        <v>9.7199999999999997E-7</v>
      </c>
      <c r="G54" s="5">
        <v>1.27</v>
      </c>
      <c r="H54" s="5">
        <v>0.1452</v>
      </c>
      <c r="I54" s="5">
        <v>3.431</v>
      </c>
      <c r="J54" s="5">
        <v>2.0169999999999999</v>
      </c>
      <c r="K54" s="5">
        <v>0.86409999999999998</v>
      </c>
      <c r="L54" s="5">
        <v>0.28079999999999999</v>
      </c>
      <c r="M54" s="5">
        <v>9.2499999999999999E-2</v>
      </c>
      <c r="N54" s="5"/>
      <c r="O54" s="5">
        <v>2.593</v>
      </c>
      <c r="P54" s="5">
        <v>1.17E-3</v>
      </c>
      <c r="Q54" s="5">
        <v>1.385</v>
      </c>
      <c r="R54" s="5">
        <v>9.7199999999999997E-7</v>
      </c>
      <c r="S54" s="5">
        <v>1.0489999999999999</v>
      </c>
      <c r="T54" s="43" t="str">
        <f t="shared" si="3"/>
        <v>OC23</v>
      </c>
      <c r="U54" s="39">
        <f t="shared" ref="U54:AH54" si="50">IF(OR(F54=0,F54&lt;0.00000000001,F54&gt;100000),"",IF((IF(F54&gt;F$5,ABS(LOG(((F$5/SUM($F54:$S54))/(F$4/SUM($F$4:$S$4)))*4+2,2)),ABS(LOG(((F54/SUM($F54:$S54))/(F$4/SUM($F$4:$S$4)))*4+2,2)))-3)&gt;8,(IF(F54&gt;F$5,ABS(LOG(((F$5/SUM($F54:$S54))/(F$4/SUM($F$4:$S$4)))*4+2,2)),ABS(LOG(((F54/SUM($F54:$S54))/(F$4/SUM($F$4:$S$4)))*4+2,2)))-3)/7,IF(F54&gt;F$5,ABS(LOG(((F$5/SUM($F54:$S54))/(F$4/SUM($F$4:$S$4)))*4+2,2)),ABS(LOG(((F54/SUM($F54:$S54))/(F$4/SUM($F$4:$S$4)))*4+2,2)))-3))</f>
        <v>-1.9977906691383787</v>
      </c>
      <c r="V54" s="39">
        <f t="shared" si="50"/>
        <v>6.0660353488032346</v>
      </c>
      <c r="W54" s="39">
        <f t="shared" si="50"/>
        <v>4.2726370495060424</v>
      </c>
      <c r="X54" s="39">
        <f t="shared" si="50"/>
        <v>6.4984372813350237</v>
      </c>
      <c r="Y54" s="39">
        <f t="shared" si="50"/>
        <v>5.0312769359069751</v>
      </c>
      <c r="Z54" s="39">
        <f t="shared" si="50"/>
        <v>1.5927283707080975</v>
      </c>
      <c r="AA54" s="39">
        <f t="shared" si="50"/>
        <v>1.978015266099292</v>
      </c>
      <c r="AB54" s="39">
        <f t="shared" si="50"/>
        <v>3.2273359392338152</v>
      </c>
      <c r="AC54" s="39" t="str">
        <f t="shared" si="50"/>
        <v/>
      </c>
      <c r="AD54" s="39">
        <f t="shared" si="50"/>
        <v>2.6880839460287236</v>
      </c>
      <c r="AE54" s="39">
        <f t="shared" si="50"/>
        <v>-1.9736283345139856</v>
      </c>
      <c r="AF54" s="39">
        <f t="shared" si="50"/>
        <v>-1.4727684870339481</v>
      </c>
      <c r="AG54" s="39">
        <f t="shared" si="50"/>
        <v>-1.9999926299408228</v>
      </c>
      <c r="AH54" s="39">
        <f t="shared" si="50"/>
        <v>-1.5209736044727806</v>
      </c>
      <c r="AI54" s="44">
        <f t="shared" si="5"/>
        <v>1</v>
      </c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ht="9.75" customHeight="1" x14ac:dyDescent="0.25">
      <c r="A55" s="23">
        <v>47</v>
      </c>
      <c r="B55" s="2">
        <f t="shared" si="2"/>
        <v>9.7071702427109976</v>
      </c>
      <c r="C55" s="23">
        <v>2</v>
      </c>
      <c r="D55" s="24">
        <v>22.486051633375901</v>
      </c>
      <c r="E55" s="42" t="s">
        <v>125</v>
      </c>
      <c r="F55" s="5">
        <v>1.15E-2</v>
      </c>
      <c r="G55" s="5">
        <v>0.3921</v>
      </c>
      <c r="H55" s="5">
        <v>3.0099999999999998E-2</v>
      </c>
      <c r="I55" s="5">
        <v>2.2090000000000001</v>
      </c>
      <c r="J55" s="5">
        <v>10.57</v>
      </c>
      <c r="K55" s="5">
        <v>0.17749999999999999</v>
      </c>
      <c r="L55" s="5">
        <v>5.1499999999999997E-2</v>
      </c>
      <c r="M55" s="5">
        <v>8.4599999999999996E-4</v>
      </c>
      <c r="N55" s="5">
        <v>1.129</v>
      </c>
      <c r="O55" s="5">
        <v>10.96</v>
      </c>
      <c r="P55" s="5">
        <v>3.47E-3</v>
      </c>
      <c r="Q55" s="5">
        <v>1.016</v>
      </c>
      <c r="R55" s="5">
        <v>5.1799999999999999E-2</v>
      </c>
      <c r="S55" s="5">
        <v>0.25359999999999999</v>
      </c>
      <c r="T55" s="43" t="str">
        <f t="shared" si="3"/>
        <v>OC24</v>
      </c>
      <c r="U55" s="39">
        <f t="shared" ref="U55:AH55" si="51">IF(OR(F55=0,F55&lt;0.00000000001,F55&gt;100000),"",IF((IF(F55&gt;F$5,ABS(LOG(((F$5/SUM($F55:$S55))/(F$4/SUM($F$4:$S$4)))*4+2,2)),ABS(LOG(((F55/SUM($F55:$S55))/(F$4/SUM($F$4:$S$4)))*4+2,2)))-3)&gt;8,(IF(F55&gt;F$5,ABS(LOG(((F$5/SUM($F55:$S55))/(F$4/SUM($F$4:$S$4)))*4+2,2)),ABS(LOG(((F55/SUM($F55:$S55))/(F$4/SUM($F$4:$S$4)))*4+2,2)))-3)/7,IF(F55&gt;F$5,ABS(LOG(((F$5/SUM($F55:$S55))/(F$4/SUM($F$4:$S$4)))*4+2,2)),ABS(LOG(((F55/SUM($F55:$S55))/(F$4/SUM($F$4:$S$4)))*4+2,2)))-3))</f>
        <v>1.3021628803278658</v>
      </c>
      <c r="V55" s="39">
        <f t="shared" si="51"/>
        <v>3.3679373543052789</v>
      </c>
      <c r="W55" s="39">
        <f t="shared" si="51"/>
        <v>1.1265532757455103</v>
      </c>
      <c r="X55" s="39">
        <f t="shared" si="51"/>
        <v>4.8393262167777475</v>
      </c>
      <c r="Y55" s="39">
        <f t="shared" si="51"/>
        <v>6.3816947632429279</v>
      </c>
      <c r="Z55" s="39">
        <f t="shared" si="51"/>
        <v>7.8346065826199567</v>
      </c>
      <c r="AA55" s="39">
        <f t="shared" si="51"/>
        <v>-0.78390732851714251</v>
      </c>
      <c r="AB55" s="39">
        <f t="shared" si="51"/>
        <v>-1.7821249935687196</v>
      </c>
      <c r="AC55" s="39">
        <f t="shared" si="51"/>
        <v>-0.63140239547590404</v>
      </c>
      <c r="AD55" s="39">
        <f t="shared" si="51"/>
        <v>3.7059297867777516</v>
      </c>
      <c r="AE55" s="39">
        <f t="shared" si="51"/>
        <v>-1.961920740741901</v>
      </c>
      <c r="AF55" s="39">
        <f t="shared" si="51"/>
        <v>-1.7881107819594095</v>
      </c>
      <c r="AG55" s="39">
        <f t="shared" si="51"/>
        <v>-1.8197407952563545</v>
      </c>
      <c r="AH55" s="39">
        <f t="shared" si="51"/>
        <v>-1.9343722261578264</v>
      </c>
      <c r="AI55" s="44">
        <f t="shared" si="5"/>
        <v>1</v>
      </c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ht="9.75" customHeight="1" x14ac:dyDescent="0.25">
      <c r="A56" s="23">
        <v>48</v>
      </c>
      <c r="B56" s="2">
        <f t="shared" si="2"/>
        <v>10.581313069815058</v>
      </c>
      <c r="C56" s="23">
        <v>2</v>
      </c>
      <c r="D56" s="24">
        <v>21.648651949687501</v>
      </c>
      <c r="E56" s="42" t="s">
        <v>126</v>
      </c>
      <c r="F56" s="5">
        <v>1.83E-2</v>
      </c>
      <c r="G56" s="5">
        <v>0.75170000000000003</v>
      </c>
      <c r="H56" s="5">
        <v>4.8800000000000003E-2</v>
      </c>
      <c r="I56" s="5">
        <v>3.1219999999999999</v>
      </c>
      <c r="J56" s="5">
        <v>1.583</v>
      </c>
      <c r="K56" s="5">
        <v>0.30890000000000001</v>
      </c>
      <c r="L56" s="5">
        <v>0.18260000000000001</v>
      </c>
      <c r="M56" s="5">
        <v>1.34E-5</v>
      </c>
      <c r="N56" s="5">
        <v>2.6599999999999999E-2</v>
      </c>
      <c r="O56" s="5">
        <v>3.444</v>
      </c>
      <c r="P56" s="5">
        <v>2.5300000000000001E-3</v>
      </c>
      <c r="Q56" s="5">
        <v>0.31590000000000001</v>
      </c>
      <c r="R56" s="5">
        <v>2.8500000000000001E-2</v>
      </c>
      <c r="S56" s="5">
        <v>0.25380000000000003</v>
      </c>
      <c r="T56" s="43" t="str">
        <f t="shared" si="3"/>
        <v>OC25</v>
      </c>
      <c r="U56" s="39">
        <f t="shared" ref="U56:AH56" si="52">IF(OR(F56=0,F56&lt;0.00000000001,F56&gt;100000),"",IF((IF(F56&gt;F$5,ABS(LOG(((F$5/SUM($F56:$S56))/(F$4/SUM($F$4:$S$4)))*4+2,2)),ABS(LOG(((F56/SUM($F56:$S56))/(F$4/SUM($F$4:$S$4)))*4+2,2)))-3)&gt;8,(IF(F56&gt;F$5,ABS(LOG(((F$5/SUM($F56:$S56))/(F$4/SUM($F$4:$S$4)))*4+2,2)),ABS(LOG(((F56/SUM($F56:$S56))/(F$4/SUM($F$4:$S$4)))*4+2,2)))-3)/7,IF(F56&gt;F$5,ABS(LOG(((F$5/SUM($F56:$S56))/(F$4/SUM($F$4:$S$4)))*4+2,2)),ABS(LOG(((F56/SUM($F56:$S56))/(F$4/SUM($F$4:$S$4)))*4+2,2)))-3))</f>
        <v>3.2688890848713896</v>
      </c>
      <c r="V56" s="39">
        <f t="shared" si="52"/>
        <v>5.6913250481253979</v>
      </c>
      <c r="W56" s="39">
        <f t="shared" si="52"/>
        <v>3.1036337712282709</v>
      </c>
      <c r="X56" s="39">
        <f t="shared" si="52"/>
        <v>6.7419433549140066</v>
      </c>
      <c r="Y56" s="39">
        <f t="shared" si="52"/>
        <v>5.0617804137836178</v>
      </c>
      <c r="Z56" s="39">
        <f t="shared" si="52"/>
        <v>1.4350726422684807</v>
      </c>
      <c r="AA56" s="39">
        <f t="shared" si="52"/>
        <v>1.7539631618863503</v>
      </c>
      <c r="AB56" s="39">
        <f t="shared" si="52"/>
        <v>-1.9901153639596239</v>
      </c>
      <c r="AC56" s="39">
        <f t="shared" si="52"/>
        <v>-1.8634749473620935</v>
      </c>
      <c r="AD56" s="39">
        <f t="shared" si="52"/>
        <v>3.4540451017214577</v>
      </c>
      <c r="AE56" s="39">
        <f t="shared" si="52"/>
        <v>-1.9269724179575713</v>
      </c>
      <c r="AF56" s="39">
        <f t="shared" si="52"/>
        <v>-1.8224383496036476</v>
      </c>
      <c r="AG56" s="39">
        <f t="shared" si="52"/>
        <v>-1.7430333044763806</v>
      </c>
      <c r="AH56" s="39">
        <f t="shared" si="52"/>
        <v>-1.8313394144615818</v>
      </c>
      <c r="AI56" s="44">
        <f t="shared" si="5"/>
        <v>1</v>
      </c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ht="9.75" customHeight="1" x14ac:dyDescent="0.25">
      <c r="A57" s="23"/>
      <c r="B57" s="2" t="str">
        <f t="shared" si="2"/>
        <v/>
      </c>
      <c r="C57" s="23"/>
      <c r="D57" s="24"/>
      <c r="E57" s="42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3">
        <f t="shared" si="3"/>
        <v>0</v>
      </c>
      <c r="U57" s="39" t="str">
        <f t="shared" ref="U57:AH57" si="53">IF(OR(F57=0,F57&lt;0.00000000001,F57&gt;100000),"",IF((IF(F57&gt;F$5,ABS(LOG(((F$5/SUM($F57:$S57))/(F$4/SUM($F$4:$S$4)))*4+2,2)),ABS(LOG(((F57/SUM($F57:$S57))/(F$4/SUM($F$4:$S$4)))*4+2,2)))-3)&gt;8,(IF(F57&gt;F$5,ABS(LOG(((F$5/SUM($F57:$S57))/(F$4/SUM($F$4:$S$4)))*4+2,2)),ABS(LOG(((F57/SUM($F57:$S57))/(F$4/SUM($F$4:$S$4)))*4+2,2)))-3)/7,IF(F57&gt;F$5,ABS(LOG(((F$5/SUM($F57:$S57))/(F$4/SUM($F$4:$S$4)))*4+2,2)),ABS(LOG(((F57/SUM($F57:$S57))/(F$4/SUM($F$4:$S$4)))*4+2,2)))-3))</f>
        <v/>
      </c>
      <c r="V57" s="39" t="str">
        <f t="shared" si="53"/>
        <v/>
      </c>
      <c r="W57" s="39" t="str">
        <f t="shared" si="53"/>
        <v/>
      </c>
      <c r="X57" s="39" t="str">
        <f t="shared" si="53"/>
        <v/>
      </c>
      <c r="Y57" s="39" t="str">
        <f t="shared" si="53"/>
        <v/>
      </c>
      <c r="Z57" s="39" t="str">
        <f t="shared" si="53"/>
        <v/>
      </c>
      <c r="AA57" s="39" t="str">
        <f t="shared" si="53"/>
        <v/>
      </c>
      <c r="AB57" s="39" t="str">
        <f t="shared" si="53"/>
        <v/>
      </c>
      <c r="AC57" s="39" t="str">
        <f t="shared" si="53"/>
        <v/>
      </c>
      <c r="AD57" s="39" t="str">
        <f t="shared" si="53"/>
        <v/>
      </c>
      <c r="AE57" s="39" t="str">
        <f t="shared" si="53"/>
        <v/>
      </c>
      <c r="AF57" s="39" t="str">
        <f t="shared" si="53"/>
        <v/>
      </c>
      <c r="AG57" s="39" t="str">
        <f t="shared" si="53"/>
        <v/>
      </c>
      <c r="AH57" s="39" t="str">
        <f t="shared" si="53"/>
        <v/>
      </c>
      <c r="AI57" s="44">
        <f t="shared" si="5"/>
        <v>1</v>
      </c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ht="9.75" customHeight="1" x14ac:dyDescent="0.25">
      <c r="A58" s="23"/>
      <c r="B58" s="2" t="str">
        <f t="shared" si="2"/>
        <v/>
      </c>
      <c r="C58" s="23"/>
      <c r="D58" s="24"/>
      <c r="E58" s="42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3">
        <f t="shared" si="3"/>
        <v>0</v>
      </c>
      <c r="U58" s="39" t="str">
        <f t="shared" ref="U58:AH58" si="54">IF(OR(F58=0,F58&lt;0.00000000001,F58&gt;100000),"",IF((IF(F58&gt;F$5,ABS(LOG(((F$5/SUM($F58:$S58))/(F$4/SUM($F$4:$S$4)))*4+2,2)),ABS(LOG(((F58/SUM($F58:$S58))/(F$4/SUM($F$4:$S$4)))*4+2,2)))-3)&gt;8,(IF(F58&gt;F$5,ABS(LOG(((F$5/SUM($F58:$S58))/(F$4/SUM($F$4:$S$4)))*4+2,2)),ABS(LOG(((F58/SUM($F58:$S58))/(F$4/SUM($F$4:$S$4)))*4+2,2)))-3)/7,IF(F58&gt;F$5,ABS(LOG(((F$5/SUM($F58:$S58))/(F$4/SUM($F$4:$S$4)))*4+2,2)),ABS(LOG(((F58/SUM($F58:$S58))/(F$4/SUM($F$4:$S$4)))*4+2,2)))-3))</f>
        <v/>
      </c>
      <c r="V58" s="39" t="str">
        <f t="shared" si="54"/>
        <v/>
      </c>
      <c r="W58" s="39" t="str">
        <f t="shared" si="54"/>
        <v/>
      </c>
      <c r="X58" s="39" t="str">
        <f t="shared" si="54"/>
        <v/>
      </c>
      <c r="Y58" s="39" t="str">
        <f t="shared" si="54"/>
        <v/>
      </c>
      <c r="Z58" s="39" t="str">
        <f t="shared" si="54"/>
        <v/>
      </c>
      <c r="AA58" s="39" t="str">
        <f t="shared" si="54"/>
        <v/>
      </c>
      <c r="AB58" s="39" t="str">
        <f t="shared" si="54"/>
        <v/>
      </c>
      <c r="AC58" s="39" t="str">
        <f t="shared" si="54"/>
        <v/>
      </c>
      <c r="AD58" s="39" t="str">
        <f t="shared" si="54"/>
        <v/>
      </c>
      <c r="AE58" s="39" t="str">
        <f t="shared" si="54"/>
        <v/>
      </c>
      <c r="AF58" s="39" t="str">
        <f t="shared" si="54"/>
        <v/>
      </c>
      <c r="AG58" s="39" t="str">
        <f t="shared" si="54"/>
        <v/>
      </c>
      <c r="AH58" s="39" t="str">
        <f t="shared" si="54"/>
        <v/>
      </c>
      <c r="AI58" s="44">
        <f t="shared" si="5"/>
        <v>1</v>
      </c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ht="9.75" customHeight="1" x14ac:dyDescent="0.25">
      <c r="A59" s="23"/>
      <c r="B59" s="2" t="str">
        <f t="shared" si="2"/>
        <v/>
      </c>
      <c r="C59" s="23"/>
      <c r="D59" s="24"/>
      <c r="E59" s="42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3">
        <f t="shared" si="3"/>
        <v>0</v>
      </c>
      <c r="U59" s="39" t="str">
        <f t="shared" ref="U59:AH59" si="55">IF(OR(F59=0,F59&lt;0.00000000001,F59&gt;100000),"",IF((IF(F59&gt;F$5,ABS(LOG(((F$5/SUM($F59:$S59))/(F$4/SUM($F$4:$S$4)))*4+2,2)),ABS(LOG(((F59/SUM($F59:$S59))/(F$4/SUM($F$4:$S$4)))*4+2,2)))-3)&gt;8,(IF(F59&gt;F$5,ABS(LOG(((F$5/SUM($F59:$S59))/(F$4/SUM($F$4:$S$4)))*4+2,2)),ABS(LOG(((F59/SUM($F59:$S59))/(F$4/SUM($F$4:$S$4)))*4+2,2)))-3)/7,IF(F59&gt;F$5,ABS(LOG(((F$5/SUM($F59:$S59))/(F$4/SUM($F$4:$S$4)))*4+2,2)),ABS(LOG(((F59/SUM($F59:$S59))/(F$4/SUM($F$4:$S$4)))*4+2,2)))-3))</f>
        <v/>
      </c>
      <c r="V59" s="39" t="str">
        <f t="shared" si="55"/>
        <v/>
      </c>
      <c r="W59" s="39" t="str">
        <f t="shared" si="55"/>
        <v/>
      </c>
      <c r="X59" s="39" t="str">
        <f t="shared" si="55"/>
        <v/>
      </c>
      <c r="Y59" s="39" t="str">
        <f t="shared" si="55"/>
        <v/>
      </c>
      <c r="Z59" s="39" t="str">
        <f t="shared" si="55"/>
        <v/>
      </c>
      <c r="AA59" s="39" t="str">
        <f t="shared" si="55"/>
        <v/>
      </c>
      <c r="AB59" s="39" t="str">
        <f t="shared" si="55"/>
        <v/>
      </c>
      <c r="AC59" s="39" t="str">
        <f t="shared" si="55"/>
        <v/>
      </c>
      <c r="AD59" s="39" t="str">
        <f t="shared" si="55"/>
        <v/>
      </c>
      <c r="AE59" s="39" t="str">
        <f t="shared" si="55"/>
        <v/>
      </c>
      <c r="AF59" s="39" t="str">
        <f t="shared" si="55"/>
        <v/>
      </c>
      <c r="AG59" s="39" t="str">
        <f t="shared" si="55"/>
        <v/>
      </c>
      <c r="AH59" s="39" t="str">
        <f t="shared" si="55"/>
        <v/>
      </c>
      <c r="AI59" s="44">
        <f t="shared" si="5"/>
        <v>1</v>
      </c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ht="9.75" customHeight="1" x14ac:dyDescent="0.25">
      <c r="A60" s="23"/>
      <c r="B60" s="2" t="str">
        <f t="shared" si="2"/>
        <v/>
      </c>
      <c r="C60" s="23"/>
      <c r="D60" s="24"/>
      <c r="E60" s="42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3">
        <f t="shared" si="3"/>
        <v>0</v>
      </c>
      <c r="U60" s="39" t="str">
        <f t="shared" ref="U60:AH60" si="56">IF(OR(F60=0,F60&lt;0.00000000001,F60&gt;100000),"",IF((IF(F60&gt;F$5,ABS(LOG(((F$5/SUM($F60:$S60))/(F$4/SUM($F$4:$S$4)))*4+2,2)),ABS(LOG(((F60/SUM($F60:$S60))/(F$4/SUM($F$4:$S$4)))*4+2,2)))-3)&gt;8,(IF(F60&gt;F$5,ABS(LOG(((F$5/SUM($F60:$S60))/(F$4/SUM($F$4:$S$4)))*4+2,2)),ABS(LOG(((F60/SUM($F60:$S60))/(F$4/SUM($F$4:$S$4)))*4+2,2)))-3)/7,IF(F60&gt;F$5,ABS(LOG(((F$5/SUM($F60:$S60))/(F$4/SUM($F$4:$S$4)))*4+2,2)),ABS(LOG(((F60/SUM($F60:$S60))/(F$4/SUM($F$4:$S$4)))*4+2,2)))-3))</f>
        <v/>
      </c>
      <c r="V60" s="39" t="str">
        <f t="shared" si="56"/>
        <v/>
      </c>
      <c r="W60" s="39" t="str">
        <f t="shared" si="56"/>
        <v/>
      </c>
      <c r="X60" s="39" t="str">
        <f t="shared" si="56"/>
        <v/>
      </c>
      <c r="Y60" s="39" t="str">
        <f t="shared" si="56"/>
        <v/>
      </c>
      <c r="Z60" s="39" t="str">
        <f t="shared" si="56"/>
        <v/>
      </c>
      <c r="AA60" s="39" t="str">
        <f t="shared" si="56"/>
        <v/>
      </c>
      <c r="AB60" s="39" t="str">
        <f t="shared" si="56"/>
        <v/>
      </c>
      <c r="AC60" s="39" t="str">
        <f t="shared" si="56"/>
        <v/>
      </c>
      <c r="AD60" s="39" t="str">
        <f t="shared" si="56"/>
        <v/>
      </c>
      <c r="AE60" s="39" t="str">
        <f t="shared" si="56"/>
        <v/>
      </c>
      <c r="AF60" s="39" t="str">
        <f t="shared" si="56"/>
        <v/>
      </c>
      <c r="AG60" s="39" t="str">
        <f t="shared" si="56"/>
        <v/>
      </c>
      <c r="AH60" s="39" t="str">
        <f t="shared" si="56"/>
        <v/>
      </c>
      <c r="AI60" s="44">
        <f t="shared" si="5"/>
        <v>1</v>
      </c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ht="9.75" customHeight="1" x14ac:dyDescent="0.25">
      <c r="A61" s="23"/>
      <c r="B61" s="2" t="str">
        <f t="shared" si="2"/>
        <v/>
      </c>
      <c r="C61" s="23"/>
      <c r="D61" s="24"/>
      <c r="E61" s="42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3">
        <f t="shared" si="3"/>
        <v>0</v>
      </c>
      <c r="U61" s="39" t="str">
        <f t="shared" ref="U61:AH61" si="57">IF(OR(F61=0,F61&lt;0.00000000001,F61&gt;100000),"",IF((IF(F61&gt;F$5,ABS(LOG(((F$5/SUM($F61:$S61))/(F$4/SUM($F$4:$S$4)))*4+2,2)),ABS(LOG(((F61/SUM($F61:$S61))/(F$4/SUM($F$4:$S$4)))*4+2,2)))-3)&gt;8,(IF(F61&gt;F$5,ABS(LOG(((F$5/SUM($F61:$S61))/(F$4/SUM($F$4:$S$4)))*4+2,2)),ABS(LOG(((F61/SUM($F61:$S61))/(F$4/SUM($F$4:$S$4)))*4+2,2)))-3)/7,IF(F61&gt;F$5,ABS(LOG(((F$5/SUM($F61:$S61))/(F$4/SUM($F$4:$S$4)))*4+2,2)),ABS(LOG(((F61/SUM($F61:$S61))/(F$4/SUM($F$4:$S$4)))*4+2,2)))-3))</f>
        <v/>
      </c>
      <c r="V61" s="39" t="str">
        <f t="shared" si="57"/>
        <v/>
      </c>
      <c r="W61" s="39" t="str">
        <f t="shared" si="57"/>
        <v/>
      </c>
      <c r="X61" s="39" t="str">
        <f t="shared" si="57"/>
        <v/>
      </c>
      <c r="Y61" s="39" t="str">
        <f t="shared" si="57"/>
        <v/>
      </c>
      <c r="Z61" s="39" t="str">
        <f t="shared" si="57"/>
        <v/>
      </c>
      <c r="AA61" s="39" t="str">
        <f t="shared" si="57"/>
        <v/>
      </c>
      <c r="AB61" s="39" t="str">
        <f t="shared" si="57"/>
        <v/>
      </c>
      <c r="AC61" s="39" t="str">
        <f t="shared" si="57"/>
        <v/>
      </c>
      <c r="AD61" s="39" t="str">
        <f t="shared" si="57"/>
        <v/>
      </c>
      <c r="AE61" s="39" t="str">
        <f t="shared" si="57"/>
        <v/>
      </c>
      <c r="AF61" s="39" t="str">
        <f t="shared" si="57"/>
        <v/>
      </c>
      <c r="AG61" s="39" t="str">
        <f t="shared" si="57"/>
        <v/>
      </c>
      <c r="AH61" s="39" t="str">
        <f t="shared" si="57"/>
        <v/>
      </c>
      <c r="AI61" s="44">
        <f t="shared" si="5"/>
        <v>1</v>
      </c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ht="9.75" customHeight="1" x14ac:dyDescent="0.25">
      <c r="A62" s="23"/>
      <c r="B62" s="2" t="str">
        <f t="shared" si="2"/>
        <v/>
      </c>
      <c r="C62" s="23"/>
      <c r="D62" s="24"/>
      <c r="E62" s="42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3">
        <f t="shared" si="3"/>
        <v>0</v>
      </c>
      <c r="U62" s="39" t="str">
        <f t="shared" ref="U62:AH62" si="58">IF(OR(F62=0,F62&lt;0.00000000001,F62&gt;100000),"",IF((IF(F62&gt;F$5,ABS(LOG(((F$5/SUM($F62:$S62))/(F$4/SUM($F$4:$S$4)))*4+2,2)),ABS(LOG(((F62/SUM($F62:$S62))/(F$4/SUM($F$4:$S$4)))*4+2,2)))-3)&gt;8,(IF(F62&gt;F$5,ABS(LOG(((F$5/SUM($F62:$S62))/(F$4/SUM($F$4:$S$4)))*4+2,2)),ABS(LOG(((F62/SUM($F62:$S62))/(F$4/SUM($F$4:$S$4)))*4+2,2)))-3)/7,IF(F62&gt;F$5,ABS(LOG(((F$5/SUM($F62:$S62))/(F$4/SUM($F$4:$S$4)))*4+2,2)),ABS(LOG(((F62/SUM($F62:$S62))/(F$4/SUM($F$4:$S$4)))*4+2,2)))-3))</f>
        <v/>
      </c>
      <c r="V62" s="39" t="str">
        <f t="shared" si="58"/>
        <v/>
      </c>
      <c r="W62" s="39" t="str">
        <f t="shared" si="58"/>
        <v/>
      </c>
      <c r="X62" s="39" t="str">
        <f t="shared" si="58"/>
        <v/>
      </c>
      <c r="Y62" s="39" t="str">
        <f t="shared" si="58"/>
        <v/>
      </c>
      <c r="Z62" s="39" t="str">
        <f t="shared" si="58"/>
        <v/>
      </c>
      <c r="AA62" s="39" t="str">
        <f t="shared" si="58"/>
        <v/>
      </c>
      <c r="AB62" s="39" t="str">
        <f t="shared" si="58"/>
        <v/>
      </c>
      <c r="AC62" s="39" t="str">
        <f t="shared" si="58"/>
        <v/>
      </c>
      <c r="AD62" s="39" t="str">
        <f t="shared" si="58"/>
        <v/>
      </c>
      <c r="AE62" s="39" t="str">
        <f t="shared" si="58"/>
        <v/>
      </c>
      <c r="AF62" s="39" t="str">
        <f t="shared" si="58"/>
        <v/>
      </c>
      <c r="AG62" s="39" t="str">
        <f t="shared" si="58"/>
        <v/>
      </c>
      <c r="AH62" s="39" t="str">
        <f t="shared" si="58"/>
        <v/>
      </c>
      <c r="AI62" s="44">
        <f t="shared" si="5"/>
        <v>1</v>
      </c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spans="1:55" ht="9.75" customHeight="1" x14ac:dyDescent="0.25">
      <c r="A63" s="23"/>
      <c r="B63" s="2" t="str">
        <f t="shared" si="2"/>
        <v/>
      </c>
      <c r="C63" s="23"/>
      <c r="D63" s="24"/>
      <c r="E63" s="42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3">
        <f t="shared" si="3"/>
        <v>0</v>
      </c>
      <c r="U63" s="39" t="str">
        <f t="shared" ref="U63:AH63" si="59">IF(OR(F63=0,F63&lt;0.00000000001,F63&gt;100000),"",IF((IF(F63&gt;F$5,ABS(LOG(((F$5/SUM($F63:$S63))/(F$4/SUM($F$4:$S$4)))*4+2,2)),ABS(LOG(((F63/SUM($F63:$S63))/(F$4/SUM($F$4:$S$4)))*4+2,2)))-3)&gt;8,(IF(F63&gt;F$5,ABS(LOG(((F$5/SUM($F63:$S63))/(F$4/SUM($F$4:$S$4)))*4+2,2)),ABS(LOG(((F63/SUM($F63:$S63))/(F$4/SUM($F$4:$S$4)))*4+2,2)))-3)/7,IF(F63&gt;F$5,ABS(LOG(((F$5/SUM($F63:$S63))/(F$4/SUM($F$4:$S$4)))*4+2,2)),ABS(LOG(((F63/SUM($F63:$S63))/(F$4/SUM($F$4:$S$4)))*4+2,2)))-3))</f>
        <v/>
      </c>
      <c r="V63" s="39" t="str">
        <f t="shared" si="59"/>
        <v/>
      </c>
      <c r="W63" s="39" t="str">
        <f t="shared" si="59"/>
        <v/>
      </c>
      <c r="X63" s="39" t="str">
        <f t="shared" si="59"/>
        <v/>
      </c>
      <c r="Y63" s="39" t="str">
        <f t="shared" si="59"/>
        <v/>
      </c>
      <c r="Z63" s="39" t="str">
        <f t="shared" si="59"/>
        <v/>
      </c>
      <c r="AA63" s="39" t="str">
        <f t="shared" si="59"/>
        <v/>
      </c>
      <c r="AB63" s="39" t="str">
        <f t="shared" si="59"/>
        <v/>
      </c>
      <c r="AC63" s="39" t="str">
        <f t="shared" si="59"/>
        <v/>
      </c>
      <c r="AD63" s="39" t="str">
        <f t="shared" si="59"/>
        <v/>
      </c>
      <c r="AE63" s="39" t="str">
        <f t="shared" si="59"/>
        <v/>
      </c>
      <c r="AF63" s="39" t="str">
        <f t="shared" si="59"/>
        <v/>
      </c>
      <c r="AG63" s="39" t="str">
        <f t="shared" si="59"/>
        <v/>
      </c>
      <c r="AH63" s="39" t="str">
        <f t="shared" si="59"/>
        <v/>
      </c>
      <c r="AI63" s="44">
        <f t="shared" si="5"/>
        <v>1</v>
      </c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spans="1:55" ht="9.75" customHeight="1" x14ac:dyDescent="0.25">
      <c r="A64" s="23"/>
      <c r="B64" s="2" t="str">
        <f t="shared" si="2"/>
        <v/>
      </c>
      <c r="C64" s="23"/>
      <c r="D64" s="24"/>
      <c r="E64" s="4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3">
        <f t="shared" si="3"/>
        <v>0</v>
      </c>
      <c r="U64" s="39" t="str">
        <f t="shared" ref="U64:AH64" si="60">IF(OR(F64=0,F64&lt;0.00000000001,F64&gt;100000),"",IF((IF(F64&gt;F$5,ABS(LOG(((F$5/SUM($F64:$S64))/(F$4/SUM($F$4:$S$4)))*4+2,2)),ABS(LOG(((F64/SUM($F64:$S64))/(F$4/SUM($F$4:$S$4)))*4+2,2)))-3)&gt;8,(IF(F64&gt;F$5,ABS(LOG(((F$5/SUM($F64:$S64))/(F$4/SUM($F$4:$S$4)))*4+2,2)),ABS(LOG(((F64/SUM($F64:$S64))/(F$4/SUM($F$4:$S$4)))*4+2,2)))-3)/7,IF(F64&gt;F$5,ABS(LOG(((F$5/SUM($F64:$S64))/(F$4/SUM($F$4:$S$4)))*4+2,2)),ABS(LOG(((F64/SUM($F64:$S64))/(F$4/SUM($F$4:$S$4)))*4+2,2)))-3))</f>
        <v/>
      </c>
      <c r="V64" s="39" t="str">
        <f t="shared" si="60"/>
        <v/>
      </c>
      <c r="W64" s="39" t="str">
        <f t="shared" si="60"/>
        <v/>
      </c>
      <c r="X64" s="39" t="str">
        <f t="shared" si="60"/>
        <v/>
      </c>
      <c r="Y64" s="39" t="str">
        <f t="shared" si="60"/>
        <v/>
      </c>
      <c r="Z64" s="39" t="str">
        <f t="shared" si="60"/>
        <v/>
      </c>
      <c r="AA64" s="39" t="str">
        <f t="shared" si="60"/>
        <v/>
      </c>
      <c r="AB64" s="39" t="str">
        <f t="shared" si="60"/>
        <v/>
      </c>
      <c r="AC64" s="39" t="str">
        <f t="shared" si="60"/>
        <v/>
      </c>
      <c r="AD64" s="39" t="str">
        <f t="shared" si="60"/>
        <v/>
      </c>
      <c r="AE64" s="39" t="str">
        <f t="shared" si="60"/>
        <v/>
      </c>
      <c r="AF64" s="39" t="str">
        <f t="shared" si="60"/>
        <v/>
      </c>
      <c r="AG64" s="39" t="str">
        <f t="shared" si="60"/>
        <v/>
      </c>
      <c r="AH64" s="39" t="str">
        <f t="shared" si="60"/>
        <v/>
      </c>
      <c r="AI64" s="44">
        <f t="shared" si="5"/>
        <v>1</v>
      </c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spans="1:55" ht="9.75" customHeight="1" x14ac:dyDescent="0.25">
      <c r="A65" s="23"/>
      <c r="B65" s="2" t="str">
        <f t="shared" si="2"/>
        <v/>
      </c>
      <c r="C65" s="23"/>
      <c r="D65" s="24"/>
      <c r="E65" s="4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3">
        <f t="shared" si="3"/>
        <v>0</v>
      </c>
      <c r="U65" s="39" t="str">
        <f t="shared" ref="U65:AH65" si="61">IF(OR(F65=0,F65&lt;0.00000000001,F65&gt;100000),"",IF((IF(F65&gt;F$5,ABS(LOG(((F$5/SUM($F65:$S65))/(F$4/SUM($F$4:$S$4)))*4+2,2)),ABS(LOG(((F65/SUM($F65:$S65))/(F$4/SUM($F$4:$S$4)))*4+2,2)))-3)&gt;8,(IF(F65&gt;F$5,ABS(LOG(((F$5/SUM($F65:$S65))/(F$4/SUM($F$4:$S$4)))*4+2,2)),ABS(LOG(((F65/SUM($F65:$S65))/(F$4/SUM($F$4:$S$4)))*4+2,2)))-3)/7,IF(F65&gt;F$5,ABS(LOG(((F$5/SUM($F65:$S65))/(F$4/SUM($F$4:$S$4)))*4+2,2)),ABS(LOG(((F65/SUM($F65:$S65))/(F$4/SUM($F$4:$S$4)))*4+2,2)))-3))</f>
        <v/>
      </c>
      <c r="V65" s="39" t="str">
        <f t="shared" si="61"/>
        <v/>
      </c>
      <c r="W65" s="39" t="str">
        <f t="shared" si="61"/>
        <v/>
      </c>
      <c r="X65" s="39" t="str">
        <f t="shared" si="61"/>
        <v/>
      </c>
      <c r="Y65" s="39" t="str">
        <f t="shared" si="61"/>
        <v/>
      </c>
      <c r="Z65" s="39" t="str">
        <f t="shared" si="61"/>
        <v/>
      </c>
      <c r="AA65" s="39" t="str">
        <f t="shared" si="61"/>
        <v/>
      </c>
      <c r="AB65" s="39" t="str">
        <f t="shared" si="61"/>
        <v/>
      </c>
      <c r="AC65" s="39" t="str">
        <f t="shared" si="61"/>
        <v/>
      </c>
      <c r="AD65" s="39" t="str">
        <f t="shared" si="61"/>
        <v/>
      </c>
      <c r="AE65" s="39" t="str">
        <f t="shared" si="61"/>
        <v/>
      </c>
      <c r="AF65" s="39" t="str">
        <f t="shared" si="61"/>
        <v/>
      </c>
      <c r="AG65" s="39" t="str">
        <f t="shared" si="61"/>
        <v/>
      </c>
      <c r="AH65" s="39" t="str">
        <f t="shared" si="61"/>
        <v/>
      </c>
      <c r="AI65" s="44">
        <f t="shared" si="5"/>
        <v>1</v>
      </c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ht="9.75" customHeight="1" x14ac:dyDescent="0.25">
      <c r="A66" s="23"/>
      <c r="B66" s="2" t="str">
        <f t="shared" si="2"/>
        <v/>
      </c>
      <c r="C66" s="23"/>
      <c r="D66" s="24"/>
      <c r="E66" s="4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3">
        <f t="shared" si="3"/>
        <v>0</v>
      </c>
      <c r="U66" s="39" t="str">
        <f t="shared" ref="U66:AH66" si="62">IF(OR(F66=0,F66&lt;0.00000000001,F66&gt;100000),"",IF((IF(F66&gt;F$5,ABS(LOG(((F$5/SUM($F66:$S66))/(F$4/SUM($F$4:$S$4)))*4+2,2)),ABS(LOG(((F66/SUM($F66:$S66))/(F$4/SUM($F$4:$S$4)))*4+2,2)))-3)&gt;8,(IF(F66&gt;F$5,ABS(LOG(((F$5/SUM($F66:$S66))/(F$4/SUM($F$4:$S$4)))*4+2,2)),ABS(LOG(((F66/SUM($F66:$S66))/(F$4/SUM($F$4:$S$4)))*4+2,2)))-3)/7,IF(F66&gt;F$5,ABS(LOG(((F$5/SUM($F66:$S66))/(F$4/SUM($F$4:$S$4)))*4+2,2)),ABS(LOG(((F66/SUM($F66:$S66))/(F$4/SUM($F$4:$S$4)))*4+2,2)))-3))</f>
        <v/>
      </c>
      <c r="V66" s="39" t="str">
        <f t="shared" si="62"/>
        <v/>
      </c>
      <c r="W66" s="39" t="str">
        <f t="shared" si="62"/>
        <v/>
      </c>
      <c r="X66" s="39" t="str">
        <f t="shared" si="62"/>
        <v/>
      </c>
      <c r="Y66" s="39" t="str">
        <f t="shared" si="62"/>
        <v/>
      </c>
      <c r="Z66" s="39" t="str">
        <f t="shared" si="62"/>
        <v/>
      </c>
      <c r="AA66" s="39" t="str">
        <f t="shared" si="62"/>
        <v/>
      </c>
      <c r="AB66" s="39" t="str">
        <f t="shared" si="62"/>
        <v/>
      </c>
      <c r="AC66" s="39" t="str">
        <f t="shared" si="62"/>
        <v/>
      </c>
      <c r="AD66" s="39" t="str">
        <f t="shared" si="62"/>
        <v/>
      </c>
      <c r="AE66" s="39" t="str">
        <f t="shared" si="62"/>
        <v/>
      </c>
      <c r="AF66" s="39" t="str">
        <f t="shared" si="62"/>
        <v/>
      </c>
      <c r="AG66" s="39" t="str">
        <f t="shared" si="62"/>
        <v/>
      </c>
      <c r="AH66" s="39" t="str">
        <f t="shared" si="62"/>
        <v/>
      </c>
      <c r="AI66" s="44">
        <f t="shared" si="5"/>
        <v>1</v>
      </c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 spans="1:55" ht="9.75" customHeight="1" x14ac:dyDescent="0.25">
      <c r="A67" s="23"/>
      <c r="B67" s="2" t="str">
        <f t="shared" si="2"/>
        <v/>
      </c>
      <c r="C67" s="23"/>
      <c r="D67" s="24"/>
      <c r="E67" s="4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3">
        <f t="shared" si="3"/>
        <v>0</v>
      </c>
      <c r="U67" s="39" t="str">
        <f t="shared" ref="U67:AH67" si="63">IF(OR(F67=0,F67&lt;0.00000000001,F67&gt;100000),"",IF((IF(F67&gt;F$5,ABS(LOG(((F$5/SUM($F67:$S67))/(F$4/SUM($F$4:$S$4)))*4+2,2)),ABS(LOG(((F67/SUM($F67:$S67))/(F$4/SUM($F$4:$S$4)))*4+2,2)))-3)&gt;8,(IF(F67&gt;F$5,ABS(LOG(((F$5/SUM($F67:$S67))/(F$4/SUM($F$4:$S$4)))*4+2,2)),ABS(LOG(((F67/SUM($F67:$S67))/(F$4/SUM($F$4:$S$4)))*4+2,2)))-3)/7,IF(F67&gt;F$5,ABS(LOG(((F$5/SUM($F67:$S67))/(F$4/SUM($F$4:$S$4)))*4+2,2)),ABS(LOG(((F67/SUM($F67:$S67))/(F$4/SUM($F$4:$S$4)))*4+2,2)))-3))</f>
        <v/>
      </c>
      <c r="V67" s="39" t="str">
        <f t="shared" si="63"/>
        <v/>
      </c>
      <c r="W67" s="39" t="str">
        <f t="shared" si="63"/>
        <v/>
      </c>
      <c r="X67" s="39" t="str">
        <f t="shared" si="63"/>
        <v/>
      </c>
      <c r="Y67" s="39" t="str">
        <f t="shared" si="63"/>
        <v/>
      </c>
      <c r="Z67" s="39" t="str">
        <f t="shared" si="63"/>
        <v/>
      </c>
      <c r="AA67" s="39" t="str">
        <f t="shared" si="63"/>
        <v/>
      </c>
      <c r="AB67" s="39" t="str">
        <f t="shared" si="63"/>
        <v/>
      </c>
      <c r="AC67" s="39" t="str">
        <f t="shared" si="63"/>
        <v/>
      </c>
      <c r="AD67" s="39" t="str">
        <f t="shared" si="63"/>
        <v/>
      </c>
      <c r="AE67" s="39" t="str">
        <f t="shared" si="63"/>
        <v/>
      </c>
      <c r="AF67" s="39" t="str">
        <f t="shared" si="63"/>
        <v/>
      </c>
      <c r="AG67" s="39" t="str">
        <f t="shared" si="63"/>
        <v/>
      </c>
      <c r="AH67" s="39" t="str">
        <f t="shared" si="63"/>
        <v/>
      </c>
      <c r="AI67" s="44">
        <f t="shared" si="5"/>
        <v>1</v>
      </c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ht="9.75" customHeight="1" x14ac:dyDescent="0.25">
      <c r="A68" s="23"/>
      <c r="B68" s="2" t="str">
        <f t="shared" si="2"/>
        <v/>
      </c>
      <c r="C68" s="23"/>
      <c r="D68" s="24"/>
      <c r="E68" s="4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3">
        <f t="shared" si="3"/>
        <v>0</v>
      </c>
      <c r="U68" s="39" t="str">
        <f t="shared" ref="U68:AH68" si="64">IF(OR(F68=0,F68&lt;0.00000000001,F68&gt;100000),"",IF((IF(F68&gt;F$5,ABS(LOG(((F$5/SUM($F68:$S68))/(F$4/SUM($F$4:$S$4)))*4+2,2)),ABS(LOG(((F68/SUM($F68:$S68))/(F$4/SUM($F$4:$S$4)))*4+2,2)))-3)&gt;8,(IF(F68&gt;F$5,ABS(LOG(((F$5/SUM($F68:$S68))/(F$4/SUM($F$4:$S$4)))*4+2,2)),ABS(LOG(((F68/SUM($F68:$S68))/(F$4/SUM($F$4:$S$4)))*4+2,2)))-3)/7,IF(F68&gt;F$5,ABS(LOG(((F$5/SUM($F68:$S68))/(F$4/SUM($F$4:$S$4)))*4+2,2)),ABS(LOG(((F68/SUM($F68:$S68))/(F$4/SUM($F$4:$S$4)))*4+2,2)))-3))</f>
        <v/>
      </c>
      <c r="V68" s="39" t="str">
        <f t="shared" si="64"/>
        <v/>
      </c>
      <c r="W68" s="39" t="str">
        <f t="shared" si="64"/>
        <v/>
      </c>
      <c r="X68" s="39" t="str">
        <f t="shared" si="64"/>
        <v/>
      </c>
      <c r="Y68" s="39" t="str">
        <f t="shared" si="64"/>
        <v/>
      </c>
      <c r="Z68" s="39" t="str">
        <f t="shared" si="64"/>
        <v/>
      </c>
      <c r="AA68" s="39" t="str">
        <f t="shared" si="64"/>
        <v/>
      </c>
      <c r="AB68" s="39" t="str">
        <f t="shared" si="64"/>
        <v/>
      </c>
      <c r="AC68" s="39" t="str">
        <f t="shared" si="64"/>
        <v/>
      </c>
      <c r="AD68" s="39" t="str">
        <f t="shared" si="64"/>
        <v/>
      </c>
      <c r="AE68" s="39" t="str">
        <f t="shared" si="64"/>
        <v/>
      </c>
      <c r="AF68" s="39" t="str">
        <f t="shared" si="64"/>
        <v/>
      </c>
      <c r="AG68" s="39" t="str">
        <f t="shared" si="64"/>
        <v/>
      </c>
      <c r="AH68" s="39" t="str">
        <f t="shared" si="64"/>
        <v/>
      </c>
      <c r="AI68" s="44">
        <f t="shared" si="5"/>
        <v>1</v>
      </c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 spans="1:55" ht="9.75" customHeight="1" x14ac:dyDescent="0.25">
      <c r="A69" s="23"/>
      <c r="B69" s="2" t="str">
        <f t="shared" si="2"/>
        <v/>
      </c>
      <c r="C69" s="23"/>
      <c r="D69" s="24"/>
      <c r="E69" s="42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3">
        <f t="shared" si="3"/>
        <v>0</v>
      </c>
      <c r="U69" s="39" t="str">
        <f t="shared" ref="U69:AH69" si="65">IF(OR(F69=0,F69&lt;0.00000000001,F69&gt;100000),"",IF((IF(F69&gt;F$5,ABS(LOG(((F$5/SUM($F69:$S69))/(F$4/SUM($F$4:$S$4)))*4+2,2)),ABS(LOG(((F69/SUM($F69:$S69))/(F$4/SUM($F$4:$S$4)))*4+2,2)))-3)&gt;8,(IF(F69&gt;F$5,ABS(LOG(((F$5/SUM($F69:$S69))/(F$4/SUM($F$4:$S$4)))*4+2,2)),ABS(LOG(((F69/SUM($F69:$S69))/(F$4/SUM($F$4:$S$4)))*4+2,2)))-3)/7,IF(F69&gt;F$5,ABS(LOG(((F$5/SUM($F69:$S69))/(F$4/SUM($F$4:$S$4)))*4+2,2)),ABS(LOG(((F69/SUM($F69:$S69))/(F$4/SUM($F$4:$S$4)))*4+2,2)))-3))</f>
        <v/>
      </c>
      <c r="V69" s="39" t="str">
        <f t="shared" si="65"/>
        <v/>
      </c>
      <c r="W69" s="39" t="str">
        <f t="shared" si="65"/>
        <v/>
      </c>
      <c r="X69" s="39" t="str">
        <f t="shared" si="65"/>
        <v/>
      </c>
      <c r="Y69" s="39" t="str">
        <f t="shared" si="65"/>
        <v/>
      </c>
      <c r="Z69" s="39" t="str">
        <f t="shared" si="65"/>
        <v/>
      </c>
      <c r="AA69" s="39" t="str">
        <f t="shared" si="65"/>
        <v/>
      </c>
      <c r="AB69" s="39" t="str">
        <f t="shared" si="65"/>
        <v/>
      </c>
      <c r="AC69" s="39" t="str">
        <f t="shared" si="65"/>
        <v/>
      </c>
      <c r="AD69" s="39" t="str">
        <f t="shared" si="65"/>
        <v/>
      </c>
      <c r="AE69" s="39" t="str">
        <f t="shared" si="65"/>
        <v/>
      </c>
      <c r="AF69" s="39" t="str">
        <f t="shared" si="65"/>
        <v/>
      </c>
      <c r="AG69" s="39" t="str">
        <f t="shared" si="65"/>
        <v/>
      </c>
      <c r="AH69" s="39" t="str">
        <f t="shared" si="65"/>
        <v/>
      </c>
      <c r="AI69" s="44">
        <f t="shared" si="5"/>
        <v>1</v>
      </c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5" ht="9.75" customHeight="1" x14ac:dyDescent="0.25">
      <c r="A70" s="23"/>
      <c r="B70" s="2" t="str">
        <f t="shared" si="2"/>
        <v/>
      </c>
      <c r="C70" s="23"/>
      <c r="D70" s="24"/>
      <c r="E70" s="4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3">
        <f t="shared" si="3"/>
        <v>0</v>
      </c>
      <c r="U70" s="39" t="str">
        <f t="shared" ref="U70:AH70" si="66">IF(OR(F70=0,F70&lt;0.00000000001,F70&gt;100000),"",IF((IF(F70&gt;F$5,ABS(LOG(((F$5/SUM($F70:$S70))/(F$4/SUM($F$4:$S$4)))*4+2,2)),ABS(LOG(((F70/SUM($F70:$S70))/(F$4/SUM($F$4:$S$4)))*4+2,2)))-3)&gt;8,(IF(F70&gt;F$5,ABS(LOG(((F$5/SUM($F70:$S70))/(F$4/SUM($F$4:$S$4)))*4+2,2)),ABS(LOG(((F70/SUM($F70:$S70))/(F$4/SUM($F$4:$S$4)))*4+2,2)))-3)/7,IF(F70&gt;F$5,ABS(LOG(((F$5/SUM($F70:$S70))/(F$4/SUM($F$4:$S$4)))*4+2,2)),ABS(LOG(((F70/SUM($F70:$S70))/(F$4/SUM($F$4:$S$4)))*4+2,2)))-3))</f>
        <v/>
      </c>
      <c r="V70" s="39" t="str">
        <f t="shared" si="66"/>
        <v/>
      </c>
      <c r="W70" s="39" t="str">
        <f t="shared" si="66"/>
        <v/>
      </c>
      <c r="X70" s="39" t="str">
        <f t="shared" si="66"/>
        <v/>
      </c>
      <c r="Y70" s="39" t="str">
        <f t="shared" si="66"/>
        <v/>
      </c>
      <c r="Z70" s="39" t="str">
        <f t="shared" si="66"/>
        <v/>
      </c>
      <c r="AA70" s="39" t="str">
        <f t="shared" si="66"/>
        <v/>
      </c>
      <c r="AB70" s="39" t="str">
        <f t="shared" si="66"/>
        <v/>
      </c>
      <c r="AC70" s="39" t="str">
        <f t="shared" si="66"/>
        <v/>
      </c>
      <c r="AD70" s="39" t="str">
        <f t="shared" si="66"/>
        <v/>
      </c>
      <c r="AE70" s="39" t="str">
        <f t="shared" si="66"/>
        <v/>
      </c>
      <c r="AF70" s="39" t="str">
        <f t="shared" si="66"/>
        <v/>
      </c>
      <c r="AG70" s="39" t="str">
        <f t="shared" si="66"/>
        <v/>
      </c>
      <c r="AH70" s="39" t="str">
        <f t="shared" si="66"/>
        <v/>
      </c>
      <c r="AI70" s="44">
        <f t="shared" si="5"/>
        <v>1</v>
      </c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</row>
    <row r="71" spans="1:55" ht="9.75" customHeight="1" x14ac:dyDescent="0.25">
      <c r="A71" s="23"/>
      <c r="B71" s="2" t="str">
        <f t="shared" si="2"/>
        <v/>
      </c>
      <c r="C71" s="23"/>
      <c r="D71" s="24"/>
      <c r="E71" s="42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3">
        <f t="shared" si="3"/>
        <v>0</v>
      </c>
      <c r="U71" s="39" t="str">
        <f t="shared" ref="U71:AH71" si="67">IF(OR(F71=0,F71&lt;0.00000000001,F71&gt;100000),"",IF((IF(F71&gt;F$5,ABS(LOG(((F$5/SUM($F71:$S71))/(F$4/SUM($F$4:$S$4)))*4+2,2)),ABS(LOG(((F71/SUM($F71:$S71))/(F$4/SUM($F$4:$S$4)))*4+2,2)))-3)&gt;8,(IF(F71&gt;F$5,ABS(LOG(((F$5/SUM($F71:$S71))/(F$4/SUM($F$4:$S$4)))*4+2,2)),ABS(LOG(((F71/SUM($F71:$S71))/(F$4/SUM($F$4:$S$4)))*4+2,2)))-3)/7,IF(F71&gt;F$5,ABS(LOG(((F$5/SUM($F71:$S71))/(F$4/SUM($F$4:$S$4)))*4+2,2)),ABS(LOG(((F71/SUM($F71:$S71))/(F$4/SUM($F$4:$S$4)))*4+2,2)))-3))</f>
        <v/>
      </c>
      <c r="V71" s="39" t="str">
        <f t="shared" si="67"/>
        <v/>
      </c>
      <c r="W71" s="39" t="str">
        <f t="shared" si="67"/>
        <v/>
      </c>
      <c r="X71" s="39" t="str">
        <f t="shared" si="67"/>
        <v/>
      </c>
      <c r="Y71" s="39" t="str">
        <f t="shared" si="67"/>
        <v/>
      </c>
      <c r="Z71" s="39" t="str">
        <f t="shared" si="67"/>
        <v/>
      </c>
      <c r="AA71" s="39" t="str">
        <f t="shared" si="67"/>
        <v/>
      </c>
      <c r="AB71" s="39" t="str">
        <f t="shared" si="67"/>
        <v/>
      </c>
      <c r="AC71" s="39" t="str">
        <f t="shared" si="67"/>
        <v/>
      </c>
      <c r="AD71" s="39" t="str">
        <f t="shared" si="67"/>
        <v/>
      </c>
      <c r="AE71" s="39" t="str">
        <f t="shared" si="67"/>
        <v/>
      </c>
      <c r="AF71" s="39" t="str">
        <f t="shared" si="67"/>
        <v/>
      </c>
      <c r="AG71" s="39" t="str">
        <f t="shared" si="67"/>
        <v/>
      </c>
      <c r="AH71" s="39" t="str">
        <f t="shared" si="67"/>
        <v/>
      </c>
      <c r="AI71" s="44">
        <f t="shared" si="5"/>
        <v>1</v>
      </c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</row>
    <row r="72" spans="1:55" ht="9.75" customHeight="1" x14ac:dyDescent="0.25">
      <c r="A72" s="23"/>
      <c r="B72" s="2" t="str">
        <f t="shared" si="2"/>
        <v/>
      </c>
      <c r="C72" s="23"/>
      <c r="D72" s="24"/>
      <c r="E72" s="42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3">
        <f t="shared" si="3"/>
        <v>0</v>
      </c>
      <c r="U72" s="39" t="str">
        <f t="shared" ref="U72:AH72" si="68">IF(OR(F72=0,F72&lt;0.00000000001,F72&gt;100000),"",IF((IF(F72&gt;F$5,ABS(LOG(((F$5/SUM($F72:$S72))/(F$4/SUM($F$4:$S$4)))*4+2,2)),ABS(LOG(((F72/SUM($F72:$S72))/(F$4/SUM($F$4:$S$4)))*4+2,2)))-3)&gt;8,(IF(F72&gt;F$5,ABS(LOG(((F$5/SUM($F72:$S72))/(F$4/SUM($F$4:$S$4)))*4+2,2)),ABS(LOG(((F72/SUM($F72:$S72))/(F$4/SUM($F$4:$S$4)))*4+2,2)))-3)/7,IF(F72&gt;F$5,ABS(LOG(((F$5/SUM($F72:$S72))/(F$4/SUM($F$4:$S$4)))*4+2,2)),ABS(LOG(((F72/SUM($F72:$S72))/(F$4/SUM($F$4:$S$4)))*4+2,2)))-3))</f>
        <v/>
      </c>
      <c r="V72" s="39" t="str">
        <f t="shared" si="68"/>
        <v/>
      </c>
      <c r="W72" s="39" t="str">
        <f t="shared" si="68"/>
        <v/>
      </c>
      <c r="X72" s="39" t="str">
        <f t="shared" si="68"/>
        <v/>
      </c>
      <c r="Y72" s="39" t="str">
        <f t="shared" si="68"/>
        <v/>
      </c>
      <c r="Z72" s="39" t="str">
        <f t="shared" si="68"/>
        <v/>
      </c>
      <c r="AA72" s="39" t="str">
        <f t="shared" si="68"/>
        <v/>
      </c>
      <c r="AB72" s="39" t="str">
        <f t="shared" si="68"/>
        <v/>
      </c>
      <c r="AC72" s="39" t="str">
        <f t="shared" si="68"/>
        <v/>
      </c>
      <c r="AD72" s="39" t="str">
        <f t="shared" si="68"/>
        <v/>
      </c>
      <c r="AE72" s="39" t="str">
        <f t="shared" si="68"/>
        <v/>
      </c>
      <c r="AF72" s="39" t="str">
        <f t="shared" si="68"/>
        <v/>
      </c>
      <c r="AG72" s="39" t="str">
        <f t="shared" si="68"/>
        <v/>
      </c>
      <c r="AH72" s="39" t="str">
        <f t="shared" si="68"/>
        <v/>
      </c>
      <c r="AI72" s="44">
        <f t="shared" si="5"/>
        <v>1</v>
      </c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</row>
    <row r="73" spans="1:55" ht="9.75" customHeight="1" x14ac:dyDescent="0.25">
      <c r="A73" s="23"/>
      <c r="B73" s="2" t="str">
        <f t="shared" si="2"/>
        <v/>
      </c>
      <c r="C73" s="23"/>
      <c r="D73" s="24"/>
      <c r="E73" s="42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3">
        <f t="shared" si="3"/>
        <v>0</v>
      </c>
      <c r="U73" s="39" t="str">
        <f t="shared" ref="U73:AH73" si="69">IF(OR(F73=0,F73&lt;0.00000000001,F73&gt;100000),"",IF((IF(F73&gt;F$5,ABS(LOG(((F$5/SUM($F73:$S73))/(F$4/SUM($F$4:$S$4)))*4+2,2)),ABS(LOG(((F73/SUM($F73:$S73))/(F$4/SUM($F$4:$S$4)))*4+2,2)))-3)&gt;8,(IF(F73&gt;F$5,ABS(LOG(((F$5/SUM($F73:$S73))/(F$4/SUM($F$4:$S$4)))*4+2,2)),ABS(LOG(((F73/SUM($F73:$S73))/(F$4/SUM($F$4:$S$4)))*4+2,2)))-3)/7,IF(F73&gt;F$5,ABS(LOG(((F$5/SUM($F73:$S73))/(F$4/SUM($F$4:$S$4)))*4+2,2)),ABS(LOG(((F73/SUM($F73:$S73))/(F$4/SUM($F$4:$S$4)))*4+2,2)))-3))</f>
        <v/>
      </c>
      <c r="V73" s="39" t="str">
        <f t="shared" si="69"/>
        <v/>
      </c>
      <c r="W73" s="39" t="str">
        <f t="shared" si="69"/>
        <v/>
      </c>
      <c r="X73" s="39" t="str">
        <f t="shared" si="69"/>
        <v/>
      </c>
      <c r="Y73" s="39" t="str">
        <f t="shared" si="69"/>
        <v/>
      </c>
      <c r="Z73" s="39" t="str">
        <f t="shared" si="69"/>
        <v/>
      </c>
      <c r="AA73" s="39" t="str">
        <f t="shared" si="69"/>
        <v/>
      </c>
      <c r="AB73" s="39" t="str">
        <f t="shared" si="69"/>
        <v/>
      </c>
      <c r="AC73" s="39" t="str">
        <f t="shared" si="69"/>
        <v/>
      </c>
      <c r="AD73" s="39" t="str">
        <f t="shared" si="69"/>
        <v/>
      </c>
      <c r="AE73" s="39" t="str">
        <f t="shared" si="69"/>
        <v/>
      </c>
      <c r="AF73" s="39" t="str">
        <f t="shared" si="69"/>
        <v/>
      </c>
      <c r="AG73" s="39" t="str">
        <f t="shared" si="69"/>
        <v/>
      </c>
      <c r="AH73" s="39" t="str">
        <f t="shared" si="69"/>
        <v/>
      </c>
      <c r="AI73" s="44">
        <f t="shared" si="5"/>
        <v>1</v>
      </c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</row>
    <row r="74" spans="1:55" ht="9.75" customHeight="1" x14ac:dyDescent="0.25">
      <c r="A74" s="23"/>
      <c r="B74" s="2" t="str">
        <f t="shared" si="2"/>
        <v/>
      </c>
      <c r="C74" s="23"/>
      <c r="D74" s="24"/>
      <c r="E74" s="4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3">
        <f t="shared" si="3"/>
        <v>0</v>
      </c>
      <c r="U74" s="39" t="str">
        <f t="shared" ref="U74:AH74" si="70">IF(OR(F74=0,F74&lt;0.00000000001,F74&gt;100000),"",IF((IF(F74&gt;F$5,ABS(LOG(((F$5/SUM($F74:$S74))/(F$4/SUM($F$4:$S$4)))*4+2,2)),ABS(LOG(((F74/SUM($F74:$S74))/(F$4/SUM($F$4:$S$4)))*4+2,2)))-3)&gt;8,(IF(F74&gt;F$5,ABS(LOG(((F$5/SUM($F74:$S74))/(F$4/SUM($F$4:$S$4)))*4+2,2)),ABS(LOG(((F74/SUM($F74:$S74))/(F$4/SUM($F$4:$S$4)))*4+2,2)))-3)/7,IF(F74&gt;F$5,ABS(LOG(((F$5/SUM($F74:$S74))/(F$4/SUM($F$4:$S$4)))*4+2,2)),ABS(LOG(((F74/SUM($F74:$S74))/(F$4/SUM($F$4:$S$4)))*4+2,2)))-3))</f>
        <v/>
      </c>
      <c r="V74" s="39" t="str">
        <f t="shared" si="70"/>
        <v/>
      </c>
      <c r="W74" s="39" t="str">
        <f t="shared" si="70"/>
        <v/>
      </c>
      <c r="X74" s="39" t="str">
        <f t="shared" si="70"/>
        <v/>
      </c>
      <c r="Y74" s="39" t="str">
        <f t="shared" si="70"/>
        <v/>
      </c>
      <c r="Z74" s="39" t="str">
        <f t="shared" si="70"/>
        <v/>
      </c>
      <c r="AA74" s="39" t="str">
        <f t="shared" si="70"/>
        <v/>
      </c>
      <c r="AB74" s="39" t="str">
        <f t="shared" si="70"/>
        <v/>
      </c>
      <c r="AC74" s="39" t="str">
        <f t="shared" si="70"/>
        <v/>
      </c>
      <c r="AD74" s="39" t="str">
        <f t="shared" si="70"/>
        <v/>
      </c>
      <c r="AE74" s="39" t="str">
        <f t="shared" si="70"/>
        <v/>
      </c>
      <c r="AF74" s="39" t="str">
        <f t="shared" si="70"/>
        <v/>
      </c>
      <c r="AG74" s="39" t="str">
        <f t="shared" si="70"/>
        <v/>
      </c>
      <c r="AH74" s="39" t="str">
        <f t="shared" si="70"/>
        <v/>
      </c>
      <c r="AI74" s="44">
        <f t="shared" si="5"/>
        <v>1</v>
      </c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</row>
    <row r="75" spans="1:55" ht="9.75" customHeight="1" x14ac:dyDescent="0.25">
      <c r="A75" s="23"/>
      <c r="B75" s="2" t="str">
        <f t="shared" si="2"/>
        <v/>
      </c>
      <c r="C75" s="23"/>
      <c r="D75" s="24"/>
      <c r="E75" s="4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3">
        <f t="shared" si="3"/>
        <v>0</v>
      </c>
      <c r="U75" s="39" t="str">
        <f t="shared" ref="U75:AH75" si="71">IF(OR(F75=0,F75&lt;0.00000000001,F75&gt;100000),"",IF((IF(F75&gt;F$5,ABS(LOG(((F$5/SUM($F75:$S75))/(F$4/SUM($F$4:$S$4)))*4+2,2)),ABS(LOG(((F75/SUM($F75:$S75))/(F$4/SUM($F$4:$S$4)))*4+2,2)))-3)&gt;8,(IF(F75&gt;F$5,ABS(LOG(((F$5/SUM($F75:$S75))/(F$4/SUM($F$4:$S$4)))*4+2,2)),ABS(LOG(((F75/SUM($F75:$S75))/(F$4/SUM($F$4:$S$4)))*4+2,2)))-3)/7,IF(F75&gt;F$5,ABS(LOG(((F$5/SUM($F75:$S75))/(F$4/SUM($F$4:$S$4)))*4+2,2)),ABS(LOG(((F75/SUM($F75:$S75))/(F$4/SUM($F$4:$S$4)))*4+2,2)))-3))</f>
        <v/>
      </c>
      <c r="V75" s="39" t="str">
        <f t="shared" si="71"/>
        <v/>
      </c>
      <c r="W75" s="39" t="str">
        <f t="shared" si="71"/>
        <v/>
      </c>
      <c r="X75" s="39" t="str">
        <f t="shared" si="71"/>
        <v/>
      </c>
      <c r="Y75" s="39" t="str">
        <f t="shared" si="71"/>
        <v/>
      </c>
      <c r="Z75" s="39" t="str">
        <f t="shared" si="71"/>
        <v/>
      </c>
      <c r="AA75" s="39" t="str">
        <f t="shared" si="71"/>
        <v/>
      </c>
      <c r="AB75" s="39" t="str">
        <f t="shared" si="71"/>
        <v/>
      </c>
      <c r="AC75" s="39" t="str">
        <f t="shared" si="71"/>
        <v/>
      </c>
      <c r="AD75" s="39" t="str">
        <f t="shared" si="71"/>
        <v/>
      </c>
      <c r="AE75" s="39" t="str">
        <f t="shared" si="71"/>
        <v/>
      </c>
      <c r="AF75" s="39" t="str">
        <f t="shared" si="71"/>
        <v/>
      </c>
      <c r="AG75" s="39" t="str">
        <f t="shared" si="71"/>
        <v/>
      </c>
      <c r="AH75" s="39" t="str">
        <f t="shared" si="71"/>
        <v/>
      </c>
      <c r="AI75" s="44">
        <f t="shared" si="5"/>
        <v>1</v>
      </c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</row>
    <row r="76" spans="1:55" ht="9.75" customHeight="1" x14ac:dyDescent="0.25">
      <c r="A76" s="23"/>
      <c r="B76" s="2" t="str">
        <f t="shared" si="2"/>
        <v/>
      </c>
      <c r="C76" s="23"/>
      <c r="D76" s="24"/>
      <c r="E76" s="4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3">
        <f t="shared" si="3"/>
        <v>0</v>
      </c>
      <c r="U76" s="39" t="str">
        <f t="shared" ref="U76:AH76" si="72">IF(OR(F76=0,F76&lt;0.00000000001,F76&gt;100000),"",IF((IF(F76&gt;F$5,ABS(LOG(((F$5/SUM($F76:$S76))/(F$4/SUM($F$4:$S$4)))*4+2,2)),ABS(LOG(((F76/SUM($F76:$S76))/(F$4/SUM($F$4:$S$4)))*4+2,2)))-3)&gt;8,(IF(F76&gt;F$5,ABS(LOG(((F$5/SUM($F76:$S76))/(F$4/SUM($F$4:$S$4)))*4+2,2)),ABS(LOG(((F76/SUM($F76:$S76))/(F$4/SUM($F$4:$S$4)))*4+2,2)))-3)/7,IF(F76&gt;F$5,ABS(LOG(((F$5/SUM($F76:$S76))/(F$4/SUM($F$4:$S$4)))*4+2,2)),ABS(LOG(((F76/SUM($F76:$S76))/(F$4/SUM($F$4:$S$4)))*4+2,2)))-3))</f>
        <v/>
      </c>
      <c r="V76" s="39" t="str">
        <f t="shared" si="72"/>
        <v/>
      </c>
      <c r="W76" s="39" t="str">
        <f t="shared" si="72"/>
        <v/>
      </c>
      <c r="X76" s="39" t="str">
        <f t="shared" si="72"/>
        <v/>
      </c>
      <c r="Y76" s="39" t="str">
        <f t="shared" si="72"/>
        <v/>
      </c>
      <c r="Z76" s="39" t="str">
        <f t="shared" si="72"/>
        <v/>
      </c>
      <c r="AA76" s="39" t="str">
        <f t="shared" si="72"/>
        <v/>
      </c>
      <c r="AB76" s="39" t="str">
        <f t="shared" si="72"/>
        <v/>
      </c>
      <c r="AC76" s="39" t="str">
        <f t="shared" si="72"/>
        <v/>
      </c>
      <c r="AD76" s="39" t="str">
        <f t="shared" si="72"/>
        <v/>
      </c>
      <c r="AE76" s="39" t="str">
        <f t="shared" si="72"/>
        <v/>
      </c>
      <c r="AF76" s="39" t="str">
        <f t="shared" si="72"/>
        <v/>
      </c>
      <c r="AG76" s="39" t="str">
        <f t="shared" si="72"/>
        <v/>
      </c>
      <c r="AH76" s="39" t="str">
        <f t="shared" si="72"/>
        <v/>
      </c>
      <c r="AI76" s="44">
        <f t="shared" si="5"/>
        <v>1</v>
      </c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</row>
    <row r="77" spans="1:55" ht="9.75" customHeight="1" x14ac:dyDescent="0.25">
      <c r="A77" s="23"/>
      <c r="B77" s="2" t="str">
        <f t="shared" si="2"/>
        <v/>
      </c>
      <c r="C77" s="23"/>
      <c r="D77" s="24"/>
      <c r="E77" s="4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3">
        <f t="shared" si="3"/>
        <v>0</v>
      </c>
      <c r="U77" s="39" t="str">
        <f t="shared" ref="U77:AH77" si="73">IF(OR(F77=0,F77&lt;0.00000000001,F77&gt;100000),"",IF((IF(F77&gt;F$5,ABS(LOG(((F$5/SUM($F77:$S77))/(F$4/SUM($F$4:$S$4)))*4+2,2)),ABS(LOG(((F77/SUM($F77:$S77))/(F$4/SUM($F$4:$S$4)))*4+2,2)))-3)&gt;8,(IF(F77&gt;F$5,ABS(LOG(((F$5/SUM($F77:$S77))/(F$4/SUM($F$4:$S$4)))*4+2,2)),ABS(LOG(((F77/SUM($F77:$S77))/(F$4/SUM($F$4:$S$4)))*4+2,2)))-3)/7,IF(F77&gt;F$5,ABS(LOG(((F$5/SUM($F77:$S77))/(F$4/SUM($F$4:$S$4)))*4+2,2)),ABS(LOG(((F77/SUM($F77:$S77))/(F$4/SUM($F$4:$S$4)))*4+2,2)))-3))</f>
        <v/>
      </c>
      <c r="V77" s="39" t="str">
        <f t="shared" si="73"/>
        <v/>
      </c>
      <c r="W77" s="39" t="str">
        <f t="shared" si="73"/>
        <v/>
      </c>
      <c r="X77" s="39" t="str">
        <f t="shared" si="73"/>
        <v/>
      </c>
      <c r="Y77" s="39" t="str">
        <f t="shared" si="73"/>
        <v/>
      </c>
      <c r="Z77" s="39" t="str">
        <f t="shared" si="73"/>
        <v/>
      </c>
      <c r="AA77" s="39" t="str">
        <f t="shared" si="73"/>
        <v/>
      </c>
      <c r="AB77" s="39" t="str">
        <f t="shared" si="73"/>
        <v/>
      </c>
      <c r="AC77" s="39" t="str">
        <f t="shared" si="73"/>
        <v/>
      </c>
      <c r="AD77" s="39" t="str">
        <f t="shared" si="73"/>
        <v/>
      </c>
      <c r="AE77" s="39" t="str">
        <f t="shared" si="73"/>
        <v/>
      </c>
      <c r="AF77" s="39" t="str">
        <f t="shared" si="73"/>
        <v/>
      </c>
      <c r="AG77" s="39" t="str">
        <f t="shared" si="73"/>
        <v/>
      </c>
      <c r="AH77" s="39" t="str">
        <f t="shared" si="73"/>
        <v/>
      </c>
      <c r="AI77" s="44">
        <f t="shared" si="5"/>
        <v>1</v>
      </c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</row>
    <row r="78" spans="1:55" ht="9.75" customHeight="1" x14ac:dyDescent="0.25">
      <c r="A78" s="23"/>
      <c r="B78" s="2" t="str">
        <f t="shared" si="2"/>
        <v/>
      </c>
      <c r="C78" s="23"/>
      <c r="D78" s="24"/>
      <c r="E78" s="4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3">
        <f t="shared" si="3"/>
        <v>0</v>
      </c>
      <c r="U78" s="39" t="str">
        <f t="shared" ref="U78:AH78" si="74">IF(OR(F78=0,F78&lt;0.00000000001,F78&gt;100000),"",IF((IF(F78&gt;F$5,ABS(LOG(((F$5/SUM($F78:$S78))/(F$4/SUM($F$4:$S$4)))*4+2,2)),ABS(LOG(((F78/SUM($F78:$S78))/(F$4/SUM($F$4:$S$4)))*4+2,2)))-3)&gt;8,(IF(F78&gt;F$5,ABS(LOG(((F$5/SUM($F78:$S78))/(F$4/SUM($F$4:$S$4)))*4+2,2)),ABS(LOG(((F78/SUM($F78:$S78))/(F$4/SUM($F$4:$S$4)))*4+2,2)))-3)/7,IF(F78&gt;F$5,ABS(LOG(((F$5/SUM($F78:$S78))/(F$4/SUM($F$4:$S$4)))*4+2,2)),ABS(LOG(((F78/SUM($F78:$S78))/(F$4/SUM($F$4:$S$4)))*4+2,2)))-3))</f>
        <v/>
      </c>
      <c r="V78" s="39" t="str">
        <f t="shared" si="74"/>
        <v/>
      </c>
      <c r="W78" s="39" t="str">
        <f t="shared" si="74"/>
        <v/>
      </c>
      <c r="X78" s="39" t="str">
        <f t="shared" si="74"/>
        <v/>
      </c>
      <c r="Y78" s="39" t="str">
        <f t="shared" si="74"/>
        <v/>
      </c>
      <c r="Z78" s="39" t="str">
        <f t="shared" si="74"/>
        <v/>
      </c>
      <c r="AA78" s="39" t="str">
        <f t="shared" si="74"/>
        <v/>
      </c>
      <c r="AB78" s="39" t="str">
        <f t="shared" si="74"/>
        <v/>
      </c>
      <c r="AC78" s="39" t="str">
        <f t="shared" si="74"/>
        <v/>
      </c>
      <c r="AD78" s="39" t="str">
        <f t="shared" si="74"/>
        <v/>
      </c>
      <c r="AE78" s="39" t="str">
        <f t="shared" si="74"/>
        <v/>
      </c>
      <c r="AF78" s="39" t="str">
        <f t="shared" si="74"/>
        <v/>
      </c>
      <c r="AG78" s="39" t="str">
        <f t="shared" si="74"/>
        <v/>
      </c>
      <c r="AH78" s="39" t="str">
        <f t="shared" si="74"/>
        <v/>
      </c>
      <c r="AI78" s="44">
        <f t="shared" si="5"/>
        <v>1</v>
      </c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</row>
    <row r="79" spans="1:55" ht="9.75" customHeight="1" x14ac:dyDescent="0.25">
      <c r="A79" s="23"/>
      <c r="B79" s="2" t="str">
        <f t="shared" si="2"/>
        <v/>
      </c>
      <c r="C79" s="23"/>
      <c r="D79" s="24"/>
      <c r="E79" s="4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3">
        <f t="shared" si="3"/>
        <v>0</v>
      </c>
      <c r="U79" s="39" t="str">
        <f t="shared" ref="U79:AH79" si="75">IF(OR(F79=0,F79&lt;0.00000000001,F79&gt;100000),"",IF((IF(F79&gt;F$5,ABS(LOG(((F$5/SUM($F79:$S79))/(F$4/SUM($F$4:$S$4)))*4+2,2)),ABS(LOG(((F79/SUM($F79:$S79))/(F$4/SUM($F$4:$S$4)))*4+2,2)))-3)&gt;8,(IF(F79&gt;F$5,ABS(LOG(((F$5/SUM($F79:$S79))/(F$4/SUM($F$4:$S$4)))*4+2,2)),ABS(LOG(((F79/SUM($F79:$S79))/(F$4/SUM($F$4:$S$4)))*4+2,2)))-3)/7,IF(F79&gt;F$5,ABS(LOG(((F$5/SUM($F79:$S79))/(F$4/SUM($F$4:$S$4)))*4+2,2)),ABS(LOG(((F79/SUM($F79:$S79))/(F$4/SUM($F$4:$S$4)))*4+2,2)))-3))</f>
        <v/>
      </c>
      <c r="V79" s="39" t="str">
        <f t="shared" si="75"/>
        <v/>
      </c>
      <c r="W79" s="39" t="str">
        <f t="shared" si="75"/>
        <v/>
      </c>
      <c r="X79" s="39" t="str">
        <f t="shared" si="75"/>
        <v/>
      </c>
      <c r="Y79" s="39" t="str">
        <f t="shared" si="75"/>
        <v/>
      </c>
      <c r="Z79" s="39" t="str">
        <f t="shared" si="75"/>
        <v/>
      </c>
      <c r="AA79" s="39" t="str">
        <f t="shared" si="75"/>
        <v/>
      </c>
      <c r="AB79" s="39" t="str">
        <f t="shared" si="75"/>
        <v/>
      </c>
      <c r="AC79" s="39" t="str">
        <f t="shared" si="75"/>
        <v/>
      </c>
      <c r="AD79" s="39" t="str">
        <f t="shared" si="75"/>
        <v/>
      </c>
      <c r="AE79" s="39" t="str">
        <f t="shared" si="75"/>
        <v/>
      </c>
      <c r="AF79" s="39" t="str">
        <f t="shared" si="75"/>
        <v/>
      </c>
      <c r="AG79" s="39" t="str">
        <f t="shared" si="75"/>
        <v/>
      </c>
      <c r="AH79" s="39" t="str">
        <f t="shared" si="75"/>
        <v/>
      </c>
      <c r="AI79" s="44">
        <f t="shared" si="5"/>
        <v>1</v>
      </c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</row>
    <row r="80" spans="1:55" ht="9.75" customHeight="1" x14ac:dyDescent="0.25">
      <c r="A80" s="23"/>
      <c r="B80" s="2" t="str">
        <f t="shared" si="2"/>
        <v/>
      </c>
      <c r="C80" s="23"/>
      <c r="D80" s="24"/>
      <c r="E80" s="4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3">
        <f t="shared" si="3"/>
        <v>0</v>
      </c>
      <c r="U80" s="39" t="str">
        <f t="shared" ref="U80:AH80" si="76">IF(OR(F80=0,F80&lt;0.00000000001,F80&gt;100000),"",IF((IF(F80&gt;F$5,ABS(LOG(((F$5/SUM($F80:$S80))/(F$4/SUM($F$4:$S$4)))*4+2,2)),ABS(LOG(((F80/SUM($F80:$S80))/(F$4/SUM($F$4:$S$4)))*4+2,2)))-3)&gt;8,(IF(F80&gt;F$5,ABS(LOG(((F$5/SUM($F80:$S80))/(F$4/SUM($F$4:$S$4)))*4+2,2)),ABS(LOG(((F80/SUM($F80:$S80))/(F$4/SUM($F$4:$S$4)))*4+2,2)))-3)/7,IF(F80&gt;F$5,ABS(LOG(((F$5/SUM($F80:$S80))/(F$4/SUM($F$4:$S$4)))*4+2,2)),ABS(LOG(((F80/SUM($F80:$S80))/(F$4/SUM($F$4:$S$4)))*4+2,2)))-3))</f>
        <v/>
      </c>
      <c r="V80" s="39" t="str">
        <f t="shared" si="76"/>
        <v/>
      </c>
      <c r="W80" s="39" t="str">
        <f t="shared" si="76"/>
        <v/>
      </c>
      <c r="X80" s="39" t="str">
        <f t="shared" si="76"/>
        <v/>
      </c>
      <c r="Y80" s="39" t="str">
        <f t="shared" si="76"/>
        <v/>
      </c>
      <c r="Z80" s="39" t="str">
        <f t="shared" si="76"/>
        <v/>
      </c>
      <c r="AA80" s="39" t="str">
        <f t="shared" si="76"/>
        <v/>
      </c>
      <c r="AB80" s="39" t="str">
        <f t="shared" si="76"/>
        <v/>
      </c>
      <c r="AC80" s="39" t="str">
        <f t="shared" si="76"/>
        <v/>
      </c>
      <c r="AD80" s="39" t="str">
        <f t="shared" si="76"/>
        <v/>
      </c>
      <c r="AE80" s="39" t="str">
        <f t="shared" si="76"/>
        <v/>
      </c>
      <c r="AF80" s="39" t="str">
        <f t="shared" si="76"/>
        <v/>
      </c>
      <c r="AG80" s="39" t="str">
        <f t="shared" si="76"/>
        <v/>
      </c>
      <c r="AH80" s="39" t="str">
        <f t="shared" si="76"/>
        <v/>
      </c>
      <c r="AI80" s="44">
        <f t="shared" si="5"/>
        <v>1</v>
      </c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</row>
    <row r="81" spans="1:55" ht="9.75" customHeight="1" x14ac:dyDescent="0.25">
      <c r="A81" s="23"/>
      <c r="B81" s="2" t="str">
        <f t="shared" si="2"/>
        <v/>
      </c>
      <c r="C81" s="23"/>
      <c r="D81" s="24"/>
      <c r="E81" s="4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3">
        <f t="shared" si="3"/>
        <v>0</v>
      </c>
      <c r="U81" s="39" t="str">
        <f t="shared" ref="U81:AH81" si="77">IF(OR(F81=0,F81&lt;0.00000000001,F81&gt;100000),"",IF((IF(F81&gt;F$5,ABS(LOG(((F$5/SUM($F81:$S81))/(F$4/SUM($F$4:$S$4)))*4+2,2)),ABS(LOG(((F81/SUM($F81:$S81))/(F$4/SUM($F$4:$S$4)))*4+2,2)))-3)&gt;8,(IF(F81&gt;F$5,ABS(LOG(((F$5/SUM($F81:$S81))/(F$4/SUM($F$4:$S$4)))*4+2,2)),ABS(LOG(((F81/SUM($F81:$S81))/(F$4/SUM($F$4:$S$4)))*4+2,2)))-3)/7,IF(F81&gt;F$5,ABS(LOG(((F$5/SUM($F81:$S81))/(F$4/SUM($F$4:$S$4)))*4+2,2)),ABS(LOG(((F81/SUM($F81:$S81))/(F$4/SUM($F$4:$S$4)))*4+2,2)))-3))</f>
        <v/>
      </c>
      <c r="V81" s="39" t="str">
        <f t="shared" si="77"/>
        <v/>
      </c>
      <c r="W81" s="39" t="str">
        <f t="shared" si="77"/>
        <v/>
      </c>
      <c r="X81" s="39" t="str">
        <f t="shared" si="77"/>
        <v/>
      </c>
      <c r="Y81" s="39" t="str">
        <f t="shared" si="77"/>
        <v/>
      </c>
      <c r="Z81" s="39" t="str">
        <f t="shared" si="77"/>
        <v/>
      </c>
      <c r="AA81" s="39" t="str">
        <f t="shared" si="77"/>
        <v/>
      </c>
      <c r="AB81" s="39" t="str">
        <f t="shared" si="77"/>
        <v/>
      </c>
      <c r="AC81" s="39" t="str">
        <f t="shared" si="77"/>
        <v/>
      </c>
      <c r="AD81" s="39" t="str">
        <f t="shared" si="77"/>
        <v/>
      </c>
      <c r="AE81" s="39" t="str">
        <f t="shared" si="77"/>
        <v/>
      </c>
      <c r="AF81" s="39" t="str">
        <f t="shared" si="77"/>
        <v/>
      </c>
      <c r="AG81" s="39" t="str">
        <f t="shared" si="77"/>
        <v/>
      </c>
      <c r="AH81" s="39" t="str">
        <f t="shared" si="77"/>
        <v/>
      </c>
      <c r="AI81" s="44">
        <f t="shared" si="5"/>
        <v>1</v>
      </c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</row>
    <row r="82" spans="1:55" ht="9.75" customHeight="1" x14ac:dyDescent="0.25">
      <c r="A82" s="23"/>
      <c r="B82" s="2" t="str">
        <f t="shared" si="2"/>
        <v/>
      </c>
      <c r="C82" s="23"/>
      <c r="D82" s="24"/>
      <c r="E82" s="4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3">
        <f t="shared" si="3"/>
        <v>0</v>
      </c>
      <c r="U82" s="39" t="str">
        <f t="shared" ref="U82:AH82" si="78">IF(OR(F82=0,F82&lt;0.00000000001,F82&gt;100000),"",IF((IF(F82&gt;F$5,ABS(LOG(((F$5/SUM($F82:$S82))/(F$4/SUM($F$4:$S$4)))*4+2,2)),ABS(LOG(((F82/SUM($F82:$S82))/(F$4/SUM($F$4:$S$4)))*4+2,2)))-3)&gt;8,(IF(F82&gt;F$5,ABS(LOG(((F$5/SUM($F82:$S82))/(F$4/SUM($F$4:$S$4)))*4+2,2)),ABS(LOG(((F82/SUM($F82:$S82))/(F$4/SUM($F$4:$S$4)))*4+2,2)))-3)/7,IF(F82&gt;F$5,ABS(LOG(((F$5/SUM($F82:$S82))/(F$4/SUM($F$4:$S$4)))*4+2,2)),ABS(LOG(((F82/SUM($F82:$S82))/(F$4/SUM($F$4:$S$4)))*4+2,2)))-3))</f>
        <v/>
      </c>
      <c r="V82" s="39" t="str">
        <f t="shared" si="78"/>
        <v/>
      </c>
      <c r="W82" s="39" t="str">
        <f t="shared" si="78"/>
        <v/>
      </c>
      <c r="X82" s="39" t="str">
        <f t="shared" si="78"/>
        <v/>
      </c>
      <c r="Y82" s="39" t="str">
        <f t="shared" si="78"/>
        <v/>
      </c>
      <c r="Z82" s="39" t="str">
        <f t="shared" si="78"/>
        <v/>
      </c>
      <c r="AA82" s="39" t="str">
        <f t="shared" si="78"/>
        <v/>
      </c>
      <c r="AB82" s="39" t="str">
        <f t="shared" si="78"/>
        <v/>
      </c>
      <c r="AC82" s="39" t="str">
        <f t="shared" si="78"/>
        <v/>
      </c>
      <c r="AD82" s="39" t="str">
        <f t="shared" si="78"/>
        <v/>
      </c>
      <c r="AE82" s="39" t="str">
        <f t="shared" si="78"/>
        <v/>
      </c>
      <c r="AF82" s="39" t="str">
        <f t="shared" si="78"/>
        <v/>
      </c>
      <c r="AG82" s="39" t="str">
        <f t="shared" si="78"/>
        <v/>
      </c>
      <c r="AH82" s="39" t="str">
        <f t="shared" si="78"/>
        <v/>
      </c>
      <c r="AI82" s="44">
        <f t="shared" si="5"/>
        <v>1</v>
      </c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</row>
    <row r="83" spans="1:55" ht="9.75" customHeight="1" x14ac:dyDescent="0.25">
      <c r="A83" s="23"/>
      <c r="B83" s="2" t="str">
        <f t="shared" si="2"/>
        <v/>
      </c>
      <c r="C83" s="23"/>
      <c r="D83" s="24"/>
      <c r="E83" s="4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3">
        <f t="shared" si="3"/>
        <v>0</v>
      </c>
      <c r="U83" s="39" t="str">
        <f t="shared" ref="U83:AH83" si="79">IF(OR(F83=0,F83&lt;0.00000000001,F83&gt;100000),"",IF((IF(F83&gt;F$5,ABS(LOG(((F$5/SUM($F83:$S83))/(F$4/SUM($F$4:$S$4)))*4+2,2)),ABS(LOG(((F83/SUM($F83:$S83))/(F$4/SUM($F$4:$S$4)))*4+2,2)))-3)&gt;8,(IF(F83&gt;F$5,ABS(LOG(((F$5/SUM($F83:$S83))/(F$4/SUM($F$4:$S$4)))*4+2,2)),ABS(LOG(((F83/SUM($F83:$S83))/(F$4/SUM($F$4:$S$4)))*4+2,2)))-3)/7,IF(F83&gt;F$5,ABS(LOG(((F$5/SUM($F83:$S83))/(F$4/SUM($F$4:$S$4)))*4+2,2)),ABS(LOG(((F83/SUM($F83:$S83))/(F$4/SUM($F$4:$S$4)))*4+2,2)))-3))</f>
        <v/>
      </c>
      <c r="V83" s="39" t="str">
        <f t="shared" si="79"/>
        <v/>
      </c>
      <c r="W83" s="39" t="str">
        <f t="shared" si="79"/>
        <v/>
      </c>
      <c r="X83" s="39" t="str">
        <f t="shared" si="79"/>
        <v/>
      </c>
      <c r="Y83" s="39" t="str">
        <f t="shared" si="79"/>
        <v/>
      </c>
      <c r="Z83" s="39" t="str">
        <f t="shared" si="79"/>
        <v/>
      </c>
      <c r="AA83" s="39" t="str">
        <f t="shared" si="79"/>
        <v/>
      </c>
      <c r="AB83" s="39" t="str">
        <f t="shared" si="79"/>
        <v/>
      </c>
      <c r="AC83" s="39" t="str">
        <f t="shared" si="79"/>
        <v/>
      </c>
      <c r="AD83" s="39" t="str">
        <f t="shared" si="79"/>
        <v/>
      </c>
      <c r="AE83" s="39" t="str">
        <f t="shared" si="79"/>
        <v/>
      </c>
      <c r="AF83" s="39" t="str">
        <f t="shared" si="79"/>
        <v/>
      </c>
      <c r="AG83" s="39" t="str">
        <f t="shared" si="79"/>
        <v/>
      </c>
      <c r="AH83" s="39" t="str">
        <f t="shared" si="79"/>
        <v/>
      </c>
      <c r="AI83" s="44">
        <f t="shared" si="5"/>
        <v>1</v>
      </c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</row>
    <row r="84" spans="1:55" ht="9.75" customHeight="1" x14ac:dyDescent="0.25">
      <c r="A84" s="23"/>
      <c r="B84" s="2" t="str">
        <f t="shared" si="2"/>
        <v/>
      </c>
      <c r="C84" s="23"/>
      <c r="D84" s="24"/>
      <c r="E84" s="4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3">
        <f t="shared" si="3"/>
        <v>0</v>
      </c>
      <c r="U84" s="39" t="str">
        <f t="shared" ref="U84:AH84" si="80">IF(OR(F84=0,F84&lt;0.00000000001,F84&gt;100000),"",IF((IF(F84&gt;F$5,ABS(LOG(((F$5/SUM($F84:$S84))/(F$4/SUM($F$4:$S$4)))*4+2,2)),ABS(LOG(((F84/SUM($F84:$S84))/(F$4/SUM($F$4:$S$4)))*4+2,2)))-3)&gt;8,(IF(F84&gt;F$5,ABS(LOG(((F$5/SUM($F84:$S84))/(F$4/SUM($F$4:$S$4)))*4+2,2)),ABS(LOG(((F84/SUM($F84:$S84))/(F$4/SUM($F$4:$S$4)))*4+2,2)))-3)/7,IF(F84&gt;F$5,ABS(LOG(((F$5/SUM($F84:$S84))/(F$4/SUM($F$4:$S$4)))*4+2,2)),ABS(LOG(((F84/SUM($F84:$S84))/(F$4/SUM($F$4:$S$4)))*4+2,2)))-3))</f>
        <v/>
      </c>
      <c r="V84" s="39" t="str">
        <f t="shared" si="80"/>
        <v/>
      </c>
      <c r="W84" s="39" t="str">
        <f t="shared" si="80"/>
        <v/>
      </c>
      <c r="X84" s="39" t="str">
        <f t="shared" si="80"/>
        <v/>
      </c>
      <c r="Y84" s="39" t="str">
        <f t="shared" si="80"/>
        <v/>
      </c>
      <c r="Z84" s="39" t="str">
        <f t="shared" si="80"/>
        <v/>
      </c>
      <c r="AA84" s="39" t="str">
        <f t="shared" si="80"/>
        <v/>
      </c>
      <c r="AB84" s="39" t="str">
        <f t="shared" si="80"/>
        <v/>
      </c>
      <c r="AC84" s="39" t="str">
        <f t="shared" si="80"/>
        <v/>
      </c>
      <c r="AD84" s="39" t="str">
        <f t="shared" si="80"/>
        <v/>
      </c>
      <c r="AE84" s="39" t="str">
        <f t="shared" si="80"/>
        <v/>
      </c>
      <c r="AF84" s="39" t="str">
        <f t="shared" si="80"/>
        <v/>
      </c>
      <c r="AG84" s="39" t="str">
        <f t="shared" si="80"/>
        <v/>
      </c>
      <c r="AH84" s="39" t="str">
        <f t="shared" si="80"/>
        <v/>
      </c>
      <c r="AI84" s="44">
        <f t="shared" si="5"/>
        <v>1</v>
      </c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</row>
    <row r="85" spans="1:55" ht="9.75" customHeight="1" x14ac:dyDescent="0.25">
      <c r="A85" s="23"/>
      <c r="B85" s="2" t="str">
        <f t="shared" si="2"/>
        <v/>
      </c>
      <c r="C85" s="23"/>
      <c r="D85" s="24"/>
      <c r="E85" s="4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3">
        <f t="shared" si="3"/>
        <v>0</v>
      </c>
      <c r="U85" s="39" t="str">
        <f t="shared" ref="U85:AH85" si="81">IF(OR(F85=0,F85&lt;0.00000000001,F85&gt;100000),"",IF((IF(F85&gt;F$5,ABS(LOG(((F$5/SUM($F85:$S85))/(F$4/SUM($F$4:$S$4)))*4+2,2)),ABS(LOG(((F85/SUM($F85:$S85))/(F$4/SUM($F$4:$S$4)))*4+2,2)))-3)&gt;8,(IF(F85&gt;F$5,ABS(LOG(((F$5/SUM($F85:$S85))/(F$4/SUM($F$4:$S$4)))*4+2,2)),ABS(LOG(((F85/SUM($F85:$S85))/(F$4/SUM($F$4:$S$4)))*4+2,2)))-3)/7,IF(F85&gt;F$5,ABS(LOG(((F$5/SUM($F85:$S85))/(F$4/SUM($F$4:$S$4)))*4+2,2)),ABS(LOG(((F85/SUM($F85:$S85))/(F$4/SUM($F$4:$S$4)))*4+2,2)))-3))</f>
        <v/>
      </c>
      <c r="V85" s="39" t="str">
        <f t="shared" si="81"/>
        <v/>
      </c>
      <c r="W85" s="39" t="str">
        <f t="shared" si="81"/>
        <v/>
      </c>
      <c r="X85" s="39" t="str">
        <f t="shared" si="81"/>
        <v/>
      </c>
      <c r="Y85" s="39" t="str">
        <f t="shared" si="81"/>
        <v/>
      </c>
      <c r="Z85" s="39" t="str">
        <f t="shared" si="81"/>
        <v/>
      </c>
      <c r="AA85" s="39" t="str">
        <f t="shared" si="81"/>
        <v/>
      </c>
      <c r="AB85" s="39" t="str">
        <f t="shared" si="81"/>
        <v/>
      </c>
      <c r="AC85" s="39" t="str">
        <f t="shared" si="81"/>
        <v/>
      </c>
      <c r="AD85" s="39" t="str">
        <f t="shared" si="81"/>
        <v/>
      </c>
      <c r="AE85" s="39" t="str">
        <f t="shared" si="81"/>
        <v/>
      </c>
      <c r="AF85" s="39" t="str">
        <f t="shared" si="81"/>
        <v/>
      </c>
      <c r="AG85" s="39" t="str">
        <f t="shared" si="81"/>
        <v/>
      </c>
      <c r="AH85" s="39" t="str">
        <f t="shared" si="81"/>
        <v/>
      </c>
      <c r="AI85" s="44">
        <f t="shared" si="5"/>
        <v>1</v>
      </c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</row>
    <row r="86" spans="1:55" ht="9.75" customHeight="1" x14ac:dyDescent="0.25">
      <c r="A86" s="23"/>
      <c r="B86" s="2" t="str">
        <f t="shared" si="2"/>
        <v/>
      </c>
      <c r="C86" s="23"/>
      <c r="D86" s="24"/>
      <c r="E86" s="4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3">
        <f t="shared" si="3"/>
        <v>0</v>
      </c>
      <c r="U86" s="39" t="str">
        <f t="shared" ref="U86:AH86" si="82">IF(OR(F86=0,F86&lt;0.00000000001,F86&gt;100000),"",IF((IF(F86&gt;F$5,ABS(LOG(((F$5/SUM($F86:$S86))/(F$4/SUM($F$4:$S$4)))*4+2,2)),ABS(LOG(((F86/SUM($F86:$S86))/(F$4/SUM($F$4:$S$4)))*4+2,2)))-3)&gt;8,(IF(F86&gt;F$5,ABS(LOG(((F$5/SUM($F86:$S86))/(F$4/SUM($F$4:$S$4)))*4+2,2)),ABS(LOG(((F86/SUM($F86:$S86))/(F$4/SUM($F$4:$S$4)))*4+2,2)))-3)/7,IF(F86&gt;F$5,ABS(LOG(((F$5/SUM($F86:$S86))/(F$4/SUM($F$4:$S$4)))*4+2,2)),ABS(LOG(((F86/SUM($F86:$S86))/(F$4/SUM($F$4:$S$4)))*4+2,2)))-3))</f>
        <v/>
      </c>
      <c r="V86" s="39" t="str">
        <f t="shared" si="82"/>
        <v/>
      </c>
      <c r="W86" s="39" t="str">
        <f t="shared" si="82"/>
        <v/>
      </c>
      <c r="X86" s="39" t="str">
        <f t="shared" si="82"/>
        <v/>
      </c>
      <c r="Y86" s="39" t="str">
        <f t="shared" si="82"/>
        <v/>
      </c>
      <c r="Z86" s="39" t="str">
        <f t="shared" si="82"/>
        <v/>
      </c>
      <c r="AA86" s="39" t="str">
        <f t="shared" si="82"/>
        <v/>
      </c>
      <c r="AB86" s="39" t="str">
        <f t="shared" si="82"/>
        <v/>
      </c>
      <c r="AC86" s="39" t="str">
        <f t="shared" si="82"/>
        <v/>
      </c>
      <c r="AD86" s="39" t="str">
        <f t="shared" si="82"/>
        <v/>
      </c>
      <c r="AE86" s="39" t="str">
        <f t="shared" si="82"/>
        <v/>
      </c>
      <c r="AF86" s="39" t="str">
        <f t="shared" si="82"/>
        <v/>
      </c>
      <c r="AG86" s="39" t="str">
        <f t="shared" si="82"/>
        <v/>
      </c>
      <c r="AH86" s="39" t="str">
        <f t="shared" si="82"/>
        <v/>
      </c>
      <c r="AI86" s="44">
        <f t="shared" si="5"/>
        <v>1</v>
      </c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</row>
    <row r="87" spans="1:55" ht="9.75" customHeight="1" x14ac:dyDescent="0.25">
      <c r="A87" s="23"/>
      <c r="B87" s="2" t="str">
        <f t="shared" si="2"/>
        <v/>
      </c>
      <c r="C87" s="23"/>
      <c r="D87" s="24"/>
      <c r="E87" s="4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3">
        <f t="shared" si="3"/>
        <v>0</v>
      </c>
      <c r="U87" s="39" t="str">
        <f t="shared" ref="U87:AH87" si="83">IF(OR(F87=0,F87&lt;0.00000000001,F87&gt;100000),"",IF((IF(F87&gt;F$5,ABS(LOG(((F$5/SUM($F87:$S87))/(F$4/SUM($F$4:$S$4)))*4+2,2)),ABS(LOG(((F87/SUM($F87:$S87))/(F$4/SUM($F$4:$S$4)))*4+2,2)))-3)&gt;8,(IF(F87&gt;F$5,ABS(LOG(((F$5/SUM($F87:$S87))/(F$4/SUM($F$4:$S$4)))*4+2,2)),ABS(LOG(((F87/SUM($F87:$S87))/(F$4/SUM($F$4:$S$4)))*4+2,2)))-3)/7,IF(F87&gt;F$5,ABS(LOG(((F$5/SUM($F87:$S87))/(F$4/SUM($F$4:$S$4)))*4+2,2)),ABS(LOG(((F87/SUM($F87:$S87))/(F$4/SUM($F$4:$S$4)))*4+2,2)))-3))</f>
        <v/>
      </c>
      <c r="V87" s="39" t="str">
        <f t="shared" si="83"/>
        <v/>
      </c>
      <c r="W87" s="39" t="str">
        <f t="shared" si="83"/>
        <v/>
      </c>
      <c r="X87" s="39" t="str">
        <f t="shared" si="83"/>
        <v/>
      </c>
      <c r="Y87" s="39" t="str">
        <f t="shared" si="83"/>
        <v/>
      </c>
      <c r="Z87" s="39" t="str">
        <f t="shared" si="83"/>
        <v/>
      </c>
      <c r="AA87" s="39" t="str">
        <f t="shared" si="83"/>
        <v/>
      </c>
      <c r="AB87" s="39" t="str">
        <f t="shared" si="83"/>
        <v/>
      </c>
      <c r="AC87" s="39" t="str">
        <f t="shared" si="83"/>
        <v/>
      </c>
      <c r="AD87" s="39" t="str">
        <f t="shared" si="83"/>
        <v/>
      </c>
      <c r="AE87" s="39" t="str">
        <f t="shared" si="83"/>
        <v/>
      </c>
      <c r="AF87" s="39" t="str">
        <f t="shared" si="83"/>
        <v/>
      </c>
      <c r="AG87" s="39" t="str">
        <f t="shared" si="83"/>
        <v/>
      </c>
      <c r="AH87" s="39" t="str">
        <f t="shared" si="83"/>
        <v/>
      </c>
      <c r="AI87" s="44">
        <f t="shared" si="5"/>
        <v>1</v>
      </c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</row>
    <row r="88" spans="1:55" ht="9.75" customHeight="1" x14ac:dyDescent="0.25">
      <c r="A88" s="23"/>
      <c r="B88" s="2" t="str">
        <f t="shared" si="2"/>
        <v/>
      </c>
      <c r="C88" s="23"/>
      <c r="D88" s="24"/>
      <c r="E88" s="4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3">
        <f t="shared" si="3"/>
        <v>0</v>
      </c>
      <c r="U88" s="39" t="str">
        <f t="shared" ref="U88:AH88" si="84">IF(OR(F88=0,F88&lt;0.00000000001,F88&gt;100000),"",IF((IF(F88&gt;F$5,ABS(LOG(((F$5/SUM($F88:$S88))/(F$4/SUM($F$4:$S$4)))*4+2,2)),ABS(LOG(((F88/SUM($F88:$S88))/(F$4/SUM($F$4:$S$4)))*4+2,2)))-3)&gt;8,(IF(F88&gt;F$5,ABS(LOG(((F$5/SUM($F88:$S88))/(F$4/SUM($F$4:$S$4)))*4+2,2)),ABS(LOG(((F88/SUM($F88:$S88))/(F$4/SUM($F$4:$S$4)))*4+2,2)))-3)/7,IF(F88&gt;F$5,ABS(LOG(((F$5/SUM($F88:$S88))/(F$4/SUM($F$4:$S$4)))*4+2,2)),ABS(LOG(((F88/SUM($F88:$S88))/(F$4/SUM($F$4:$S$4)))*4+2,2)))-3))</f>
        <v/>
      </c>
      <c r="V88" s="39" t="str">
        <f t="shared" si="84"/>
        <v/>
      </c>
      <c r="W88" s="39" t="str">
        <f t="shared" si="84"/>
        <v/>
      </c>
      <c r="X88" s="39" t="str">
        <f t="shared" si="84"/>
        <v/>
      </c>
      <c r="Y88" s="39" t="str">
        <f t="shared" si="84"/>
        <v/>
      </c>
      <c r="Z88" s="39" t="str">
        <f t="shared" si="84"/>
        <v/>
      </c>
      <c r="AA88" s="39" t="str">
        <f t="shared" si="84"/>
        <v/>
      </c>
      <c r="AB88" s="39" t="str">
        <f t="shared" si="84"/>
        <v/>
      </c>
      <c r="AC88" s="39" t="str">
        <f t="shared" si="84"/>
        <v/>
      </c>
      <c r="AD88" s="39" t="str">
        <f t="shared" si="84"/>
        <v/>
      </c>
      <c r="AE88" s="39" t="str">
        <f t="shared" si="84"/>
        <v/>
      </c>
      <c r="AF88" s="39" t="str">
        <f t="shared" si="84"/>
        <v/>
      </c>
      <c r="AG88" s="39" t="str">
        <f t="shared" si="84"/>
        <v/>
      </c>
      <c r="AH88" s="39" t="str">
        <f t="shared" si="84"/>
        <v/>
      </c>
      <c r="AI88" s="44">
        <f t="shared" si="5"/>
        <v>1</v>
      </c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</row>
    <row r="89" spans="1:55" ht="9.75" customHeight="1" x14ac:dyDescent="0.25">
      <c r="A89" s="23"/>
      <c r="B89" s="2" t="str">
        <f t="shared" si="2"/>
        <v/>
      </c>
      <c r="C89" s="23"/>
      <c r="D89" s="24"/>
      <c r="E89" s="4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3">
        <f t="shared" si="3"/>
        <v>0</v>
      </c>
      <c r="U89" s="39" t="str">
        <f t="shared" ref="U89:AH89" si="85">IF(OR(F89=0,F89&lt;0.00000000001,F89&gt;100000),"",IF((IF(F89&gt;F$5,ABS(LOG(((F$5/SUM($F89:$S89))/(F$4/SUM($F$4:$S$4)))*4+2,2)),ABS(LOG(((F89/SUM($F89:$S89))/(F$4/SUM($F$4:$S$4)))*4+2,2)))-3)&gt;8,(IF(F89&gt;F$5,ABS(LOG(((F$5/SUM($F89:$S89))/(F$4/SUM($F$4:$S$4)))*4+2,2)),ABS(LOG(((F89/SUM($F89:$S89))/(F$4/SUM($F$4:$S$4)))*4+2,2)))-3)/7,IF(F89&gt;F$5,ABS(LOG(((F$5/SUM($F89:$S89))/(F$4/SUM($F$4:$S$4)))*4+2,2)),ABS(LOG(((F89/SUM($F89:$S89))/(F$4/SUM($F$4:$S$4)))*4+2,2)))-3))</f>
        <v/>
      </c>
      <c r="V89" s="39" t="str">
        <f t="shared" si="85"/>
        <v/>
      </c>
      <c r="W89" s="39" t="str">
        <f t="shared" si="85"/>
        <v/>
      </c>
      <c r="X89" s="39" t="str">
        <f t="shared" si="85"/>
        <v/>
      </c>
      <c r="Y89" s="39" t="str">
        <f t="shared" si="85"/>
        <v/>
      </c>
      <c r="Z89" s="39" t="str">
        <f t="shared" si="85"/>
        <v/>
      </c>
      <c r="AA89" s="39" t="str">
        <f t="shared" si="85"/>
        <v/>
      </c>
      <c r="AB89" s="39" t="str">
        <f t="shared" si="85"/>
        <v/>
      </c>
      <c r="AC89" s="39" t="str">
        <f t="shared" si="85"/>
        <v/>
      </c>
      <c r="AD89" s="39" t="str">
        <f t="shared" si="85"/>
        <v/>
      </c>
      <c r="AE89" s="39" t="str">
        <f t="shared" si="85"/>
        <v/>
      </c>
      <c r="AF89" s="39" t="str">
        <f t="shared" si="85"/>
        <v/>
      </c>
      <c r="AG89" s="39" t="str">
        <f t="shared" si="85"/>
        <v/>
      </c>
      <c r="AH89" s="39" t="str">
        <f t="shared" si="85"/>
        <v/>
      </c>
      <c r="AI89" s="44">
        <f t="shared" si="5"/>
        <v>1</v>
      </c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</row>
    <row r="90" spans="1:55" ht="9.75" customHeight="1" x14ac:dyDescent="0.25">
      <c r="A90" s="23"/>
      <c r="B90" s="2" t="str">
        <f t="shared" si="2"/>
        <v/>
      </c>
      <c r="C90" s="23"/>
      <c r="D90" s="24"/>
      <c r="E90" s="4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3">
        <f t="shared" si="3"/>
        <v>0</v>
      </c>
      <c r="U90" s="39" t="str">
        <f t="shared" ref="U90:AH90" si="86">IF(OR(F90=0,F90&lt;0.00000000001,F90&gt;100000),"",IF((IF(F90&gt;F$5,ABS(LOG(((F$5/SUM($F90:$S90))/(F$4/SUM($F$4:$S$4)))*4+2,2)),ABS(LOG(((F90/SUM($F90:$S90))/(F$4/SUM($F$4:$S$4)))*4+2,2)))-3)&gt;8,(IF(F90&gt;F$5,ABS(LOG(((F$5/SUM($F90:$S90))/(F$4/SUM($F$4:$S$4)))*4+2,2)),ABS(LOG(((F90/SUM($F90:$S90))/(F$4/SUM($F$4:$S$4)))*4+2,2)))-3)/7,IF(F90&gt;F$5,ABS(LOG(((F$5/SUM($F90:$S90))/(F$4/SUM($F$4:$S$4)))*4+2,2)),ABS(LOG(((F90/SUM($F90:$S90))/(F$4/SUM($F$4:$S$4)))*4+2,2)))-3))</f>
        <v/>
      </c>
      <c r="V90" s="39" t="str">
        <f t="shared" si="86"/>
        <v/>
      </c>
      <c r="W90" s="39" t="str">
        <f t="shared" si="86"/>
        <v/>
      </c>
      <c r="X90" s="39" t="str">
        <f t="shared" si="86"/>
        <v/>
      </c>
      <c r="Y90" s="39" t="str">
        <f t="shared" si="86"/>
        <v/>
      </c>
      <c r="Z90" s="39" t="str">
        <f t="shared" si="86"/>
        <v/>
      </c>
      <c r="AA90" s="39" t="str">
        <f t="shared" si="86"/>
        <v/>
      </c>
      <c r="AB90" s="39" t="str">
        <f t="shared" si="86"/>
        <v/>
      </c>
      <c r="AC90" s="39" t="str">
        <f t="shared" si="86"/>
        <v/>
      </c>
      <c r="AD90" s="39" t="str">
        <f t="shared" si="86"/>
        <v/>
      </c>
      <c r="AE90" s="39" t="str">
        <f t="shared" si="86"/>
        <v/>
      </c>
      <c r="AF90" s="39" t="str">
        <f t="shared" si="86"/>
        <v/>
      </c>
      <c r="AG90" s="39" t="str">
        <f t="shared" si="86"/>
        <v/>
      </c>
      <c r="AH90" s="39" t="str">
        <f t="shared" si="86"/>
        <v/>
      </c>
      <c r="AI90" s="44">
        <f t="shared" si="5"/>
        <v>1</v>
      </c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</row>
    <row r="91" spans="1:55" ht="9.75" customHeight="1" x14ac:dyDescent="0.25">
      <c r="A91" s="23"/>
      <c r="B91" s="2" t="str">
        <f t="shared" si="2"/>
        <v/>
      </c>
      <c r="C91" s="23"/>
      <c r="D91" s="24"/>
      <c r="E91" s="4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3">
        <f t="shared" si="3"/>
        <v>0</v>
      </c>
      <c r="U91" s="39" t="str">
        <f t="shared" ref="U91:AH91" si="87">IF(OR(F91=0,F91&lt;0.00000000001,F91&gt;100000),"",IF((IF(F91&gt;F$5,ABS(LOG(((F$5/SUM($F91:$S91))/(F$4/SUM($F$4:$S$4)))*4+2,2)),ABS(LOG(((F91/SUM($F91:$S91))/(F$4/SUM($F$4:$S$4)))*4+2,2)))-3)&gt;8,(IF(F91&gt;F$5,ABS(LOG(((F$5/SUM($F91:$S91))/(F$4/SUM($F$4:$S$4)))*4+2,2)),ABS(LOG(((F91/SUM($F91:$S91))/(F$4/SUM($F$4:$S$4)))*4+2,2)))-3)/7,IF(F91&gt;F$5,ABS(LOG(((F$5/SUM($F91:$S91))/(F$4/SUM($F$4:$S$4)))*4+2,2)),ABS(LOG(((F91/SUM($F91:$S91))/(F$4/SUM($F$4:$S$4)))*4+2,2)))-3))</f>
        <v/>
      </c>
      <c r="V91" s="39" t="str">
        <f t="shared" si="87"/>
        <v/>
      </c>
      <c r="W91" s="39" t="str">
        <f t="shared" si="87"/>
        <v/>
      </c>
      <c r="X91" s="39" t="str">
        <f t="shared" si="87"/>
        <v/>
      </c>
      <c r="Y91" s="39" t="str">
        <f t="shared" si="87"/>
        <v/>
      </c>
      <c r="Z91" s="39" t="str">
        <f t="shared" si="87"/>
        <v/>
      </c>
      <c r="AA91" s="39" t="str">
        <f t="shared" si="87"/>
        <v/>
      </c>
      <c r="AB91" s="39" t="str">
        <f t="shared" si="87"/>
        <v/>
      </c>
      <c r="AC91" s="39" t="str">
        <f t="shared" si="87"/>
        <v/>
      </c>
      <c r="AD91" s="39" t="str">
        <f t="shared" si="87"/>
        <v/>
      </c>
      <c r="AE91" s="39" t="str">
        <f t="shared" si="87"/>
        <v/>
      </c>
      <c r="AF91" s="39" t="str">
        <f t="shared" si="87"/>
        <v/>
      </c>
      <c r="AG91" s="39" t="str">
        <f t="shared" si="87"/>
        <v/>
      </c>
      <c r="AH91" s="39" t="str">
        <f t="shared" si="87"/>
        <v/>
      </c>
      <c r="AI91" s="44">
        <f t="shared" si="5"/>
        <v>1</v>
      </c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</row>
    <row r="92" spans="1:55" ht="9.75" customHeight="1" x14ac:dyDescent="0.25">
      <c r="A92" s="23"/>
      <c r="B92" s="2" t="str">
        <f t="shared" si="2"/>
        <v/>
      </c>
      <c r="C92" s="23"/>
      <c r="D92" s="24"/>
      <c r="E92" s="4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3">
        <f t="shared" si="3"/>
        <v>0</v>
      </c>
      <c r="U92" s="39" t="str">
        <f t="shared" ref="U92:AH92" si="88">IF(OR(F92=0,F92&lt;0.00000000001,F92&gt;100000),"",IF((IF(F92&gt;F$5,ABS(LOG(((F$5/SUM($F92:$S92))/(F$4/SUM($F$4:$S$4)))*4+2,2)),ABS(LOG(((F92/SUM($F92:$S92))/(F$4/SUM($F$4:$S$4)))*4+2,2)))-3)&gt;8,(IF(F92&gt;F$5,ABS(LOG(((F$5/SUM($F92:$S92))/(F$4/SUM($F$4:$S$4)))*4+2,2)),ABS(LOG(((F92/SUM($F92:$S92))/(F$4/SUM($F$4:$S$4)))*4+2,2)))-3)/7,IF(F92&gt;F$5,ABS(LOG(((F$5/SUM($F92:$S92))/(F$4/SUM($F$4:$S$4)))*4+2,2)),ABS(LOG(((F92/SUM($F92:$S92))/(F$4/SUM($F$4:$S$4)))*4+2,2)))-3))</f>
        <v/>
      </c>
      <c r="V92" s="39" t="str">
        <f t="shared" si="88"/>
        <v/>
      </c>
      <c r="W92" s="39" t="str">
        <f t="shared" si="88"/>
        <v/>
      </c>
      <c r="X92" s="39" t="str">
        <f t="shared" si="88"/>
        <v/>
      </c>
      <c r="Y92" s="39" t="str">
        <f t="shared" si="88"/>
        <v/>
      </c>
      <c r="Z92" s="39" t="str">
        <f t="shared" si="88"/>
        <v/>
      </c>
      <c r="AA92" s="39" t="str">
        <f t="shared" si="88"/>
        <v/>
      </c>
      <c r="AB92" s="39" t="str">
        <f t="shared" si="88"/>
        <v/>
      </c>
      <c r="AC92" s="39" t="str">
        <f t="shared" si="88"/>
        <v/>
      </c>
      <c r="AD92" s="39" t="str">
        <f t="shared" si="88"/>
        <v/>
      </c>
      <c r="AE92" s="39" t="str">
        <f t="shared" si="88"/>
        <v/>
      </c>
      <c r="AF92" s="39" t="str">
        <f t="shared" si="88"/>
        <v/>
      </c>
      <c r="AG92" s="39" t="str">
        <f t="shared" si="88"/>
        <v/>
      </c>
      <c r="AH92" s="39" t="str">
        <f t="shared" si="88"/>
        <v/>
      </c>
      <c r="AI92" s="44">
        <f t="shared" si="5"/>
        <v>1</v>
      </c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</row>
    <row r="93" spans="1:55" ht="9.75" customHeight="1" x14ac:dyDescent="0.25">
      <c r="A93" s="23"/>
      <c r="B93" s="2" t="str">
        <f t="shared" si="2"/>
        <v/>
      </c>
      <c r="C93" s="23"/>
      <c r="D93" s="24"/>
      <c r="E93" s="4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3">
        <f t="shared" si="3"/>
        <v>0</v>
      </c>
      <c r="U93" s="39" t="str">
        <f t="shared" ref="U93:AH93" si="89">IF(OR(F93=0,F93&lt;0.00000000001,F93&gt;100000),"",IF((IF(F93&gt;F$5,ABS(LOG(((F$5/SUM($F93:$S93))/(F$4/SUM($F$4:$S$4)))*4+2,2)),ABS(LOG(((F93/SUM($F93:$S93))/(F$4/SUM($F$4:$S$4)))*4+2,2)))-3)&gt;8,(IF(F93&gt;F$5,ABS(LOG(((F$5/SUM($F93:$S93))/(F$4/SUM($F$4:$S$4)))*4+2,2)),ABS(LOG(((F93/SUM($F93:$S93))/(F$4/SUM($F$4:$S$4)))*4+2,2)))-3)/7,IF(F93&gt;F$5,ABS(LOG(((F$5/SUM($F93:$S93))/(F$4/SUM($F$4:$S$4)))*4+2,2)),ABS(LOG(((F93/SUM($F93:$S93))/(F$4/SUM($F$4:$S$4)))*4+2,2)))-3))</f>
        <v/>
      </c>
      <c r="V93" s="39" t="str">
        <f t="shared" si="89"/>
        <v/>
      </c>
      <c r="W93" s="39" t="str">
        <f t="shared" si="89"/>
        <v/>
      </c>
      <c r="X93" s="39" t="str">
        <f t="shared" si="89"/>
        <v/>
      </c>
      <c r="Y93" s="39" t="str">
        <f t="shared" si="89"/>
        <v/>
      </c>
      <c r="Z93" s="39" t="str">
        <f t="shared" si="89"/>
        <v/>
      </c>
      <c r="AA93" s="39" t="str">
        <f t="shared" si="89"/>
        <v/>
      </c>
      <c r="AB93" s="39" t="str">
        <f t="shared" si="89"/>
        <v/>
      </c>
      <c r="AC93" s="39" t="str">
        <f t="shared" si="89"/>
        <v/>
      </c>
      <c r="AD93" s="39" t="str">
        <f t="shared" si="89"/>
        <v/>
      </c>
      <c r="AE93" s="39" t="str">
        <f t="shared" si="89"/>
        <v/>
      </c>
      <c r="AF93" s="39" t="str">
        <f t="shared" si="89"/>
        <v/>
      </c>
      <c r="AG93" s="39" t="str">
        <f t="shared" si="89"/>
        <v/>
      </c>
      <c r="AH93" s="39" t="str">
        <f t="shared" si="89"/>
        <v/>
      </c>
      <c r="AI93" s="44">
        <f t="shared" si="5"/>
        <v>1</v>
      </c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</row>
    <row r="94" spans="1:55" ht="9.75" customHeight="1" x14ac:dyDescent="0.25">
      <c r="A94" s="23"/>
      <c r="B94" s="2" t="str">
        <f t="shared" si="2"/>
        <v/>
      </c>
      <c r="C94" s="23"/>
      <c r="D94" s="24"/>
      <c r="E94" s="42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3">
        <f t="shared" si="3"/>
        <v>0</v>
      </c>
      <c r="U94" s="39" t="str">
        <f t="shared" ref="U94:AH94" si="90">IF(OR(F94=0,F94&lt;0.00000000001,F94&gt;100000),"",IF((IF(F94&gt;F$5,ABS(LOG(((F$5/SUM($F94:$S94))/(F$4/SUM($F$4:$S$4)))*4+2,2)),ABS(LOG(((F94/SUM($F94:$S94))/(F$4/SUM($F$4:$S$4)))*4+2,2)))-3)&gt;8,(IF(F94&gt;F$5,ABS(LOG(((F$5/SUM($F94:$S94))/(F$4/SUM($F$4:$S$4)))*4+2,2)),ABS(LOG(((F94/SUM($F94:$S94))/(F$4/SUM($F$4:$S$4)))*4+2,2)))-3)/7,IF(F94&gt;F$5,ABS(LOG(((F$5/SUM($F94:$S94))/(F$4/SUM($F$4:$S$4)))*4+2,2)),ABS(LOG(((F94/SUM($F94:$S94))/(F$4/SUM($F$4:$S$4)))*4+2,2)))-3))</f>
        <v/>
      </c>
      <c r="V94" s="39" t="str">
        <f t="shared" si="90"/>
        <v/>
      </c>
      <c r="W94" s="39" t="str">
        <f t="shared" si="90"/>
        <v/>
      </c>
      <c r="X94" s="39" t="str">
        <f t="shared" si="90"/>
        <v/>
      </c>
      <c r="Y94" s="39" t="str">
        <f t="shared" si="90"/>
        <v/>
      </c>
      <c r="Z94" s="39" t="str">
        <f t="shared" si="90"/>
        <v/>
      </c>
      <c r="AA94" s="39" t="str">
        <f t="shared" si="90"/>
        <v/>
      </c>
      <c r="AB94" s="39" t="str">
        <f t="shared" si="90"/>
        <v/>
      </c>
      <c r="AC94" s="39" t="str">
        <f t="shared" si="90"/>
        <v/>
      </c>
      <c r="AD94" s="39" t="str">
        <f t="shared" si="90"/>
        <v/>
      </c>
      <c r="AE94" s="39" t="str">
        <f t="shared" si="90"/>
        <v/>
      </c>
      <c r="AF94" s="39" t="str">
        <f t="shared" si="90"/>
        <v/>
      </c>
      <c r="AG94" s="39" t="str">
        <f t="shared" si="90"/>
        <v/>
      </c>
      <c r="AH94" s="39" t="str">
        <f t="shared" si="90"/>
        <v/>
      </c>
      <c r="AI94" s="44">
        <f t="shared" si="5"/>
        <v>1</v>
      </c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</row>
    <row r="95" spans="1:55" ht="9.75" customHeight="1" x14ac:dyDescent="0.25">
      <c r="A95" s="23"/>
      <c r="B95" s="2" t="str">
        <f t="shared" si="2"/>
        <v/>
      </c>
      <c r="C95" s="23"/>
      <c r="D95" s="24"/>
      <c r="E95" s="4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3">
        <f t="shared" si="3"/>
        <v>0</v>
      </c>
      <c r="U95" s="39" t="str">
        <f t="shared" ref="U95:AH95" si="91">IF(OR(F95=0,F95&lt;0.00000000001,F95&gt;100000),"",IF((IF(F95&gt;F$5,ABS(LOG(((F$5/SUM($F95:$S95))/(F$4/SUM($F$4:$S$4)))*4+2,2)),ABS(LOG(((F95/SUM($F95:$S95))/(F$4/SUM($F$4:$S$4)))*4+2,2)))-3)&gt;8,(IF(F95&gt;F$5,ABS(LOG(((F$5/SUM($F95:$S95))/(F$4/SUM($F$4:$S$4)))*4+2,2)),ABS(LOG(((F95/SUM($F95:$S95))/(F$4/SUM($F$4:$S$4)))*4+2,2)))-3)/7,IF(F95&gt;F$5,ABS(LOG(((F$5/SUM($F95:$S95))/(F$4/SUM($F$4:$S$4)))*4+2,2)),ABS(LOG(((F95/SUM($F95:$S95))/(F$4/SUM($F$4:$S$4)))*4+2,2)))-3))</f>
        <v/>
      </c>
      <c r="V95" s="39" t="str">
        <f t="shared" si="91"/>
        <v/>
      </c>
      <c r="W95" s="39" t="str">
        <f t="shared" si="91"/>
        <v/>
      </c>
      <c r="X95" s="39" t="str">
        <f t="shared" si="91"/>
        <v/>
      </c>
      <c r="Y95" s="39" t="str">
        <f t="shared" si="91"/>
        <v/>
      </c>
      <c r="Z95" s="39" t="str">
        <f t="shared" si="91"/>
        <v/>
      </c>
      <c r="AA95" s="39" t="str">
        <f t="shared" si="91"/>
        <v/>
      </c>
      <c r="AB95" s="39" t="str">
        <f t="shared" si="91"/>
        <v/>
      </c>
      <c r="AC95" s="39" t="str">
        <f t="shared" si="91"/>
        <v/>
      </c>
      <c r="AD95" s="39" t="str">
        <f t="shared" si="91"/>
        <v/>
      </c>
      <c r="AE95" s="39" t="str">
        <f t="shared" si="91"/>
        <v/>
      </c>
      <c r="AF95" s="39" t="str">
        <f t="shared" si="91"/>
        <v/>
      </c>
      <c r="AG95" s="39" t="str">
        <f t="shared" si="91"/>
        <v/>
      </c>
      <c r="AH95" s="39" t="str">
        <f t="shared" si="91"/>
        <v/>
      </c>
      <c r="AI95" s="44">
        <f t="shared" si="5"/>
        <v>1</v>
      </c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</row>
    <row r="96" spans="1:55" ht="9.75" customHeight="1" x14ac:dyDescent="0.25">
      <c r="A96" s="23"/>
      <c r="B96" s="2" t="str">
        <f t="shared" si="2"/>
        <v/>
      </c>
      <c r="C96" s="23"/>
      <c r="D96" s="24"/>
      <c r="E96" s="4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3">
        <f t="shared" si="3"/>
        <v>0</v>
      </c>
      <c r="U96" s="39" t="str">
        <f t="shared" ref="U96:AH96" si="92">IF(OR(F96=0,F96&lt;0.00000000001,F96&gt;100000),"",IF((IF(F96&gt;F$5,ABS(LOG(((F$5/SUM($F96:$S96))/(F$4/SUM($F$4:$S$4)))*4+2,2)),ABS(LOG(((F96/SUM($F96:$S96))/(F$4/SUM($F$4:$S$4)))*4+2,2)))-3)&gt;8,(IF(F96&gt;F$5,ABS(LOG(((F$5/SUM($F96:$S96))/(F$4/SUM($F$4:$S$4)))*4+2,2)),ABS(LOG(((F96/SUM($F96:$S96))/(F$4/SUM($F$4:$S$4)))*4+2,2)))-3)/7,IF(F96&gt;F$5,ABS(LOG(((F$5/SUM($F96:$S96))/(F$4/SUM($F$4:$S$4)))*4+2,2)),ABS(LOG(((F96/SUM($F96:$S96))/(F$4/SUM($F$4:$S$4)))*4+2,2)))-3))</f>
        <v/>
      </c>
      <c r="V96" s="39" t="str">
        <f t="shared" si="92"/>
        <v/>
      </c>
      <c r="W96" s="39" t="str">
        <f t="shared" si="92"/>
        <v/>
      </c>
      <c r="X96" s="39" t="str">
        <f t="shared" si="92"/>
        <v/>
      </c>
      <c r="Y96" s="39" t="str">
        <f t="shared" si="92"/>
        <v/>
      </c>
      <c r="Z96" s="39" t="str">
        <f t="shared" si="92"/>
        <v/>
      </c>
      <c r="AA96" s="39" t="str">
        <f t="shared" si="92"/>
        <v/>
      </c>
      <c r="AB96" s="39" t="str">
        <f t="shared" si="92"/>
        <v/>
      </c>
      <c r="AC96" s="39" t="str">
        <f t="shared" si="92"/>
        <v/>
      </c>
      <c r="AD96" s="39" t="str">
        <f t="shared" si="92"/>
        <v/>
      </c>
      <c r="AE96" s="39" t="str">
        <f t="shared" si="92"/>
        <v/>
      </c>
      <c r="AF96" s="39" t="str">
        <f t="shared" si="92"/>
        <v/>
      </c>
      <c r="AG96" s="39" t="str">
        <f t="shared" si="92"/>
        <v/>
      </c>
      <c r="AH96" s="39" t="str">
        <f t="shared" si="92"/>
        <v/>
      </c>
      <c r="AI96" s="44">
        <f t="shared" si="5"/>
        <v>1</v>
      </c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</row>
    <row r="97" spans="1:55" ht="9.75" customHeight="1" x14ac:dyDescent="0.25">
      <c r="A97" s="23"/>
      <c r="B97" s="2" t="str">
        <f t="shared" si="2"/>
        <v/>
      </c>
      <c r="C97" s="23"/>
      <c r="D97" s="24"/>
      <c r="E97" s="4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3">
        <f t="shared" si="3"/>
        <v>0</v>
      </c>
      <c r="U97" s="39" t="str">
        <f t="shared" ref="U97:AH97" si="93">IF(OR(F97=0,F97&lt;0.00000000001,F97&gt;100000),"",IF((IF(F97&gt;F$5,ABS(LOG(((F$5/SUM($F97:$S97))/(F$4/SUM($F$4:$S$4)))*4+2,2)),ABS(LOG(((F97/SUM($F97:$S97))/(F$4/SUM($F$4:$S$4)))*4+2,2)))-3)&gt;8,(IF(F97&gt;F$5,ABS(LOG(((F$5/SUM($F97:$S97))/(F$4/SUM($F$4:$S$4)))*4+2,2)),ABS(LOG(((F97/SUM($F97:$S97))/(F$4/SUM($F$4:$S$4)))*4+2,2)))-3)/7,IF(F97&gt;F$5,ABS(LOG(((F$5/SUM($F97:$S97))/(F$4/SUM($F$4:$S$4)))*4+2,2)),ABS(LOG(((F97/SUM($F97:$S97))/(F$4/SUM($F$4:$S$4)))*4+2,2)))-3))</f>
        <v/>
      </c>
      <c r="V97" s="39" t="str">
        <f t="shared" si="93"/>
        <v/>
      </c>
      <c r="W97" s="39" t="str">
        <f t="shared" si="93"/>
        <v/>
      </c>
      <c r="X97" s="39" t="str">
        <f t="shared" si="93"/>
        <v/>
      </c>
      <c r="Y97" s="39" t="str">
        <f t="shared" si="93"/>
        <v/>
      </c>
      <c r="Z97" s="39" t="str">
        <f t="shared" si="93"/>
        <v/>
      </c>
      <c r="AA97" s="39" t="str">
        <f t="shared" si="93"/>
        <v/>
      </c>
      <c r="AB97" s="39" t="str">
        <f t="shared" si="93"/>
        <v/>
      </c>
      <c r="AC97" s="39" t="str">
        <f t="shared" si="93"/>
        <v/>
      </c>
      <c r="AD97" s="39" t="str">
        <f t="shared" si="93"/>
        <v/>
      </c>
      <c r="AE97" s="39" t="str">
        <f t="shared" si="93"/>
        <v/>
      </c>
      <c r="AF97" s="39" t="str">
        <f t="shared" si="93"/>
        <v/>
      </c>
      <c r="AG97" s="39" t="str">
        <f t="shared" si="93"/>
        <v/>
      </c>
      <c r="AH97" s="39" t="str">
        <f t="shared" si="93"/>
        <v/>
      </c>
      <c r="AI97" s="44">
        <f t="shared" si="5"/>
        <v>1</v>
      </c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</row>
    <row r="98" spans="1:55" ht="9.75" customHeight="1" x14ac:dyDescent="0.25">
      <c r="A98" s="23"/>
      <c r="B98" s="2" t="str">
        <f t="shared" si="2"/>
        <v/>
      </c>
      <c r="C98" s="23"/>
      <c r="D98" s="24"/>
      <c r="E98" s="4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3">
        <f t="shared" si="3"/>
        <v>0</v>
      </c>
      <c r="U98" s="39" t="str">
        <f t="shared" ref="U98:AH98" si="94">IF(OR(F98=0,F98&lt;0.00000000001,F98&gt;100000),"",IF((IF(F98&gt;F$5,ABS(LOG(((F$5/SUM($F98:$S98))/(F$4/SUM($F$4:$S$4)))*4+2,2)),ABS(LOG(((F98/SUM($F98:$S98))/(F$4/SUM($F$4:$S$4)))*4+2,2)))-3)&gt;8,(IF(F98&gt;F$5,ABS(LOG(((F$5/SUM($F98:$S98))/(F$4/SUM($F$4:$S$4)))*4+2,2)),ABS(LOG(((F98/SUM($F98:$S98))/(F$4/SUM($F$4:$S$4)))*4+2,2)))-3)/7,IF(F98&gt;F$5,ABS(LOG(((F$5/SUM($F98:$S98))/(F$4/SUM($F$4:$S$4)))*4+2,2)),ABS(LOG(((F98/SUM($F98:$S98))/(F$4/SUM($F$4:$S$4)))*4+2,2)))-3))</f>
        <v/>
      </c>
      <c r="V98" s="39" t="str">
        <f t="shared" si="94"/>
        <v/>
      </c>
      <c r="W98" s="39" t="str">
        <f t="shared" si="94"/>
        <v/>
      </c>
      <c r="X98" s="39" t="str">
        <f t="shared" si="94"/>
        <v/>
      </c>
      <c r="Y98" s="39" t="str">
        <f t="shared" si="94"/>
        <v/>
      </c>
      <c r="Z98" s="39" t="str">
        <f t="shared" si="94"/>
        <v/>
      </c>
      <c r="AA98" s="39" t="str">
        <f t="shared" si="94"/>
        <v/>
      </c>
      <c r="AB98" s="39" t="str">
        <f t="shared" si="94"/>
        <v/>
      </c>
      <c r="AC98" s="39" t="str">
        <f t="shared" si="94"/>
        <v/>
      </c>
      <c r="AD98" s="39" t="str">
        <f t="shared" si="94"/>
        <v/>
      </c>
      <c r="AE98" s="39" t="str">
        <f t="shared" si="94"/>
        <v/>
      </c>
      <c r="AF98" s="39" t="str">
        <f t="shared" si="94"/>
        <v/>
      </c>
      <c r="AG98" s="39" t="str">
        <f t="shared" si="94"/>
        <v/>
      </c>
      <c r="AH98" s="39" t="str">
        <f t="shared" si="94"/>
        <v/>
      </c>
      <c r="AI98" s="44">
        <f t="shared" si="5"/>
        <v>1</v>
      </c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</row>
    <row r="99" spans="1:55" ht="9.75" customHeight="1" x14ac:dyDescent="0.25">
      <c r="A99" s="23"/>
      <c r="B99" s="2" t="str">
        <f t="shared" si="2"/>
        <v/>
      </c>
      <c r="C99" s="23"/>
      <c r="D99" s="24"/>
      <c r="E99" s="42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3">
        <f t="shared" si="3"/>
        <v>0</v>
      </c>
      <c r="U99" s="39" t="str">
        <f t="shared" ref="U99:AH99" si="95">IF(OR(F99=0,F99&lt;0.00000000001,F99&gt;100000),"",IF((IF(F99&gt;F$5,ABS(LOG(((F$5/SUM($F99:$S99))/(F$4/SUM($F$4:$S$4)))*4+2,2)),ABS(LOG(((F99/SUM($F99:$S99))/(F$4/SUM($F$4:$S$4)))*4+2,2)))-3)&gt;8,(IF(F99&gt;F$5,ABS(LOG(((F$5/SUM($F99:$S99))/(F$4/SUM($F$4:$S$4)))*4+2,2)),ABS(LOG(((F99/SUM($F99:$S99))/(F$4/SUM($F$4:$S$4)))*4+2,2)))-3)/7,IF(F99&gt;F$5,ABS(LOG(((F$5/SUM($F99:$S99))/(F$4/SUM($F$4:$S$4)))*4+2,2)),ABS(LOG(((F99/SUM($F99:$S99))/(F$4/SUM($F$4:$S$4)))*4+2,2)))-3))</f>
        <v/>
      </c>
      <c r="V99" s="39" t="str">
        <f t="shared" si="95"/>
        <v/>
      </c>
      <c r="W99" s="39" t="str">
        <f t="shared" si="95"/>
        <v/>
      </c>
      <c r="X99" s="39" t="str">
        <f t="shared" si="95"/>
        <v/>
      </c>
      <c r="Y99" s="39" t="str">
        <f t="shared" si="95"/>
        <v/>
      </c>
      <c r="Z99" s="39" t="str">
        <f t="shared" si="95"/>
        <v/>
      </c>
      <c r="AA99" s="39" t="str">
        <f t="shared" si="95"/>
        <v/>
      </c>
      <c r="AB99" s="39" t="str">
        <f t="shared" si="95"/>
        <v/>
      </c>
      <c r="AC99" s="39" t="str">
        <f t="shared" si="95"/>
        <v/>
      </c>
      <c r="AD99" s="39" t="str">
        <f t="shared" si="95"/>
        <v/>
      </c>
      <c r="AE99" s="39" t="str">
        <f t="shared" si="95"/>
        <v/>
      </c>
      <c r="AF99" s="39" t="str">
        <f t="shared" si="95"/>
        <v/>
      </c>
      <c r="AG99" s="39" t="str">
        <f t="shared" si="95"/>
        <v/>
      </c>
      <c r="AH99" s="39" t="str">
        <f t="shared" si="95"/>
        <v/>
      </c>
      <c r="AI99" s="44">
        <f t="shared" si="5"/>
        <v>1</v>
      </c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</row>
    <row r="100" spans="1:55" ht="9.75" customHeight="1" x14ac:dyDescent="0.25">
      <c r="A100" s="23"/>
      <c r="B100" s="2" t="str">
        <f t="shared" si="2"/>
        <v/>
      </c>
      <c r="C100" s="23"/>
      <c r="D100" s="24"/>
      <c r="E100" s="42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3">
        <f t="shared" si="3"/>
        <v>0</v>
      </c>
      <c r="U100" s="39" t="str">
        <f t="shared" ref="U100:AH100" si="96">IF(OR(F100=0,F100&lt;0.00000000001,F100&gt;100000),"",IF((IF(F100&gt;F$5,ABS(LOG(((F$5/SUM($F100:$S100))/(F$4/SUM($F$4:$S$4)))*4+2,2)),ABS(LOG(((F100/SUM($F100:$S100))/(F$4/SUM($F$4:$S$4)))*4+2,2)))-3)&gt;8,(IF(F100&gt;F$5,ABS(LOG(((F$5/SUM($F100:$S100))/(F$4/SUM($F$4:$S$4)))*4+2,2)),ABS(LOG(((F100/SUM($F100:$S100))/(F$4/SUM($F$4:$S$4)))*4+2,2)))-3)/7,IF(F100&gt;F$5,ABS(LOG(((F$5/SUM($F100:$S100))/(F$4/SUM($F$4:$S$4)))*4+2,2)),ABS(LOG(((F100/SUM($F100:$S100))/(F$4/SUM($F$4:$S$4)))*4+2,2)))-3))</f>
        <v/>
      </c>
      <c r="V100" s="39" t="str">
        <f t="shared" si="96"/>
        <v/>
      </c>
      <c r="W100" s="39" t="str">
        <f t="shared" si="96"/>
        <v/>
      </c>
      <c r="X100" s="39" t="str">
        <f t="shared" si="96"/>
        <v/>
      </c>
      <c r="Y100" s="39" t="str">
        <f t="shared" si="96"/>
        <v/>
      </c>
      <c r="Z100" s="39" t="str">
        <f t="shared" si="96"/>
        <v/>
      </c>
      <c r="AA100" s="39" t="str">
        <f t="shared" si="96"/>
        <v/>
      </c>
      <c r="AB100" s="39" t="str">
        <f t="shared" si="96"/>
        <v/>
      </c>
      <c r="AC100" s="39" t="str">
        <f t="shared" si="96"/>
        <v/>
      </c>
      <c r="AD100" s="39" t="str">
        <f t="shared" si="96"/>
        <v/>
      </c>
      <c r="AE100" s="39" t="str">
        <f t="shared" si="96"/>
        <v/>
      </c>
      <c r="AF100" s="39" t="str">
        <f t="shared" si="96"/>
        <v/>
      </c>
      <c r="AG100" s="39" t="str">
        <f t="shared" si="96"/>
        <v/>
      </c>
      <c r="AH100" s="39" t="str">
        <f t="shared" si="96"/>
        <v/>
      </c>
      <c r="AI100" s="44">
        <f t="shared" si="5"/>
        <v>1</v>
      </c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</row>
    <row r="101" spans="1:55" ht="9.75" customHeight="1" x14ac:dyDescent="0.25">
      <c r="A101" s="23"/>
      <c r="B101" s="2" t="str">
        <f t="shared" si="2"/>
        <v/>
      </c>
      <c r="C101" s="23"/>
      <c r="D101" s="24"/>
      <c r="E101" s="42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3">
        <f t="shared" si="3"/>
        <v>0</v>
      </c>
      <c r="U101" s="39" t="str">
        <f t="shared" ref="U101:AH101" si="97">IF(OR(F101=0,F101&lt;0.00000000001,F101&gt;100000),"",IF((IF(F101&gt;F$5,ABS(LOG(((F$5/SUM($F101:$S101))/(F$4/SUM($F$4:$S$4)))*4+2,2)),ABS(LOG(((F101/SUM($F101:$S101))/(F$4/SUM($F$4:$S$4)))*4+2,2)))-3)&gt;8,(IF(F101&gt;F$5,ABS(LOG(((F$5/SUM($F101:$S101))/(F$4/SUM($F$4:$S$4)))*4+2,2)),ABS(LOG(((F101/SUM($F101:$S101))/(F$4/SUM($F$4:$S$4)))*4+2,2)))-3)/7,IF(F101&gt;F$5,ABS(LOG(((F$5/SUM($F101:$S101))/(F$4/SUM($F$4:$S$4)))*4+2,2)),ABS(LOG(((F101/SUM($F101:$S101))/(F$4/SUM($F$4:$S$4)))*4+2,2)))-3))</f>
        <v/>
      </c>
      <c r="V101" s="39" t="str">
        <f t="shared" si="97"/>
        <v/>
      </c>
      <c r="W101" s="39" t="str">
        <f t="shared" si="97"/>
        <v/>
      </c>
      <c r="X101" s="39" t="str">
        <f t="shared" si="97"/>
        <v/>
      </c>
      <c r="Y101" s="39" t="str">
        <f t="shared" si="97"/>
        <v/>
      </c>
      <c r="Z101" s="39" t="str">
        <f t="shared" si="97"/>
        <v/>
      </c>
      <c r="AA101" s="39" t="str">
        <f t="shared" si="97"/>
        <v/>
      </c>
      <c r="AB101" s="39" t="str">
        <f t="shared" si="97"/>
        <v/>
      </c>
      <c r="AC101" s="39" t="str">
        <f t="shared" si="97"/>
        <v/>
      </c>
      <c r="AD101" s="39" t="str">
        <f t="shared" si="97"/>
        <v/>
      </c>
      <c r="AE101" s="39" t="str">
        <f t="shared" si="97"/>
        <v/>
      </c>
      <c r="AF101" s="39" t="str">
        <f t="shared" si="97"/>
        <v/>
      </c>
      <c r="AG101" s="39" t="str">
        <f t="shared" si="97"/>
        <v/>
      </c>
      <c r="AH101" s="39" t="str">
        <f t="shared" si="97"/>
        <v/>
      </c>
      <c r="AI101" s="44">
        <f t="shared" si="5"/>
        <v>1</v>
      </c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</row>
    <row r="102" spans="1:55" ht="9.75" customHeight="1" x14ac:dyDescent="0.25">
      <c r="A102" s="23"/>
      <c r="B102" s="2" t="str">
        <f t="shared" si="2"/>
        <v/>
      </c>
      <c r="C102" s="23"/>
      <c r="D102" s="24"/>
      <c r="E102" s="42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3">
        <f t="shared" si="3"/>
        <v>0</v>
      </c>
      <c r="U102" s="39" t="str">
        <f t="shared" ref="U102:AH102" si="98">IF(OR(F102=0,F102&lt;0.00000000001,F102&gt;100000),"",IF((IF(F102&gt;F$5,ABS(LOG(((F$5/SUM($F102:$S102))/(F$4/SUM($F$4:$S$4)))*4+2,2)),ABS(LOG(((F102/SUM($F102:$S102))/(F$4/SUM($F$4:$S$4)))*4+2,2)))-3)&gt;8,(IF(F102&gt;F$5,ABS(LOG(((F$5/SUM($F102:$S102))/(F$4/SUM($F$4:$S$4)))*4+2,2)),ABS(LOG(((F102/SUM($F102:$S102))/(F$4/SUM($F$4:$S$4)))*4+2,2)))-3)/7,IF(F102&gt;F$5,ABS(LOG(((F$5/SUM($F102:$S102))/(F$4/SUM($F$4:$S$4)))*4+2,2)),ABS(LOG(((F102/SUM($F102:$S102))/(F$4/SUM($F$4:$S$4)))*4+2,2)))-3))</f>
        <v/>
      </c>
      <c r="V102" s="39" t="str">
        <f t="shared" si="98"/>
        <v/>
      </c>
      <c r="W102" s="39" t="str">
        <f t="shared" si="98"/>
        <v/>
      </c>
      <c r="X102" s="39" t="str">
        <f t="shared" si="98"/>
        <v/>
      </c>
      <c r="Y102" s="39" t="str">
        <f t="shared" si="98"/>
        <v/>
      </c>
      <c r="Z102" s="39" t="str">
        <f t="shared" si="98"/>
        <v/>
      </c>
      <c r="AA102" s="39" t="str">
        <f t="shared" si="98"/>
        <v/>
      </c>
      <c r="AB102" s="39" t="str">
        <f t="shared" si="98"/>
        <v/>
      </c>
      <c r="AC102" s="39" t="str">
        <f t="shared" si="98"/>
        <v/>
      </c>
      <c r="AD102" s="39" t="str">
        <f t="shared" si="98"/>
        <v/>
      </c>
      <c r="AE102" s="39" t="str">
        <f t="shared" si="98"/>
        <v/>
      </c>
      <c r="AF102" s="39" t="str">
        <f t="shared" si="98"/>
        <v/>
      </c>
      <c r="AG102" s="39" t="str">
        <f t="shared" si="98"/>
        <v/>
      </c>
      <c r="AH102" s="39" t="str">
        <f t="shared" si="98"/>
        <v/>
      </c>
      <c r="AI102" s="44">
        <f t="shared" si="5"/>
        <v>1</v>
      </c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</row>
    <row r="103" spans="1:55" ht="9.75" customHeight="1" x14ac:dyDescent="0.25">
      <c r="A103" s="23"/>
      <c r="B103" s="2" t="str">
        <f t="shared" si="2"/>
        <v/>
      </c>
      <c r="C103" s="23"/>
      <c r="D103" s="24"/>
      <c r="E103" s="42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3">
        <f t="shared" si="3"/>
        <v>0</v>
      </c>
      <c r="U103" s="39" t="str">
        <f t="shared" ref="U103:AH103" si="99">IF(OR(F103=0,F103&lt;0.00000000001,F103&gt;100000),"",IF((IF(F103&gt;F$5,ABS(LOG(((F$5/SUM($F103:$S103))/(F$4/SUM($F$4:$S$4)))*4+2,2)),ABS(LOG(((F103/SUM($F103:$S103))/(F$4/SUM($F$4:$S$4)))*4+2,2)))-3)&gt;8,(IF(F103&gt;F$5,ABS(LOG(((F$5/SUM($F103:$S103))/(F$4/SUM($F$4:$S$4)))*4+2,2)),ABS(LOG(((F103/SUM($F103:$S103))/(F$4/SUM($F$4:$S$4)))*4+2,2)))-3)/7,IF(F103&gt;F$5,ABS(LOG(((F$5/SUM($F103:$S103))/(F$4/SUM($F$4:$S$4)))*4+2,2)),ABS(LOG(((F103/SUM($F103:$S103))/(F$4/SUM($F$4:$S$4)))*4+2,2)))-3))</f>
        <v/>
      </c>
      <c r="V103" s="39" t="str">
        <f t="shared" si="99"/>
        <v/>
      </c>
      <c r="W103" s="39" t="str">
        <f t="shared" si="99"/>
        <v/>
      </c>
      <c r="X103" s="39" t="str">
        <f t="shared" si="99"/>
        <v/>
      </c>
      <c r="Y103" s="39" t="str">
        <f t="shared" si="99"/>
        <v/>
      </c>
      <c r="Z103" s="39" t="str">
        <f t="shared" si="99"/>
        <v/>
      </c>
      <c r="AA103" s="39" t="str">
        <f t="shared" si="99"/>
        <v/>
      </c>
      <c r="AB103" s="39" t="str">
        <f t="shared" si="99"/>
        <v/>
      </c>
      <c r="AC103" s="39" t="str">
        <f t="shared" si="99"/>
        <v/>
      </c>
      <c r="AD103" s="39" t="str">
        <f t="shared" si="99"/>
        <v/>
      </c>
      <c r="AE103" s="39" t="str">
        <f t="shared" si="99"/>
        <v/>
      </c>
      <c r="AF103" s="39" t="str">
        <f t="shared" si="99"/>
        <v/>
      </c>
      <c r="AG103" s="39" t="str">
        <f t="shared" si="99"/>
        <v/>
      </c>
      <c r="AH103" s="39" t="str">
        <f t="shared" si="99"/>
        <v/>
      </c>
      <c r="AI103" s="44">
        <f t="shared" si="5"/>
        <v>1</v>
      </c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</row>
    <row r="104" spans="1:55" ht="9.75" customHeight="1" x14ac:dyDescent="0.25">
      <c r="A104" s="23"/>
      <c r="B104" s="2" t="str">
        <f t="shared" si="2"/>
        <v/>
      </c>
      <c r="C104" s="23"/>
      <c r="D104" s="24"/>
      <c r="E104" s="42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3">
        <f t="shared" si="3"/>
        <v>0</v>
      </c>
      <c r="U104" s="39" t="str">
        <f t="shared" ref="U104:AH104" si="100">IF(OR(F104=0,F104&lt;0.00000000001,F104&gt;100000),"",IF((IF(F104&gt;F$5,ABS(LOG(((F$5/SUM($F104:$S104))/(F$4/SUM($F$4:$S$4)))*4+2,2)),ABS(LOG(((F104/SUM($F104:$S104))/(F$4/SUM($F$4:$S$4)))*4+2,2)))-3)&gt;8,(IF(F104&gt;F$5,ABS(LOG(((F$5/SUM($F104:$S104))/(F$4/SUM($F$4:$S$4)))*4+2,2)),ABS(LOG(((F104/SUM($F104:$S104))/(F$4/SUM($F$4:$S$4)))*4+2,2)))-3)/7,IF(F104&gt;F$5,ABS(LOG(((F$5/SUM($F104:$S104))/(F$4/SUM($F$4:$S$4)))*4+2,2)),ABS(LOG(((F104/SUM($F104:$S104))/(F$4/SUM($F$4:$S$4)))*4+2,2)))-3))</f>
        <v/>
      </c>
      <c r="V104" s="39" t="str">
        <f t="shared" si="100"/>
        <v/>
      </c>
      <c r="W104" s="39" t="str">
        <f t="shared" si="100"/>
        <v/>
      </c>
      <c r="X104" s="39" t="str">
        <f t="shared" si="100"/>
        <v/>
      </c>
      <c r="Y104" s="39" t="str">
        <f t="shared" si="100"/>
        <v/>
      </c>
      <c r="Z104" s="39" t="str">
        <f t="shared" si="100"/>
        <v/>
      </c>
      <c r="AA104" s="39" t="str">
        <f t="shared" si="100"/>
        <v/>
      </c>
      <c r="AB104" s="39" t="str">
        <f t="shared" si="100"/>
        <v/>
      </c>
      <c r="AC104" s="39" t="str">
        <f t="shared" si="100"/>
        <v/>
      </c>
      <c r="AD104" s="39" t="str">
        <f t="shared" si="100"/>
        <v/>
      </c>
      <c r="AE104" s="39" t="str">
        <f t="shared" si="100"/>
        <v/>
      </c>
      <c r="AF104" s="39" t="str">
        <f t="shared" si="100"/>
        <v/>
      </c>
      <c r="AG104" s="39" t="str">
        <f t="shared" si="100"/>
        <v/>
      </c>
      <c r="AH104" s="39" t="str">
        <f t="shared" si="100"/>
        <v/>
      </c>
      <c r="AI104" s="44">
        <f t="shared" si="5"/>
        <v>1</v>
      </c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</row>
    <row r="105" spans="1:55" ht="9.75" customHeight="1" x14ac:dyDescent="0.25">
      <c r="A105" s="23"/>
      <c r="B105" s="2" t="str">
        <f t="shared" si="2"/>
        <v/>
      </c>
      <c r="C105" s="23"/>
      <c r="D105" s="24"/>
      <c r="E105" s="42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3">
        <f t="shared" si="3"/>
        <v>0</v>
      </c>
      <c r="U105" s="39" t="str">
        <f t="shared" ref="U105:AH105" si="101">IF(OR(F105=0,F105&lt;0.00000000001,F105&gt;100000),"",IF((IF(F105&gt;F$5,ABS(LOG(((F$5/SUM($F105:$S105))/(F$4/SUM($F$4:$S$4)))*4+2,2)),ABS(LOG(((F105/SUM($F105:$S105))/(F$4/SUM($F$4:$S$4)))*4+2,2)))-3)&gt;8,(IF(F105&gt;F$5,ABS(LOG(((F$5/SUM($F105:$S105))/(F$4/SUM($F$4:$S$4)))*4+2,2)),ABS(LOG(((F105/SUM($F105:$S105))/(F$4/SUM($F$4:$S$4)))*4+2,2)))-3)/7,IF(F105&gt;F$5,ABS(LOG(((F$5/SUM($F105:$S105))/(F$4/SUM($F$4:$S$4)))*4+2,2)),ABS(LOG(((F105/SUM($F105:$S105))/(F$4/SUM($F$4:$S$4)))*4+2,2)))-3))</f>
        <v/>
      </c>
      <c r="V105" s="39" t="str">
        <f t="shared" si="101"/>
        <v/>
      </c>
      <c r="W105" s="39" t="str">
        <f t="shared" si="101"/>
        <v/>
      </c>
      <c r="X105" s="39" t="str">
        <f t="shared" si="101"/>
        <v/>
      </c>
      <c r="Y105" s="39" t="str">
        <f t="shared" si="101"/>
        <v/>
      </c>
      <c r="Z105" s="39" t="str">
        <f t="shared" si="101"/>
        <v/>
      </c>
      <c r="AA105" s="39" t="str">
        <f t="shared" si="101"/>
        <v/>
      </c>
      <c r="AB105" s="39" t="str">
        <f t="shared" si="101"/>
        <v/>
      </c>
      <c r="AC105" s="39" t="str">
        <f t="shared" si="101"/>
        <v/>
      </c>
      <c r="AD105" s="39" t="str">
        <f t="shared" si="101"/>
        <v/>
      </c>
      <c r="AE105" s="39" t="str">
        <f t="shared" si="101"/>
        <v/>
      </c>
      <c r="AF105" s="39" t="str">
        <f t="shared" si="101"/>
        <v/>
      </c>
      <c r="AG105" s="39" t="str">
        <f t="shared" si="101"/>
        <v/>
      </c>
      <c r="AH105" s="39" t="str">
        <f t="shared" si="101"/>
        <v/>
      </c>
      <c r="AI105" s="44">
        <f t="shared" si="5"/>
        <v>1</v>
      </c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</row>
    <row r="106" spans="1:55" ht="9.75" customHeight="1" x14ac:dyDescent="0.25">
      <c r="A106" s="23"/>
      <c r="B106" s="2" t="str">
        <f t="shared" si="2"/>
        <v/>
      </c>
      <c r="C106" s="23"/>
      <c r="D106" s="24"/>
      <c r="E106" s="42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3">
        <f t="shared" si="3"/>
        <v>0</v>
      </c>
      <c r="U106" s="39" t="str">
        <f t="shared" ref="U106:AH106" si="102">IF(OR(F106=0,F106&lt;0.00000000001,F106&gt;100000),"",IF((IF(F106&gt;F$5,ABS(LOG(((F$5/SUM($F106:$S106))/(F$4/SUM($F$4:$S$4)))*4+2,2)),ABS(LOG(((F106/SUM($F106:$S106))/(F$4/SUM($F$4:$S$4)))*4+2,2)))-3)&gt;8,(IF(F106&gt;F$5,ABS(LOG(((F$5/SUM($F106:$S106))/(F$4/SUM($F$4:$S$4)))*4+2,2)),ABS(LOG(((F106/SUM($F106:$S106))/(F$4/SUM($F$4:$S$4)))*4+2,2)))-3)/7,IF(F106&gt;F$5,ABS(LOG(((F$5/SUM($F106:$S106))/(F$4/SUM($F$4:$S$4)))*4+2,2)),ABS(LOG(((F106/SUM($F106:$S106))/(F$4/SUM($F$4:$S$4)))*4+2,2)))-3))</f>
        <v/>
      </c>
      <c r="V106" s="39" t="str">
        <f t="shared" si="102"/>
        <v/>
      </c>
      <c r="W106" s="39" t="str">
        <f t="shared" si="102"/>
        <v/>
      </c>
      <c r="X106" s="39" t="str">
        <f t="shared" si="102"/>
        <v/>
      </c>
      <c r="Y106" s="39" t="str">
        <f t="shared" si="102"/>
        <v/>
      </c>
      <c r="Z106" s="39" t="str">
        <f t="shared" si="102"/>
        <v/>
      </c>
      <c r="AA106" s="39" t="str">
        <f t="shared" si="102"/>
        <v/>
      </c>
      <c r="AB106" s="39" t="str">
        <f t="shared" si="102"/>
        <v/>
      </c>
      <c r="AC106" s="39" t="str">
        <f t="shared" si="102"/>
        <v/>
      </c>
      <c r="AD106" s="39" t="str">
        <f t="shared" si="102"/>
        <v/>
      </c>
      <c r="AE106" s="39" t="str">
        <f t="shared" si="102"/>
        <v/>
      </c>
      <c r="AF106" s="39" t="str">
        <f t="shared" si="102"/>
        <v/>
      </c>
      <c r="AG106" s="39" t="str">
        <f t="shared" si="102"/>
        <v/>
      </c>
      <c r="AH106" s="39" t="str">
        <f t="shared" si="102"/>
        <v/>
      </c>
      <c r="AI106" s="44">
        <f t="shared" si="5"/>
        <v>1</v>
      </c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</row>
    <row r="107" spans="1:55" ht="9.75" customHeight="1" x14ac:dyDescent="0.25">
      <c r="A107" s="23"/>
      <c r="B107" s="2" t="str">
        <f t="shared" si="2"/>
        <v/>
      </c>
      <c r="C107" s="23"/>
      <c r="D107" s="24"/>
      <c r="E107" s="42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3">
        <f t="shared" si="3"/>
        <v>0</v>
      </c>
      <c r="U107" s="39" t="str">
        <f t="shared" ref="U107:AH107" si="103">IF(OR(F107=0,F107&lt;0.00000000001,F107&gt;100000),"",IF((IF(F107&gt;F$5,ABS(LOG(((F$5/SUM($F107:$S107))/(F$4/SUM($F$4:$S$4)))*4+2,2)),ABS(LOG(((F107/SUM($F107:$S107))/(F$4/SUM($F$4:$S$4)))*4+2,2)))-3)&gt;8,(IF(F107&gt;F$5,ABS(LOG(((F$5/SUM($F107:$S107))/(F$4/SUM($F$4:$S$4)))*4+2,2)),ABS(LOG(((F107/SUM($F107:$S107))/(F$4/SUM($F$4:$S$4)))*4+2,2)))-3)/7,IF(F107&gt;F$5,ABS(LOG(((F$5/SUM($F107:$S107))/(F$4/SUM($F$4:$S$4)))*4+2,2)),ABS(LOG(((F107/SUM($F107:$S107))/(F$4/SUM($F$4:$S$4)))*4+2,2)))-3))</f>
        <v/>
      </c>
      <c r="V107" s="39" t="str">
        <f t="shared" si="103"/>
        <v/>
      </c>
      <c r="W107" s="39" t="str">
        <f t="shared" si="103"/>
        <v/>
      </c>
      <c r="X107" s="39" t="str">
        <f t="shared" si="103"/>
        <v/>
      </c>
      <c r="Y107" s="39" t="str">
        <f t="shared" si="103"/>
        <v/>
      </c>
      <c r="Z107" s="39" t="str">
        <f t="shared" si="103"/>
        <v/>
      </c>
      <c r="AA107" s="39" t="str">
        <f t="shared" si="103"/>
        <v/>
      </c>
      <c r="AB107" s="39" t="str">
        <f t="shared" si="103"/>
        <v/>
      </c>
      <c r="AC107" s="39" t="str">
        <f t="shared" si="103"/>
        <v/>
      </c>
      <c r="AD107" s="39" t="str">
        <f t="shared" si="103"/>
        <v/>
      </c>
      <c r="AE107" s="39" t="str">
        <f t="shared" si="103"/>
        <v/>
      </c>
      <c r="AF107" s="39" t="str">
        <f t="shared" si="103"/>
        <v/>
      </c>
      <c r="AG107" s="39" t="str">
        <f t="shared" si="103"/>
        <v/>
      </c>
      <c r="AH107" s="39" t="str">
        <f t="shared" si="103"/>
        <v/>
      </c>
      <c r="AI107" s="44">
        <f t="shared" si="5"/>
        <v>1</v>
      </c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</row>
    <row r="108" spans="1:55" ht="9.75" customHeight="1" x14ac:dyDescent="0.25">
      <c r="A108" s="23"/>
      <c r="B108" s="2" t="str">
        <f t="shared" si="2"/>
        <v/>
      </c>
      <c r="C108" s="23"/>
      <c r="D108" s="24"/>
      <c r="E108" s="42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3">
        <f t="shared" si="3"/>
        <v>0</v>
      </c>
      <c r="U108" s="39" t="str">
        <f t="shared" ref="U108:AH108" si="104">IF(OR(F108=0,F108&lt;0.00000000001,F108&gt;100000),"",IF((IF(F108&gt;F$5,ABS(LOG(((F$5/SUM($F108:$S108))/(F$4/SUM($F$4:$S$4)))*4+2,2)),ABS(LOG(((F108/SUM($F108:$S108))/(F$4/SUM($F$4:$S$4)))*4+2,2)))-3)&gt;8,(IF(F108&gt;F$5,ABS(LOG(((F$5/SUM($F108:$S108))/(F$4/SUM($F$4:$S$4)))*4+2,2)),ABS(LOG(((F108/SUM($F108:$S108))/(F$4/SUM($F$4:$S$4)))*4+2,2)))-3)/7,IF(F108&gt;F$5,ABS(LOG(((F$5/SUM($F108:$S108))/(F$4/SUM($F$4:$S$4)))*4+2,2)),ABS(LOG(((F108/SUM($F108:$S108))/(F$4/SUM($F$4:$S$4)))*4+2,2)))-3))</f>
        <v/>
      </c>
      <c r="V108" s="39" t="str">
        <f t="shared" si="104"/>
        <v/>
      </c>
      <c r="W108" s="39" t="str">
        <f t="shared" si="104"/>
        <v/>
      </c>
      <c r="X108" s="39" t="str">
        <f t="shared" si="104"/>
        <v/>
      </c>
      <c r="Y108" s="39" t="str">
        <f t="shared" si="104"/>
        <v/>
      </c>
      <c r="Z108" s="39" t="str">
        <f t="shared" si="104"/>
        <v/>
      </c>
      <c r="AA108" s="39" t="str">
        <f t="shared" si="104"/>
        <v/>
      </c>
      <c r="AB108" s="39" t="str">
        <f t="shared" si="104"/>
        <v/>
      </c>
      <c r="AC108" s="39" t="str">
        <f t="shared" si="104"/>
        <v/>
      </c>
      <c r="AD108" s="39" t="str">
        <f t="shared" si="104"/>
        <v/>
      </c>
      <c r="AE108" s="39" t="str">
        <f t="shared" si="104"/>
        <v/>
      </c>
      <c r="AF108" s="39" t="str">
        <f t="shared" si="104"/>
        <v/>
      </c>
      <c r="AG108" s="39" t="str">
        <f t="shared" si="104"/>
        <v/>
      </c>
      <c r="AH108" s="39" t="str">
        <f t="shared" si="104"/>
        <v/>
      </c>
      <c r="AI108" s="44">
        <f t="shared" si="5"/>
        <v>1</v>
      </c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</row>
    <row r="109" spans="1:55" ht="9.75" customHeight="1" x14ac:dyDescent="0.25">
      <c r="A109" s="23"/>
      <c r="B109" s="2" t="str">
        <f t="shared" si="2"/>
        <v/>
      </c>
      <c r="C109" s="23"/>
      <c r="D109" s="24"/>
      <c r="E109" s="42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3">
        <f t="shared" si="3"/>
        <v>0</v>
      </c>
      <c r="U109" s="39" t="str">
        <f t="shared" ref="U109:AH109" si="105">IF(OR(F109=0,F109&lt;0.00000000001,F109&gt;100000),"",IF((IF(F109&gt;F$5,ABS(LOG(((F$5/SUM($F109:$S109))/(F$4/SUM($F$4:$S$4)))*4+2,2)),ABS(LOG(((F109/SUM($F109:$S109))/(F$4/SUM($F$4:$S$4)))*4+2,2)))-3)&gt;8,(IF(F109&gt;F$5,ABS(LOG(((F$5/SUM($F109:$S109))/(F$4/SUM($F$4:$S$4)))*4+2,2)),ABS(LOG(((F109/SUM($F109:$S109))/(F$4/SUM($F$4:$S$4)))*4+2,2)))-3)/7,IF(F109&gt;F$5,ABS(LOG(((F$5/SUM($F109:$S109))/(F$4/SUM($F$4:$S$4)))*4+2,2)),ABS(LOG(((F109/SUM($F109:$S109))/(F$4/SUM($F$4:$S$4)))*4+2,2)))-3))</f>
        <v/>
      </c>
      <c r="V109" s="39" t="str">
        <f t="shared" si="105"/>
        <v/>
      </c>
      <c r="W109" s="39" t="str">
        <f t="shared" si="105"/>
        <v/>
      </c>
      <c r="X109" s="39" t="str">
        <f t="shared" si="105"/>
        <v/>
      </c>
      <c r="Y109" s="39" t="str">
        <f t="shared" si="105"/>
        <v/>
      </c>
      <c r="Z109" s="39" t="str">
        <f t="shared" si="105"/>
        <v/>
      </c>
      <c r="AA109" s="39" t="str">
        <f t="shared" si="105"/>
        <v/>
      </c>
      <c r="AB109" s="39" t="str">
        <f t="shared" si="105"/>
        <v/>
      </c>
      <c r="AC109" s="39" t="str">
        <f t="shared" si="105"/>
        <v/>
      </c>
      <c r="AD109" s="39" t="str">
        <f t="shared" si="105"/>
        <v/>
      </c>
      <c r="AE109" s="39" t="str">
        <f t="shared" si="105"/>
        <v/>
      </c>
      <c r="AF109" s="39" t="str">
        <f t="shared" si="105"/>
        <v/>
      </c>
      <c r="AG109" s="39" t="str">
        <f t="shared" si="105"/>
        <v/>
      </c>
      <c r="AH109" s="39" t="str">
        <f t="shared" si="105"/>
        <v/>
      </c>
      <c r="AI109" s="44">
        <f t="shared" si="5"/>
        <v>1</v>
      </c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</row>
    <row r="110" spans="1:55" ht="9.75" customHeight="1" x14ac:dyDescent="0.25">
      <c r="A110" s="23"/>
      <c r="B110" s="2" t="str">
        <f t="shared" si="2"/>
        <v/>
      </c>
      <c r="C110" s="23"/>
      <c r="D110" s="24"/>
      <c r="E110" s="4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3">
        <f t="shared" si="3"/>
        <v>0</v>
      </c>
      <c r="U110" s="39" t="str">
        <f t="shared" ref="U110:AH110" si="106">IF(OR(F110=0,F110&lt;0.00000000001,F110&gt;100000),"",IF((IF(F110&gt;F$5,ABS(LOG(((F$5/SUM($F110:$S110))/(F$4/SUM($F$4:$S$4)))*4+2,2)),ABS(LOG(((F110/SUM($F110:$S110))/(F$4/SUM($F$4:$S$4)))*4+2,2)))-3)&gt;8,(IF(F110&gt;F$5,ABS(LOG(((F$5/SUM($F110:$S110))/(F$4/SUM($F$4:$S$4)))*4+2,2)),ABS(LOG(((F110/SUM($F110:$S110))/(F$4/SUM($F$4:$S$4)))*4+2,2)))-3)/7,IF(F110&gt;F$5,ABS(LOG(((F$5/SUM($F110:$S110))/(F$4/SUM($F$4:$S$4)))*4+2,2)),ABS(LOG(((F110/SUM($F110:$S110))/(F$4/SUM($F$4:$S$4)))*4+2,2)))-3))</f>
        <v/>
      </c>
      <c r="V110" s="39" t="str">
        <f t="shared" si="106"/>
        <v/>
      </c>
      <c r="W110" s="39" t="str">
        <f t="shared" si="106"/>
        <v/>
      </c>
      <c r="X110" s="39" t="str">
        <f t="shared" si="106"/>
        <v/>
      </c>
      <c r="Y110" s="39" t="str">
        <f t="shared" si="106"/>
        <v/>
      </c>
      <c r="Z110" s="39" t="str">
        <f t="shared" si="106"/>
        <v/>
      </c>
      <c r="AA110" s="39" t="str">
        <f t="shared" si="106"/>
        <v/>
      </c>
      <c r="AB110" s="39" t="str">
        <f t="shared" si="106"/>
        <v/>
      </c>
      <c r="AC110" s="39" t="str">
        <f t="shared" si="106"/>
        <v/>
      </c>
      <c r="AD110" s="39" t="str">
        <f t="shared" si="106"/>
        <v/>
      </c>
      <c r="AE110" s="39" t="str">
        <f t="shared" si="106"/>
        <v/>
      </c>
      <c r="AF110" s="39" t="str">
        <f t="shared" si="106"/>
        <v/>
      </c>
      <c r="AG110" s="39" t="str">
        <f t="shared" si="106"/>
        <v/>
      </c>
      <c r="AH110" s="39" t="str">
        <f t="shared" si="106"/>
        <v/>
      </c>
      <c r="AI110" s="44">
        <f t="shared" si="5"/>
        <v>1</v>
      </c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</row>
    <row r="111" spans="1:55" ht="9.75" customHeight="1" x14ac:dyDescent="0.25">
      <c r="A111" s="23"/>
      <c r="B111" s="2" t="str">
        <f t="shared" si="2"/>
        <v/>
      </c>
      <c r="C111" s="23"/>
      <c r="D111" s="24"/>
      <c r="E111" s="42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3">
        <f t="shared" si="3"/>
        <v>0</v>
      </c>
      <c r="U111" s="39" t="str">
        <f t="shared" ref="U111:AH111" si="107">IF(OR(F111=0,F111&lt;0.00000000001,F111&gt;100000),"",IF((IF(F111&gt;F$5,ABS(LOG(((F$5/SUM($F111:$S111))/(F$4/SUM($F$4:$S$4)))*4+2,2)),ABS(LOG(((F111/SUM($F111:$S111))/(F$4/SUM($F$4:$S$4)))*4+2,2)))-3)&gt;8,(IF(F111&gt;F$5,ABS(LOG(((F$5/SUM($F111:$S111))/(F$4/SUM($F$4:$S$4)))*4+2,2)),ABS(LOG(((F111/SUM($F111:$S111))/(F$4/SUM($F$4:$S$4)))*4+2,2)))-3)/7,IF(F111&gt;F$5,ABS(LOG(((F$5/SUM($F111:$S111))/(F$4/SUM($F$4:$S$4)))*4+2,2)),ABS(LOG(((F111/SUM($F111:$S111))/(F$4/SUM($F$4:$S$4)))*4+2,2)))-3))</f>
        <v/>
      </c>
      <c r="V111" s="39" t="str">
        <f t="shared" si="107"/>
        <v/>
      </c>
      <c r="W111" s="39" t="str">
        <f t="shared" si="107"/>
        <v/>
      </c>
      <c r="X111" s="39" t="str">
        <f t="shared" si="107"/>
        <v/>
      </c>
      <c r="Y111" s="39" t="str">
        <f t="shared" si="107"/>
        <v/>
      </c>
      <c r="Z111" s="39" t="str">
        <f t="shared" si="107"/>
        <v/>
      </c>
      <c r="AA111" s="39" t="str">
        <f t="shared" si="107"/>
        <v/>
      </c>
      <c r="AB111" s="39" t="str">
        <f t="shared" si="107"/>
        <v/>
      </c>
      <c r="AC111" s="39" t="str">
        <f t="shared" si="107"/>
        <v/>
      </c>
      <c r="AD111" s="39" t="str">
        <f t="shared" si="107"/>
        <v/>
      </c>
      <c r="AE111" s="39" t="str">
        <f t="shared" si="107"/>
        <v/>
      </c>
      <c r="AF111" s="39" t="str">
        <f t="shared" si="107"/>
        <v/>
      </c>
      <c r="AG111" s="39" t="str">
        <f t="shared" si="107"/>
        <v/>
      </c>
      <c r="AH111" s="39" t="str">
        <f t="shared" si="107"/>
        <v/>
      </c>
      <c r="AI111" s="44">
        <f t="shared" si="5"/>
        <v>1</v>
      </c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</row>
    <row r="112" spans="1:55" ht="9.75" customHeight="1" x14ac:dyDescent="0.25">
      <c r="A112" s="23"/>
      <c r="B112" s="2" t="str">
        <f t="shared" si="2"/>
        <v/>
      </c>
      <c r="C112" s="23"/>
      <c r="D112" s="24"/>
      <c r="E112" s="42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3">
        <f t="shared" si="3"/>
        <v>0</v>
      </c>
      <c r="U112" s="39" t="str">
        <f t="shared" ref="U112:AH112" si="108">IF(OR(F112=0,F112&lt;0.00000000001,F112&gt;100000),"",IF((IF(F112&gt;F$5,ABS(LOG(((F$5/SUM($F112:$S112))/(F$4/SUM($F$4:$S$4)))*4+2,2)),ABS(LOG(((F112/SUM($F112:$S112))/(F$4/SUM($F$4:$S$4)))*4+2,2)))-3)&gt;8,(IF(F112&gt;F$5,ABS(LOG(((F$5/SUM($F112:$S112))/(F$4/SUM($F$4:$S$4)))*4+2,2)),ABS(LOG(((F112/SUM($F112:$S112))/(F$4/SUM($F$4:$S$4)))*4+2,2)))-3)/7,IF(F112&gt;F$5,ABS(LOG(((F$5/SUM($F112:$S112))/(F$4/SUM($F$4:$S$4)))*4+2,2)),ABS(LOG(((F112/SUM($F112:$S112))/(F$4/SUM($F$4:$S$4)))*4+2,2)))-3))</f>
        <v/>
      </c>
      <c r="V112" s="39" t="str">
        <f t="shared" si="108"/>
        <v/>
      </c>
      <c r="W112" s="39" t="str">
        <f t="shared" si="108"/>
        <v/>
      </c>
      <c r="X112" s="39" t="str">
        <f t="shared" si="108"/>
        <v/>
      </c>
      <c r="Y112" s="39" t="str">
        <f t="shared" si="108"/>
        <v/>
      </c>
      <c r="Z112" s="39" t="str">
        <f t="shared" si="108"/>
        <v/>
      </c>
      <c r="AA112" s="39" t="str">
        <f t="shared" si="108"/>
        <v/>
      </c>
      <c r="AB112" s="39" t="str">
        <f t="shared" si="108"/>
        <v/>
      </c>
      <c r="AC112" s="39" t="str">
        <f t="shared" si="108"/>
        <v/>
      </c>
      <c r="AD112" s="39" t="str">
        <f t="shared" si="108"/>
        <v/>
      </c>
      <c r="AE112" s="39" t="str">
        <f t="shared" si="108"/>
        <v/>
      </c>
      <c r="AF112" s="39" t="str">
        <f t="shared" si="108"/>
        <v/>
      </c>
      <c r="AG112" s="39" t="str">
        <f t="shared" si="108"/>
        <v/>
      </c>
      <c r="AH112" s="39" t="str">
        <f t="shared" si="108"/>
        <v/>
      </c>
      <c r="AI112" s="44">
        <f t="shared" si="5"/>
        <v>1</v>
      </c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</row>
    <row r="113" spans="1:55" ht="9.75" customHeight="1" x14ac:dyDescent="0.25">
      <c r="A113" s="23"/>
      <c r="B113" s="2" t="str">
        <f t="shared" si="2"/>
        <v/>
      </c>
      <c r="C113" s="23"/>
      <c r="D113" s="24"/>
      <c r="E113" s="42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3">
        <f t="shared" si="3"/>
        <v>0</v>
      </c>
      <c r="U113" s="39" t="str">
        <f t="shared" ref="U113:AH113" si="109">IF(OR(F113=0,F113&lt;0.00000000001,F113&gt;100000),"",IF((IF(F113&gt;F$5,ABS(LOG(((F$5/SUM($F113:$S113))/(F$4/SUM($F$4:$S$4)))*4+2,2)),ABS(LOG(((F113/SUM($F113:$S113))/(F$4/SUM($F$4:$S$4)))*4+2,2)))-3)&gt;8,(IF(F113&gt;F$5,ABS(LOG(((F$5/SUM($F113:$S113))/(F$4/SUM($F$4:$S$4)))*4+2,2)),ABS(LOG(((F113/SUM($F113:$S113))/(F$4/SUM($F$4:$S$4)))*4+2,2)))-3)/7,IF(F113&gt;F$5,ABS(LOG(((F$5/SUM($F113:$S113))/(F$4/SUM($F$4:$S$4)))*4+2,2)),ABS(LOG(((F113/SUM($F113:$S113))/(F$4/SUM($F$4:$S$4)))*4+2,2)))-3))</f>
        <v/>
      </c>
      <c r="V113" s="39" t="str">
        <f t="shared" si="109"/>
        <v/>
      </c>
      <c r="W113" s="39" t="str">
        <f t="shared" si="109"/>
        <v/>
      </c>
      <c r="X113" s="39" t="str">
        <f t="shared" si="109"/>
        <v/>
      </c>
      <c r="Y113" s="39" t="str">
        <f t="shared" si="109"/>
        <v/>
      </c>
      <c r="Z113" s="39" t="str">
        <f t="shared" si="109"/>
        <v/>
      </c>
      <c r="AA113" s="39" t="str">
        <f t="shared" si="109"/>
        <v/>
      </c>
      <c r="AB113" s="39" t="str">
        <f t="shared" si="109"/>
        <v/>
      </c>
      <c r="AC113" s="39" t="str">
        <f t="shared" si="109"/>
        <v/>
      </c>
      <c r="AD113" s="39" t="str">
        <f t="shared" si="109"/>
        <v/>
      </c>
      <c r="AE113" s="39" t="str">
        <f t="shared" si="109"/>
        <v/>
      </c>
      <c r="AF113" s="39" t="str">
        <f t="shared" si="109"/>
        <v/>
      </c>
      <c r="AG113" s="39" t="str">
        <f t="shared" si="109"/>
        <v/>
      </c>
      <c r="AH113" s="39" t="str">
        <f t="shared" si="109"/>
        <v/>
      </c>
      <c r="AI113" s="44">
        <f t="shared" si="5"/>
        <v>1</v>
      </c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</row>
    <row r="114" spans="1:55" ht="9.75" customHeight="1" x14ac:dyDescent="0.25">
      <c r="A114" s="23"/>
      <c r="B114" s="2" t="str">
        <f t="shared" si="2"/>
        <v/>
      </c>
      <c r="C114" s="23"/>
      <c r="D114" s="24"/>
      <c r="E114" s="42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3">
        <f t="shared" si="3"/>
        <v>0</v>
      </c>
      <c r="U114" s="39" t="str">
        <f t="shared" ref="U114:AH114" si="110">IF(OR(F114=0,F114&lt;0.00000000001,F114&gt;100000),"",IF((IF(F114&gt;F$5,ABS(LOG(((F$5/SUM($F114:$S114))/(F$4/SUM($F$4:$S$4)))*4+2,2)),ABS(LOG(((F114/SUM($F114:$S114))/(F$4/SUM($F$4:$S$4)))*4+2,2)))-3)&gt;8,(IF(F114&gt;F$5,ABS(LOG(((F$5/SUM($F114:$S114))/(F$4/SUM($F$4:$S$4)))*4+2,2)),ABS(LOG(((F114/SUM($F114:$S114))/(F$4/SUM($F$4:$S$4)))*4+2,2)))-3)/7,IF(F114&gt;F$5,ABS(LOG(((F$5/SUM($F114:$S114))/(F$4/SUM($F$4:$S$4)))*4+2,2)),ABS(LOG(((F114/SUM($F114:$S114))/(F$4/SUM($F$4:$S$4)))*4+2,2)))-3))</f>
        <v/>
      </c>
      <c r="V114" s="39" t="str">
        <f t="shared" si="110"/>
        <v/>
      </c>
      <c r="W114" s="39" t="str">
        <f t="shared" si="110"/>
        <v/>
      </c>
      <c r="X114" s="39" t="str">
        <f t="shared" si="110"/>
        <v/>
      </c>
      <c r="Y114" s="39" t="str">
        <f t="shared" si="110"/>
        <v/>
      </c>
      <c r="Z114" s="39" t="str">
        <f t="shared" si="110"/>
        <v/>
      </c>
      <c r="AA114" s="39" t="str">
        <f t="shared" si="110"/>
        <v/>
      </c>
      <c r="AB114" s="39" t="str">
        <f t="shared" si="110"/>
        <v/>
      </c>
      <c r="AC114" s="39" t="str">
        <f t="shared" si="110"/>
        <v/>
      </c>
      <c r="AD114" s="39" t="str">
        <f t="shared" si="110"/>
        <v/>
      </c>
      <c r="AE114" s="39" t="str">
        <f t="shared" si="110"/>
        <v/>
      </c>
      <c r="AF114" s="39" t="str">
        <f t="shared" si="110"/>
        <v/>
      </c>
      <c r="AG114" s="39" t="str">
        <f t="shared" si="110"/>
        <v/>
      </c>
      <c r="AH114" s="39" t="str">
        <f t="shared" si="110"/>
        <v/>
      </c>
      <c r="AI114" s="44">
        <f t="shared" si="5"/>
        <v>1</v>
      </c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</row>
    <row r="115" spans="1:55" ht="9.75" customHeight="1" x14ac:dyDescent="0.25">
      <c r="A115" s="23"/>
      <c r="B115" s="2" t="str">
        <f t="shared" si="2"/>
        <v/>
      </c>
      <c r="C115" s="23"/>
      <c r="D115" s="24"/>
      <c r="E115" s="42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3">
        <f t="shared" si="3"/>
        <v>0</v>
      </c>
      <c r="U115" s="39" t="str">
        <f t="shared" ref="U115:AH115" si="111">IF(OR(F115=0,F115&lt;0.00000000001,F115&gt;100000),"",IF((IF(F115&gt;F$5,ABS(LOG(((F$5/SUM($F115:$S115))/(F$4/SUM($F$4:$S$4)))*4+2,2)),ABS(LOG(((F115/SUM($F115:$S115))/(F$4/SUM($F$4:$S$4)))*4+2,2)))-3)&gt;8,(IF(F115&gt;F$5,ABS(LOG(((F$5/SUM($F115:$S115))/(F$4/SUM($F$4:$S$4)))*4+2,2)),ABS(LOG(((F115/SUM($F115:$S115))/(F$4/SUM($F$4:$S$4)))*4+2,2)))-3)/7,IF(F115&gt;F$5,ABS(LOG(((F$5/SUM($F115:$S115))/(F$4/SUM($F$4:$S$4)))*4+2,2)),ABS(LOG(((F115/SUM($F115:$S115))/(F$4/SUM($F$4:$S$4)))*4+2,2)))-3))</f>
        <v/>
      </c>
      <c r="V115" s="39" t="str">
        <f t="shared" si="111"/>
        <v/>
      </c>
      <c r="W115" s="39" t="str">
        <f t="shared" si="111"/>
        <v/>
      </c>
      <c r="X115" s="39" t="str">
        <f t="shared" si="111"/>
        <v/>
      </c>
      <c r="Y115" s="39" t="str">
        <f t="shared" si="111"/>
        <v/>
      </c>
      <c r="Z115" s="39" t="str">
        <f t="shared" si="111"/>
        <v/>
      </c>
      <c r="AA115" s="39" t="str">
        <f t="shared" si="111"/>
        <v/>
      </c>
      <c r="AB115" s="39" t="str">
        <f t="shared" si="111"/>
        <v/>
      </c>
      <c r="AC115" s="39" t="str">
        <f t="shared" si="111"/>
        <v/>
      </c>
      <c r="AD115" s="39" t="str">
        <f t="shared" si="111"/>
        <v/>
      </c>
      <c r="AE115" s="39" t="str">
        <f t="shared" si="111"/>
        <v/>
      </c>
      <c r="AF115" s="39" t="str">
        <f t="shared" si="111"/>
        <v/>
      </c>
      <c r="AG115" s="39" t="str">
        <f t="shared" si="111"/>
        <v/>
      </c>
      <c r="AH115" s="39" t="str">
        <f t="shared" si="111"/>
        <v/>
      </c>
      <c r="AI115" s="44">
        <f t="shared" si="5"/>
        <v>1</v>
      </c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</row>
    <row r="116" spans="1:55" ht="9.75" customHeight="1" x14ac:dyDescent="0.25">
      <c r="A116" s="23"/>
      <c r="B116" s="2" t="str">
        <f t="shared" si="2"/>
        <v/>
      </c>
      <c r="C116" s="23"/>
      <c r="D116" s="24"/>
      <c r="E116" s="4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3">
        <f t="shared" si="3"/>
        <v>0</v>
      </c>
      <c r="U116" s="39" t="str">
        <f t="shared" ref="U116:AH116" si="112">IF(OR(F116=0,F116&lt;0.00000000001,F116&gt;100000),"",IF((IF(F116&gt;F$5,ABS(LOG(((F$5/SUM($F116:$S116))/(F$4/SUM($F$4:$S$4)))*4+2,2)),ABS(LOG(((F116/SUM($F116:$S116))/(F$4/SUM($F$4:$S$4)))*4+2,2)))-3)&gt;8,(IF(F116&gt;F$5,ABS(LOG(((F$5/SUM($F116:$S116))/(F$4/SUM($F$4:$S$4)))*4+2,2)),ABS(LOG(((F116/SUM($F116:$S116))/(F$4/SUM($F$4:$S$4)))*4+2,2)))-3)/7,IF(F116&gt;F$5,ABS(LOG(((F$5/SUM($F116:$S116))/(F$4/SUM($F$4:$S$4)))*4+2,2)),ABS(LOG(((F116/SUM($F116:$S116))/(F$4/SUM($F$4:$S$4)))*4+2,2)))-3))</f>
        <v/>
      </c>
      <c r="V116" s="39" t="str">
        <f t="shared" si="112"/>
        <v/>
      </c>
      <c r="W116" s="39" t="str">
        <f t="shared" si="112"/>
        <v/>
      </c>
      <c r="X116" s="39" t="str">
        <f t="shared" si="112"/>
        <v/>
      </c>
      <c r="Y116" s="39" t="str">
        <f t="shared" si="112"/>
        <v/>
      </c>
      <c r="Z116" s="39" t="str">
        <f t="shared" si="112"/>
        <v/>
      </c>
      <c r="AA116" s="39" t="str">
        <f t="shared" si="112"/>
        <v/>
      </c>
      <c r="AB116" s="39" t="str">
        <f t="shared" si="112"/>
        <v/>
      </c>
      <c r="AC116" s="39" t="str">
        <f t="shared" si="112"/>
        <v/>
      </c>
      <c r="AD116" s="39" t="str">
        <f t="shared" si="112"/>
        <v/>
      </c>
      <c r="AE116" s="39" t="str">
        <f t="shared" si="112"/>
        <v/>
      </c>
      <c r="AF116" s="39" t="str">
        <f t="shared" si="112"/>
        <v/>
      </c>
      <c r="AG116" s="39" t="str">
        <f t="shared" si="112"/>
        <v/>
      </c>
      <c r="AH116" s="39" t="str">
        <f t="shared" si="112"/>
        <v/>
      </c>
      <c r="AI116" s="44">
        <f t="shared" si="5"/>
        <v>1</v>
      </c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</row>
    <row r="117" spans="1:55" ht="9.75" customHeight="1" x14ac:dyDescent="0.25">
      <c r="A117" s="23"/>
      <c r="B117" s="2" t="str">
        <f t="shared" si="2"/>
        <v/>
      </c>
      <c r="C117" s="23"/>
      <c r="D117" s="24"/>
      <c r="E117" s="42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3">
        <f t="shared" si="3"/>
        <v>0</v>
      </c>
      <c r="U117" s="39" t="str">
        <f t="shared" ref="U117:AH117" si="113">IF(OR(F117=0,F117&lt;0.00000000001,F117&gt;100000),"",IF((IF(F117&gt;F$5,ABS(LOG(((F$5/SUM($F117:$S117))/(F$4/SUM($F$4:$S$4)))*4+2,2)),ABS(LOG(((F117/SUM($F117:$S117))/(F$4/SUM($F$4:$S$4)))*4+2,2)))-3)&gt;8,(IF(F117&gt;F$5,ABS(LOG(((F$5/SUM($F117:$S117))/(F$4/SUM($F$4:$S$4)))*4+2,2)),ABS(LOG(((F117/SUM($F117:$S117))/(F$4/SUM($F$4:$S$4)))*4+2,2)))-3)/7,IF(F117&gt;F$5,ABS(LOG(((F$5/SUM($F117:$S117))/(F$4/SUM($F$4:$S$4)))*4+2,2)),ABS(LOG(((F117/SUM($F117:$S117))/(F$4/SUM($F$4:$S$4)))*4+2,2)))-3))</f>
        <v/>
      </c>
      <c r="V117" s="39" t="str">
        <f t="shared" si="113"/>
        <v/>
      </c>
      <c r="W117" s="39" t="str">
        <f t="shared" si="113"/>
        <v/>
      </c>
      <c r="X117" s="39" t="str">
        <f t="shared" si="113"/>
        <v/>
      </c>
      <c r="Y117" s="39" t="str">
        <f t="shared" si="113"/>
        <v/>
      </c>
      <c r="Z117" s="39" t="str">
        <f t="shared" si="113"/>
        <v/>
      </c>
      <c r="AA117" s="39" t="str">
        <f t="shared" si="113"/>
        <v/>
      </c>
      <c r="AB117" s="39" t="str">
        <f t="shared" si="113"/>
        <v/>
      </c>
      <c r="AC117" s="39" t="str">
        <f t="shared" si="113"/>
        <v/>
      </c>
      <c r="AD117" s="39" t="str">
        <f t="shared" si="113"/>
        <v/>
      </c>
      <c r="AE117" s="39" t="str">
        <f t="shared" si="113"/>
        <v/>
      </c>
      <c r="AF117" s="39" t="str">
        <f t="shared" si="113"/>
        <v/>
      </c>
      <c r="AG117" s="39" t="str">
        <f t="shared" si="113"/>
        <v/>
      </c>
      <c r="AH117" s="39" t="str">
        <f t="shared" si="113"/>
        <v/>
      </c>
      <c r="AI117" s="44">
        <f t="shared" si="5"/>
        <v>1</v>
      </c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</row>
    <row r="118" spans="1:55" ht="9.75" customHeight="1" x14ac:dyDescent="0.25">
      <c r="A118" s="23"/>
      <c r="B118" s="2" t="str">
        <f t="shared" si="2"/>
        <v/>
      </c>
      <c r="C118" s="23"/>
      <c r="D118" s="24"/>
      <c r="E118" s="42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3">
        <f t="shared" si="3"/>
        <v>0</v>
      </c>
      <c r="U118" s="39" t="str">
        <f t="shared" ref="U118:AH118" si="114">IF(OR(F118=0,F118&lt;0.00000000001,F118&gt;100000),"",IF((IF(F118&gt;F$5,ABS(LOG(((F$5/SUM($F118:$S118))/(F$4/SUM($F$4:$S$4)))*4+2,2)),ABS(LOG(((F118/SUM($F118:$S118))/(F$4/SUM($F$4:$S$4)))*4+2,2)))-3)&gt;8,(IF(F118&gt;F$5,ABS(LOG(((F$5/SUM($F118:$S118))/(F$4/SUM($F$4:$S$4)))*4+2,2)),ABS(LOG(((F118/SUM($F118:$S118))/(F$4/SUM($F$4:$S$4)))*4+2,2)))-3)/7,IF(F118&gt;F$5,ABS(LOG(((F$5/SUM($F118:$S118))/(F$4/SUM($F$4:$S$4)))*4+2,2)),ABS(LOG(((F118/SUM($F118:$S118))/(F$4/SUM($F$4:$S$4)))*4+2,2)))-3))</f>
        <v/>
      </c>
      <c r="V118" s="39" t="str">
        <f t="shared" si="114"/>
        <v/>
      </c>
      <c r="W118" s="39" t="str">
        <f t="shared" si="114"/>
        <v/>
      </c>
      <c r="X118" s="39" t="str">
        <f t="shared" si="114"/>
        <v/>
      </c>
      <c r="Y118" s="39" t="str">
        <f t="shared" si="114"/>
        <v/>
      </c>
      <c r="Z118" s="39" t="str">
        <f t="shared" si="114"/>
        <v/>
      </c>
      <c r="AA118" s="39" t="str">
        <f t="shared" si="114"/>
        <v/>
      </c>
      <c r="AB118" s="39" t="str">
        <f t="shared" si="114"/>
        <v/>
      </c>
      <c r="AC118" s="39" t="str">
        <f t="shared" si="114"/>
        <v/>
      </c>
      <c r="AD118" s="39" t="str">
        <f t="shared" si="114"/>
        <v/>
      </c>
      <c r="AE118" s="39" t="str">
        <f t="shared" si="114"/>
        <v/>
      </c>
      <c r="AF118" s="39" t="str">
        <f t="shared" si="114"/>
        <v/>
      </c>
      <c r="AG118" s="39" t="str">
        <f t="shared" si="114"/>
        <v/>
      </c>
      <c r="AH118" s="39" t="str">
        <f t="shared" si="114"/>
        <v/>
      </c>
      <c r="AI118" s="44">
        <f t="shared" si="5"/>
        <v>1</v>
      </c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</row>
    <row r="119" spans="1:55" ht="9.75" customHeight="1" x14ac:dyDescent="0.25">
      <c r="A119" s="23"/>
      <c r="B119" s="2" t="str">
        <f t="shared" si="2"/>
        <v/>
      </c>
      <c r="C119" s="23"/>
      <c r="D119" s="24"/>
      <c r="E119" s="42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3">
        <f t="shared" si="3"/>
        <v>0</v>
      </c>
      <c r="U119" s="39" t="str">
        <f t="shared" ref="U119:AH119" si="115">IF(OR(F119=0,F119&lt;0.00000000001,F119&gt;100000),"",IF((IF(F119&gt;F$5,ABS(LOG(((F$5/SUM($F119:$S119))/(F$4/SUM($F$4:$S$4)))*4+2,2)),ABS(LOG(((F119/SUM($F119:$S119))/(F$4/SUM($F$4:$S$4)))*4+2,2)))-3)&gt;8,(IF(F119&gt;F$5,ABS(LOG(((F$5/SUM($F119:$S119))/(F$4/SUM($F$4:$S$4)))*4+2,2)),ABS(LOG(((F119/SUM($F119:$S119))/(F$4/SUM($F$4:$S$4)))*4+2,2)))-3)/7,IF(F119&gt;F$5,ABS(LOG(((F$5/SUM($F119:$S119))/(F$4/SUM($F$4:$S$4)))*4+2,2)),ABS(LOG(((F119/SUM($F119:$S119))/(F$4/SUM($F$4:$S$4)))*4+2,2)))-3))</f>
        <v/>
      </c>
      <c r="V119" s="39" t="str">
        <f t="shared" si="115"/>
        <v/>
      </c>
      <c r="W119" s="39" t="str">
        <f t="shared" si="115"/>
        <v/>
      </c>
      <c r="X119" s="39" t="str">
        <f t="shared" si="115"/>
        <v/>
      </c>
      <c r="Y119" s="39" t="str">
        <f t="shared" si="115"/>
        <v/>
      </c>
      <c r="Z119" s="39" t="str">
        <f t="shared" si="115"/>
        <v/>
      </c>
      <c r="AA119" s="39" t="str">
        <f t="shared" si="115"/>
        <v/>
      </c>
      <c r="AB119" s="39" t="str">
        <f t="shared" si="115"/>
        <v/>
      </c>
      <c r="AC119" s="39" t="str">
        <f t="shared" si="115"/>
        <v/>
      </c>
      <c r="AD119" s="39" t="str">
        <f t="shared" si="115"/>
        <v/>
      </c>
      <c r="AE119" s="39" t="str">
        <f t="shared" si="115"/>
        <v/>
      </c>
      <c r="AF119" s="39" t="str">
        <f t="shared" si="115"/>
        <v/>
      </c>
      <c r="AG119" s="39" t="str">
        <f t="shared" si="115"/>
        <v/>
      </c>
      <c r="AH119" s="39" t="str">
        <f t="shared" si="115"/>
        <v/>
      </c>
      <c r="AI119" s="44">
        <f t="shared" si="5"/>
        <v>1</v>
      </c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</row>
    <row r="120" spans="1:55" ht="9.75" customHeight="1" x14ac:dyDescent="0.25">
      <c r="A120" s="23"/>
      <c r="B120" s="2" t="str">
        <f t="shared" si="2"/>
        <v/>
      </c>
      <c r="C120" s="23"/>
      <c r="D120" s="24"/>
      <c r="E120" s="4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3">
        <f t="shared" si="3"/>
        <v>0</v>
      </c>
      <c r="U120" s="39" t="str">
        <f t="shared" ref="U120:AH120" si="116">IF(OR(F120=0,F120&lt;0.00000000001,F120&gt;100000),"",IF((IF(F120&gt;F$5,ABS(LOG(((F$5/SUM($F120:$S120))/(F$4/SUM($F$4:$S$4)))*4+2,2)),ABS(LOG(((F120/SUM($F120:$S120))/(F$4/SUM($F$4:$S$4)))*4+2,2)))-3)&gt;8,(IF(F120&gt;F$5,ABS(LOG(((F$5/SUM($F120:$S120))/(F$4/SUM($F$4:$S$4)))*4+2,2)),ABS(LOG(((F120/SUM($F120:$S120))/(F$4/SUM($F$4:$S$4)))*4+2,2)))-3)/7,IF(F120&gt;F$5,ABS(LOG(((F$5/SUM($F120:$S120))/(F$4/SUM($F$4:$S$4)))*4+2,2)),ABS(LOG(((F120/SUM($F120:$S120))/(F$4/SUM($F$4:$S$4)))*4+2,2)))-3))</f>
        <v/>
      </c>
      <c r="V120" s="39" t="str">
        <f t="shared" si="116"/>
        <v/>
      </c>
      <c r="W120" s="39" t="str">
        <f t="shared" si="116"/>
        <v/>
      </c>
      <c r="X120" s="39" t="str">
        <f t="shared" si="116"/>
        <v/>
      </c>
      <c r="Y120" s="39" t="str">
        <f t="shared" si="116"/>
        <v/>
      </c>
      <c r="Z120" s="39" t="str">
        <f t="shared" si="116"/>
        <v/>
      </c>
      <c r="AA120" s="39" t="str">
        <f t="shared" si="116"/>
        <v/>
      </c>
      <c r="AB120" s="39" t="str">
        <f t="shared" si="116"/>
        <v/>
      </c>
      <c r="AC120" s="39" t="str">
        <f t="shared" si="116"/>
        <v/>
      </c>
      <c r="AD120" s="39" t="str">
        <f t="shared" si="116"/>
        <v/>
      </c>
      <c r="AE120" s="39" t="str">
        <f t="shared" si="116"/>
        <v/>
      </c>
      <c r="AF120" s="39" t="str">
        <f t="shared" si="116"/>
        <v/>
      </c>
      <c r="AG120" s="39" t="str">
        <f t="shared" si="116"/>
        <v/>
      </c>
      <c r="AH120" s="39" t="str">
        <f t="shared" si="116"/>
        <v/>
      </c>
      <c r="AI120" s="44">
        <f t="shared" si="5"/>
        <v>1</v>
      </c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</row>
    <row r="121" spans="1:55" ht="9.75" customHeight="1" x14ac:dyDescent="0.25">
      <c r="A121" s="23"/>
      <c r="B121" s="2" t="str">
        <f t="shared" si="2"/>
        <v/>
      </c>
      <c r="C121" s="23"/>
      <c r="D121" s="24"/>
      <c r="E121" s="42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3">
        <f t="shared" si="3"/>
        <v>0</v>
      </c>
      <c r="U121" s="39" t="str">
        <f t="shared" ref="U121:AH121" si="117">IF(OR(F121=0,F121&lt;0.00000000001,F121&gt;100000),"",IF((IF(F121&gt;F$5,ABS(LOG(((F$5/SUM($F121:$S121))/(F$4/SUM($F$4:$S$4)))*4+2,2)),ABS(LOG(((F121/SUM($F121:$S121))/(F$4/SUM($F$4:$S$4)))*4+2,2)))-3)&gt;8,(IF(F121&gt;F$5,ABS(LOG(((F$5/SUM($F121:$S121))/(F$4/SUM($F$4:$S$4)))*4+2,2)),ABS(LOG(((F121/SUM($F121:$S121))/(F$4/SUM($F$4:$S$4)))*4+2,2)))-3)/7,IF(F121&gt;F$5,ABS(LOG(((F$5/SUM($F121:$S121))/(F$4/SUM($F$4:$S$4)))*4+2,2)),ABS(LOG(((F121/SUM($F121:$S121))/(F$4/SUM($F$4:$S$4)))*4+2,2)))-3))</f>
        <v/>
      </c>
      <c r="V121" s="39" t="str">
        <f t="shared" si="117"/>
        <v/>
      </c>
      <c r="W121" s="39" t="str">
        <f t="shared" si="117"/>
        <v/>
      </c>
      <c r="X121" s="39" t="str">
        <f t="shared" si="117"/>
        <v/>
      </c>
      <c r="Y121" s="39" t="str">
        <f t="shared" si="117"/>
        <v/>
      </c>
      <c r="Z121" s="39" t="str">
        <f t="shared" si="117"/>
        <v/>
      </c>
      <c r="AA121" s="39" t="str">
        <f t="shared" si="117"/>
        <v/>
      </c>
      <c r="AB121" s="39" t="str">
        <f t="shared" si="117"/>
        <v/>
      </c>
      <c r="AC121" s="39" t="str">
        <f t="shared" si="117"/>
        <v/>
      </c>
      <c r="AD121" s="39" t="str">
        <f t="shared" si="117"/>
        <v/>
      </c>
      <c r="AE121" s="39" t="str">
        <f t="shared" si="117"/>
        <v/>
      </c>
      <c r="AF121" s="39" t="str">
        <f t="shared" si="117"/>
        <v/>
      </c>
      <c r="AG121" s="39" t="str">
        <f t="shared" si="117"/>
        <v/>
      </c>
      <c r="AH121" s="39" t="str">
        <f t="shared" si="117"/>
        <v/>
      </c>
      <c r="AI121" s="44">
        <f t="shared" si="5"/>
        <v>1</v>
      </c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</row>
    <row r="122" spans="1:55" ht="9.75" customHeight="1" x14ac:dyDescent="0.25">
      <c r="A122" s="23"/>
      <c r="B122" s="2" t="str">
        <f t="shared" si="2"/>
        <v/>
      </c>
      <c r="C122" s="23"/>
      <c r="D122" s="24"/>
      <c r="E122" s="42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3">
        <f t="shared" si="3"/>
        <v>0</v>
      </c>
      <c r="U122" s="39" t="str">
        <f t="shared" ref="U122:AH122" si="118">IF(OR(F122=0,F122&lt;0.00000000001,F122&gt;100000),"",IF((IF(F122&gt;F$5,ABS(LOG(((F$5/SUM($F122:$S122))/(F$4/SUM($F$4:$S$4)))*4+2,2)),ABS(LOG(((F122/SUM($F122:$S122))/(F$4/SUM($F$4:$S$4)))*4+2,2)))-3)&gt;8,(IF(F122&gt;F$5,ABS(LOG(((F$5/SUM($F122:$S122))/(F$4/SUM($F$4:$S$4)))*4+2,2)),ABS(LOG(((F122/SUM($F122:$S122))/(F$4/SUM($F$4:$S$4)))*4+2,2)))-3)/7,IF(F122&gt;F$5,ABS(LOG(((F$5/SUM($F122:$S122))/(F$4/SUM($F$4:$S$4)))*4+2,2)),ABS(LOG(((F122/SUM($F122:$S122))/(F$4/SUM($F$4:$S$4)))*4+2,2)))-3))</f>
        <v/>
      </c>
      <c r="V122" s="39" t="str">
        <f t="shared" si="118"/>
        <v/>
      </c>
      <c r="W122" s="39" t="str">
        <f t="shared" si="118"/>
        <v/>
      </c>
      <c r="X122" s="39" t="str">
        <f t="shared" si="118"/>
        <v/>
      </c>
      <c r="Y122" s="39" t="str">
        <f t="shared" si="118"/>
        <v/>
      </c>
      <c r="Z122" s="39" t="str">
        <f t="shared" si="118"/>
        <v/>
      </c>
      <c r="AA122" s="39" t="str">
        <f t="shared" si="118"/>
        <v/>
      </c>
      <c r="AB122" s="39" t="str">
        <f t="shared" si="118"/>
        <v/>
      </c>
      <c r="AC122" s="39" t="str">
        <f t="shared" si="118"/>
        <v/>
      </c>
      <c r="AD122" s="39" t="str">
        <f t="shared" si="118"/>
        <v/>
      </c>
      <c r="AE122" s="39" t="str">
        <f t="shared" si="118"/>
        <v/>
      </c>
      <c r="AF122" s="39" t="str">
        <f t="shared" si="118"/>
        <v/>
      </c>
      <c r="AG122" s="39" t="str">
        <f t="shared" si="118"/>
        <v/>
      </c>
      <c r="AH122" s="39" t="str">
        <f t="shared" si="118"/>
        <v/>
      </c>
      <c r="AI122" s="44">
        <f t="shared" si="5"/>
        <v>1</v>
      </c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</row>
    <row r="123" spans="1:55" ht="9.75" customHeight="1" x14ac:dyDescent="0.25">
      <c r="A123" s="23"/>
      <c r="B123" s="2" t="str">
        <f t="shared" si="2"/>
        <v/>
      </c>
      <c r="C123" s="23"/>
      <c r="D123" s="24"/>
      <c r="E123" s="42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3">
        <f t="shared" si="3"/>
        <v>0</v>
      </c>
      <c r="U123" s="39" t="str">
        <f t="shared" ref="U123:AH123" si="119">IF(OR(F123=0,F123&lt;0.00000000001,F123&gt;100000),"",IF((IF(F123&gt;F$5,ABS(LOG(((F$5/SUM($F123:$S123))/(F$4/SUM($F$4:$S$4)))*4+2,2)),ABS(LOG(((F123/SUM($F123:$S123))/(F$4/SUM($F$4:$S$4)))*4+2,2)))-3)&gt;8,(IF(F123&gt;F$5,ABS(LOG(((F$5/SUM($F123:$S123))/(F$4/SUM($F$4:$S$4)))*4+2,2)),ABS(LOG(((F123/SUM($F123:$S123))/(F$4/SUM($F$4:$S$4)))*4+2,2)))-3)/7,IF(F123&gt;F$5,ABS(LOG(((F$5/SUM($F123:$S123))/(F$4/SUM($F$4:$S$4)))*4+2,2)),ABS(LOG(((F123/SUM($F123:$S123))/(F$4/SUM($F$4:$S$4)))*4+2,2)))-3))</f>
        <v/>
      </c>
      <c r="V123" s="39" t="str">
        <f t="shared" si="119"/>
        <v/>
      </c>
      <c r="W123" s="39" t="str">
        <f t="shared" si="119"/>
        <v/>
      </c>
      <c r="X123" s="39" t="str">
        <f t="shared" si="119"/>
        <v/>
      </c>
      <c r="Y123" s="39" t="str">
        <f t="shared" si="119"/>
        <v/>
      </c>
      <c r="Z123" s="39" t="str">
        <f t="shared" si="119"/>
        <v/>
      </c>
      <c r="AA123" s="39" t="str">
        <f t="shared" si="119"/>
        <v/>
      </c>
      <c r="AB123" s="39" t="str">
        <f t="shared" si="119"/>
        <v/>
      </c>
      <c r="AC123" s="39" t="str">
        <f t="shared" si="119"/>
        <v/>
      </c>
      <c r="AD123" s="39" t="str">
        <f t="shared" si="119"/>
        <v/>
      </c>
      <c r="AE123" s="39" t="str">
        <f t="shared" si="119"/>
        <v/>
      </c>
      <c r="AF123" s="39" t="str">
        <f t="shared" si="119"/>
        <v/>
      </c>
      <c r="AG123" s="39" t="str">
        <f t="shared" si="119"/>
        <v/>
      </c>
      <c r="AH123" s="39" t="str">
        <f t="shared" si="119"/>
        <v/>
      </c>
      <c r="AI123" s="44">
        <f t="shared" si="5"/>
        <v>1</v>
      </c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</row>
    <row r="124" spans="1:55" ht="9.75" customHeight="1" x14ac:dyDescent="0.25">
      <c r="A124" s="23"/>
      <c r="B124" s="2" t="str">
        <f t="shared" si="2"/>
        <v/>
      </c>
      <c r="C124" s="23"/>
      <c r="D124" s="24"/>
      <c r="E124" s="42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3">
        <f t="shared" si="3"/>
        <v>0</v>
      </c>
      <c r="U124" s="39" t="str">
        <f t="shared" ref="U124:AH124" si="120">IF(OR(F124=0,F124&lt;0.00000000001,F124&gt;100000),"",IF((IF(F124&gt;F$5,ABS(LOG(((F$5/SUM($F124:$S124))/(F$4/SUM($F$4:$S$4)))*4+2,2)),ABS(LOG(((F124/SUM($F124:$S124))/(F$4/SUM($F$4:$S$4)))*4+2,2)))-3)&gt;8,(IF(F124&gt;F$5,ABS(LOG(((F$5/SUM($F124:$S124))/(F$4/SUM($F$4:$S$4)))*4+2,2)),ABS(LOG(((F124/SUM($F124:$S124))/(F$4/SUM($F$4:$S$4)))*4+2,2)))-3)/7,IF(F124&gt;F$5,ABS(LOG(((F$5/SUM($F124:$S124))/(F$4/SUM($F$4:$S$4)))*4+2,2)),ABS(LOG(((F124/SUM($F124:$S124))/(F$4/SUM($F$4:$S$4)))*4+2,2)))-3))</f>
        <v/>
      </c>
      <c r="V124" s="39" t="str">
        <f t="shared" si="120"/>
        <v/>
      </c>
      <c r="W124" s="39" t="str">
        <f t="shared" si="120"/>
        <v/>
      </c>
      <c r="X124" s="39" t="str">
        <f t="shared" si="120"/>
        <v/>
      </c>
      <c r="Y124" s="39" t="str">
        <f t="shared" si="120"/>
        <v/>
      </c>
      <c r="Z124" s="39" t="str">
        <f t="shared" si="120"/>
        <v/>
      </c>
      <c r="AA124" s="39" t="str">
        <f t="shared" si="120"/>
        <v/>
      </c>
      <c r="AB124" s="39" t="str">
        <f t="shared" si="120"/>
        <v/>
      </c>
      <c r="AC124" s="39" t="str">
        <f t="shared" si="120"/>
        <v/>
      </c>
      <c r="AD124" s="39" t="str">
        <f t="shared" si="120"/>
        <v/>
      </c>
      <c r="AE124" s="39" t="str">
        <f t="shared" si="120"/>
        <v/>
      </c>
      <c r="AF124" s="39" t="str">
        <f t="shared" si="120"/>
        <v/>
      </c>
      <c r="AG124" s="39" t="str">
        <f t="shared" si="120"/>
        <v/>
      </c>
      <c r="AH124" s="39" t="str">
        <f t="shared" si="120"/>
        <v/>
      </c>
      <c r="AI124" s="44">
        <f t="shared" si="5"/>
        <v>1</v>
      </c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</row>
    <row r="125" spans="1:55" ht="9.75" customHeight="1" x14ac:dyDescent="0.25">
      <c r="A125" s="23"/>
      <c r="B125" s="2" t="str">
        <f t="shared" si="2"/>
        <v/>
      </c>
      <c r="C125" s="23"/>
      <c r="D125" s="24"/>
      <c r="E125" s="42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3">
        <f t="shared" si="3"/>
        <v>0</v>
      </c>
      <c r="U125" s="39" t="str">
        <f t="shared" ref="U125:AH125" si="121">IF(OR(F125=0,F125&lt;0.00000000001,F125&gt;100000),"",IF((IF(F125&gt;F$5,ABS(LOG(((F$5/SUM($F125:$S125))/(F$4/SUM($F$4:$S$4)))*4+2,2)),ABS(LOG(((F125/SUM($F125:$S125))/(F$4/SUM($F$4:$S$4)))*4+2,2)))-3)&gt;8,(IF(F125&gt;F$5,ABS(LOG(((F$5/SUM($F125:$S125))/(F$4/SUM($F$4:$S$4)))*4+2,2)),ABS(LOG(((F125/SUM($F125:$S125))/(F$4/SUM($F$4:$S$4)))*4+2,2)))-3)/7,IF(F125&gt;F$5,ABS(LOG(((F$5/SUM($F125:$S125))/(F$4/SUM($F$4:$S$4)))*4+2,2)),ABS(LOG(((F125/SUM($F125:$S125))/(F$4/SUM($F$4:$S$4)))*4+2,2)))-3))</f>
        <v/>
      </c>
      <c r="V125" s="39" t="str">
        <f t="shared" si="121"/>
        <v/>
      </c>
      <c r="W125" s="39" t="str">
        <f t="shared" si="121"/>
        <v/>
      </c>
      <c r="X125" s="39" t="str">
        <f t="shared" si="121"/>
        <v/>
      </c>
      <c r="Y125" s="39" t="str">
        <f t="shared" si="121"/>
        <v/>
      </c>
      <c r="Z125" s="39" t="str">
        <f t="shared" si="121"/>
        <v/>
      </c>
      <c r="AA125" s="39" t="str">
        <f t="shared" si="121"/>
        <v/>
      </c>
      <c r="AB125" s="39" t="str">
        <f t="shared" si="121"/>
        <v/>
      </c>
      <c r="AC125" s="39" t="str">
        <f t="shared" si="121"/>
        <v/>
      </c>
      <c r="AD125" s="39" t="str">
        <f t="shared" si="121"/>
        <v/>
      </c>
      <c r="AE125" s="39" t="str">
        <f t="shared" si="121"/>
        <v/>
      </c>
      <c r="AF125" s="39" t="str">
        <f t="shared" si="121"/>
        <v/>
      </c>
      <c r="AG125" s="39" t="str">
        <f t="shared" si="121"/>
        <v/>
      </c>
      <c r="AH125" s="39" t="str">
        <f t="shared" si="121"/>
        <v/>
      </c>
      <c r="AI125" s="44">
        <f t="shared" si="5"/>
        <v>1</v>
      </c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</row>
    <row r="126" spans="1:55" ht="9.75" customHeight="1" x14ac:dyDescent="0.25">
      <c r="A126" s="23"/>
      <c r="B126" s="2" t="str">
        <f t="shared" si="2"/>
        <v/>
      </c>
      <c r="C126" s="23"/>
      <c r="D126" s="24"/>
      <c r="E126" s="42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3">
        <f t="shared" si="3"/>
        <v>0</v>
      </c>
      <c r="U126" s="39" t="str">
        <f t="shared" ref="U126:AH126" si="122">IF(OR(F126=0,F126&lt;0.00000000001,F126&gt;100000),"",IF((IF(F126&gt;F$5,ABS(LOG(((F$5/SUM($F126:$S126))/(F$4/SUM($F$4:$S$4)))*4+2,2)),ABS(LOG(((F126/SUM($F126:$S126))/(F$4/SUM($F$4:$S$4)))*4+2,2)))-3)&gt;8,(IF(F126&gt;F$5,ABS(LOG(((F$5/SUM($F126:$S126))/(F$4/SUM($F$4:$S$4)))*4+2,2)),ABS(LOG(((F126/SUM($F126:$S126))/(F$4/SUM($F$4:$S$4)))*4+2,2)))-3)/7,IF(F126&gt;F$5,ABS(LOG(((F$5/SUM($F126:$S126))/(F$4/SUM($F$4:$S$4)))*4+2,2)),ABS(LOG(((F126/SUM($F126:$S126))/(F$4/SUM($F$4:$S$4)))*4+2,2)))-3))</f>
        <v/>
      </c>
      <c r="V126" s="39" t="str">
        <f t="shared" si="122"/>
        <v/>
      </c>
      <c r="W126" s="39" t="str">
        <f t="shared" si="122"/>
        <v/>
      </c>
      <c r="X126" s="39" t="str">
        <f t="shared" si="122"/>
        <v/>
      </c>
      <c r="Y126" s="39" t="str">
        <f t="shared" si="122"/>
        <v/>
      </c>
      <c r="Z126" s="39" t="str">
        <f t="shared" si="122"/>
        <v/>
      </c>
      <c r="AA126" s="39" t="str">
        <f t="shared" si="122"/>
        <v/>
      </c>
      <c r="AB126" s="39" t="str">
        <f t="shared" si="122"/>
        <v/>
      </c>
      <c r="AC126" s="39" t="str">
        <f t="shared" si="122"/>
        <v/>
      </c>
      <c r="AD126" s="39" t="str">
        <f t="shared" si="122"/>
        <v/>
      </c>
      <c r="AE126" s="39" t="str">
        <f t="shared" si="122"/>
        <v/>
      </c>
      <c r="AF126" s="39" t="str">
        <f t="shared" si="122"/>
        <v/>
      </c>
      <c r="AG126" s="39" t="str">
        <f t="shared" si="122"/>
        <v/>
      </c>
      <c r="AH126" s="39" t="str">
        <f t="shared" si="122"/>
        <v/>
      </c>
      <c r="AI126" s="44">
        <f t="shared" si="5"/>
        <v>1</v>
      </c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</row>
    <row r="127" spans="1:55" ht="9.75" customHeight="1" x14ac:dyDescent="0.25">
      <c r="A127" s="23"/>
      <c r="B127" s="2" t="str">
        <f t="shared" si="2"/>
        <v/>
      </c>
      <c r="C127" s="23"/>
      <c r="D127" s="24"/>
      <c r="E127" s="42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3">
        <f t="shared" si="3"/>
        <v>0</v>
      </c>
      <c r="U127" s="39" t="str">
        <f t="shared" ref="U127:AH127" si="123">IF(OR(F127=0,F127&lt;0.00000000001,F127&gt;100000),"",IF((IF(F127&gt;F$5,ABS(LOG(((F$5/SUM($F127:$S127))/(F$4/SUM($F$4:$S$4)))*4+2,2)),ABS(LOG(((F127/SUM($F127:$S127))/(F$4/SUM($F$4:$S$4)))*4+2,2)))-3)&gt;8,(IF(F127&gt;F$5,ABS(LOG(((F$5/SUM($F127:$S127))/(F$4/SUM($F$4:$S$4)))*4+2,2)),ABS(LOG(((F127/SUM($F127:$S127))/(F$4/SUM($F$4:$S$4)))*4+2,2)))-3)/7,IF(F127&gt;F$5,ABS(LOG(((F$5/SUM($F127:$S127))/(F$4/SUM($F$4:$S$4)))*4+2,2)),ABS(LOG(((F127/SUM($F127:$S127))/(F$4/SUM($F$4:$S$4)))*4+2,2)))-3))</f>
        <v/>
      </c>
      <c r="V127" s="39" t="str">
        <f t="shared" si="123"/>
        <v/>
      </c>
      <c r="W127" s="39" t="str">
        <f t="shared" si="123"/>
        <v/>
      </c>
      <c r="X127" s="39" t="str">
        <f t="shared" si="123"/>
        <v/>
      </c>
      <c r="Y127" s="39" t="str">
        <f t="shared" si="123"/>
        <v/>
      </c>
      <c r="Z127" s="39" t="str">
        <f t="shared" si="123"/>
        <v/>
      </c>
      <c r="AA127" s="39" t="str">
        <f t="shared" si="123"/>
        <v/>
      </c>
      <c r="AB127" s="39" t="str">
        <f t="shared" si="123"/>
        <v/>
      </c>
      <c r="AC127" s="39" t="str">
        <f t="shared" si="123"/>
        <v/>
      </c>
      <c r="AD127" s="39" t="str">
        <f t="shared" si="123"/>
        <v/>
      </c>
      <c r="AE127" s="39" t="str">
        <f t="shared" si="123"/>
        <v/>
      </c>
      <c r="AF127" s="39" t="str">
        <f t="shared" si="123"/>
        <v/>
      </c>
      <c r="AG127" s="39" t="str">
        <f t="shared" si="123"/>
        <v/>
      </c>
      <c r="AH127" s="39" t="str">
        <f t="shared" si="123"/>
        <v/>
      </c>
      <c r="AI127" s="44">
        <f t="shared" si="5"/>
        <v>1</v>
      </c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</row>
    <row r="128" spans="1:55" ht="9.75" customHeight="1" x14ac:dyDescent="0.25">
      <c r="A128" s="23"/>
      <c r="B128" s="2" t="str">
        <f t="shared" si="2"/>
        <v/>
      </c>
      <c r="C128" s="23"/>
      <c r="D128" s="24"/>
      <c r="E128" s="42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3">
        <f t="shared" si="3"/>
        <v>0</v>
      </c>
      <c r="U128" s="39" t="str">
        <f t="shared" ref="U128:AH128" si="124">IF(OR(F128=0,F128&lt;0.00000000001,F128&gt;100000),"",IF((IF(F128&gt;F$5,ABS(LOG(((F$5/SUM($F128:$S128))/(F$4/SUM($F$4:$S$4)))*4+2,2)),ABS(LOG(((F128/SUM($F128:$S128))/(F$4/SUM($F$4:$S$4)))*4+2,2)))-3)&gt;8,(IF(F128&gt;F$5,ABS(LOG(((F$5/SUM($F128:$S128))/(F$4/SUM($F$4:$S$4)))*4+2,2)),ABS(LOG(((F128/SUM($F128:$S128))/(F$4/SUM($F$4:$S$4)))*4+2,2)))-3)/7,IF(F128&gt;F$5,ABS(LOG(((F$5/SUM($F128:$S128))/(F$4/SUM($F$4:$S$4)))*4+2,2)),ABS(LOG(((F128/SUM($F128:$S128))/(F$4/SUM($F$4:$S$4)))*4+2,2)))-3))</f>
        <v/>
      </c>
      <c r="V128" s="39" t="str">
        <f t="shared" si="124"/>
        <v/>
      </c>
      <c r="W128" s="39" t="str">
        <f t="shared" si="124"/>
        <v/>
      </c>
      <c r="X128" s="39" t="str">
        <f t="shared" si="124"/>
        <v/>
      </c>
      <c r="Y128" s="39" t="str">
        <f t="shared" si="124"/>
        <v/>
      </c>
      <c r="Z128" s="39" t="str">
        <f t="shared" si="124"/>
        <v/>
      </c>
      <c r="AA128" s="39" t="str">
        <f t="shared" si="124"/>
        <v/>
      </c>
      <c r="AB128" s="39" t="str">
        <f t="shared" si="124"/>
        <v/>
      </c>
      <c r="AC128" s="39" t="str">
        <f t="shared" si="124"/>
        <v/>
      </c>
      <c r="AD128" s="39" t="str">
        <f t="shared" si="124"/>
        <v/>
      </c>
      <c r="AE128" s="39" t="str">
        <f t="shared" si="124"/>
        <v/>
      </c>
      <c r="AF128" s="39" t="str">
        <f t="shared" si="124"/>
        <v/>
      </c>
      <c r="AG128" s="39" t="str">
        <f t="shared" si="124"/>
        <v/>
      </c>
      <c r="AH128" s="39" t="str">
        <f t="shared" si="124"/>
        <v/>
      </c>
      <c r="AI128" s="44">
        <f t="shared" si="5"/>
        <v>1</v>
      </c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</row>
    <row r="129" spans="1:55" ht="9.75" customHeight="1" x14ac:dyDescent="0.25">
      <c r="A129" s="23"/>
      <c r="B129" s="2" t="str">
        <f t="shared" si="2"/>
        <v/>
      </c>
      <c r="C129" s="23"/>
      <c r="D129" s="24"/>
      <c r="E129" s="42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3">
        <f t="shared" si="3"/>
        <v>0</v>
      </c>
      <c r="U129" s="39" t="str">
        <f t="shared" ref="U129:AH129" si="125">IF(OR(F129=0,F129&lt;0.00000000001,F129&gt;100000),"",IF((IF(F129&gt;F$5,ABS(LOG(((F$5/SUM($F129:$S129))/(F$4/SUM($F$4:$S$4)))*4+2,2)),ABS(LOG(((F129/SUM($F129:$S129))/(F$4/SUM($F$4:$S$4)))*4+2,2)))-3)&gt;8,(IF(F129&gt;F$5,ABS(LOG(((F$5/SUM($F129:$S129))/(F$4/SUM($F$4:$S$4)))*4+2,2)),ABS(LOG(((F129/SUM($F129:$S129))/(F$4/SUM($F$4:$S$4)))*4+2,2)))-3)/7,IF(F129&gt;F$5,ABS(LOG(((F$5/SUM($F129:$S129))/(F$4/SUM($F$4:$S$4)))*4+2,2)),ABS(LOG(((F129/SUM($F129:$S129))/(F$4/SUM($F$4:$S$4)))*4+2,2)))-3))</f>
        <v/>
      </c>
      <c r="V129" s="39" t="str">
        <f t="shared" si="125"/>
        <v/>
      </c>
      <c r="W129" s="39" t="str">
        <f t="shared" si="125"/>
        <v/>
      </c>
      <c r="X129" s="39" t="str">
        <f t="shared" si="125"/>
        <v/>
      </c>
      <c r="Y129" s="39" t="str">
        <f t="shared" si="125"/>
        <v/>
      </c>
      <c r="Z129" s="39" t="str">
        <f t="shared" si="125"/>
        <v/>
      </c>
      <c r="AA129" s="39" t="str">
        <f t="shared" si="125"/>
        <v/>
      </c>
      <c r="AB129" s="39" t="str">
        <f t="shared" si="125"/>
        <v/>
      </c>
      <c r="AC129" s="39" t="str">
        <f t="shared" si="125"/>
        <v/>
      </c>
      <c r="AD129" s="39" t="str">
        <f t="shared" si="125"/>
        <v/>
      </c>
      <c r="AE129" s="39" t="str">
        <f t="shared" si="125"/>
        <v/>
      </c>
      <c r="AF129" s="39" t="str">
        <f t="shared" si="125"/>
        <v/>
      </c>
      <c r="AG129" s="39" t="str">
        <f t="shared" si="125"/>
        <v/>
      </c>
      <c r="AH129" s="39" t="str">
        <f t="shared" si="125"/>
        <v/>
      </c>
      <c r="AI129" s="44">
        <f t="shared" si="5"/>
        <v>1</v>
      </c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</row>
    <row r="130" spans="1:55" ht="9.75" customHeight="1" x14ac:dyDescent="0.25">
      <c r="A130" s="23"/>
      <c r="B130" s="2" t="str">
        <f t="shared" si="2"/>
        <v/>
      </c>
      <c r="C130" s="23"/>
      <c r="D130" s="24"/>
      <c r="E130" s="42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3">
        <f t="shared" si="3"/>
        <v>0</v>
      </c>
      <c r="U130" s="39" t="str">
        <f t="shared" ref="U130:AH130" si="126">IF(OR(F130=0,F130&lt;0.00000000001,F130&gt;100000),"",IF((IF(F130&gt;F$5,ABS(LOG(((F$5/SUM($F130:$S130))/(F$4/SUM($F$4:$S$4)))*4+2,2)),ABS(LOG(((F130/SUM($F130:$S130))/(F$4/SUM($F$4:$S$4)))*4+2,2)))-3)&gt;8,(IF(F130&gt;F$5,ABS(LOG(((F$5/SUM($F130:$S130))/(F$4/SUM($F$4:$S$4)))*4+2,2)),ABS(LOG(((F130/SUM($F130:$S130))/(F$4/SUM($F$4:$S$4)))*4+2,2)))-3)/7,IF(F130&gt;F$5,ABS(LOG(((F$5/SUM($F130:$S130))/(F$4/SUM($F$4:$S$4)))*4+2,2)),ABS(LOG(((F130/SUM($F130:$S130))/(F$4/SUM($F$4:$S$4)))*4+2,2)))-3))</f>
        <v/>
      </c>
      <c r="V130" s="39" t="str">
        <f t="shared" si="126"/>
        <v/>
      </c>
      <c r="W130" s="39" t="str">
        <f t="shared" si="126"/>
        <v/>
      </c>
      <c r="X130" s="39" t="str">
        <f t="shared" si="126"/>
        <v/>
      </c>
      <c r="Y130" s="39" t="str">
        <f t="shared" si="126"/>
        <v/>
      </c>
      <c r="Z130" s="39" t="str">
        <f t="shared" si="126"/>
        <v/>
      </c>
      <c r="AA130" s="39" t="str">
        <f t="shared" si="126"/>
        <v/>
      </c>
      <c r="AB130" s="39" t="str">
        <f t="shared" si="126"/>
        <v/>
      </c>
      <c r="AC130" s="39" t="str">
        <f t="shared" si="126"/>
        <v/>
      </c>
      <c r="AD130" s="39" t="str">
        <f t="shared" si="126"/>
        <v/>
      </c>
      <c r="AE130" s="39" t="str">
        <f t="shared" si="126"/>
        <v/>
      </c>
      <c r="AF130" s="39" t="str">
        <f t="shared" si="126"/>
        <v/>
      </c>
      <c r="AG130" s="39" t="str">
        <f t="shared" si="126"/>
        <v/>
      </c>
      <c r="AH130" s="39" t="str">
        <f t="shared" si="126"/>
        <v/>
      </c>
      <c r="AI130" s="44">
        <f t="shared" si="5"/>
        <v>1</v>
      </c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</row>
    <row r="131" spans="1:55" ht="9.75" customHeight="1" x14ac:dyDescent="0.25">
      <c r="A131" s="23"/>
      <c r="B131" s="2" t="str">
        <f t="shared" si="2"/>
        <v/>
      </c>
      <c r="C131" s="23"/>
      <c r="D131" s="24"/>
      <c r="E131" s="42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3">
        <f t="shared" si="3"/>
        <v>0</v>
      </c>
      <c r="U131" s="39" t="str">
        <f t="shared" ref="U131:AH131" si="127">IF(OR(F131=0,F131&lt;0.00000000001,F131&gt;100000),"",IF((IF(F131&gt;F$5,ABS(LOG(((F$5/SUM($F131:$S131))/(F$4/SUM($F$4:$S$4)))*4+2,2)),ABS(LOG(((F131/SUM($F131:$S131))/(F$4/SUM($F$4:$S$4)))*4+2,2)))-3)&gt;8,(IF(F131&gt;F$5,ABS(LOG(((F$5/SUM($F131:$S131))/(F$4/SUM($F$4:$S$4)))*4+2,2)),ABS(LOG(((F131/SUM($F131:$S131))/(F$4/SUM($F$4:$S$4)))*4+2,2)))-3)/7,IF(F131&gt;F$5,ABS(LOG(((F$5/SUM($F131:$S131))/(F$4/SUM($F$4:$S$4)))*4+2,2)),ABS(LOG(((F131/SUM($F131:$S131))/(F$4/SUM($F$4:$S$4)))*4+2,2)))-3))</f>
        <v/>
      </c>
      <c r="V131" s="39" t="str">
        <f t="shared" si="127"/>
        <v/>
      </c>
      <c r="W131" s="39" t="str">
        <f t="shared" si="127"/>
        <v/>
      </c>
      <c r="X131" s="39" t="str">
        <f t="shared" si="127"/>
        <v/>
      </c>
      <c r="Y131" s="39" t="str">
        <f t="shared" si="127"/>
        <v/>
      </c>
      <c r="Z131" s="39" t="str">
        <f t="shared" si="127"/>
        <v/>
      </c>
      <c r="AA131" s="39" t="str">
        <f t="shared" si="127"/>
        <v/>
      </c>
      <c r="AB131" s="39" t="str">
        <f t="shared" si="127"/>
        <v/>
      </c>
      <c r="AC131" s="39" t="str">
        <f t="shared" si="127"/>
        <v/>
      </c>
      <c r="AD131" s="39" t="str">
        <f t="shared" si="127"/>
        <v/>
      </c>
      <c r="AE131" s="39" t="str">
        <f t="shared" si="127"/>
        <v/>
      </c>
      <c r="AF131" s="39" t="str">
        <f t="shared" si="127"/>
        <v/>
      </c>
      <c r="AG131" s="39" t="str">
        <f t="shared" si="127"/>
        <v/>
      </c>
      <c r="AH131" s="39" t="str">
        <f t="shared" si="127"/>
        <v/>
      </c>
      <c r="AI131" s="44">
        <f t="shared" si="5"/>
        <v>1</v>
      </c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</row>
    <row r="132" spans="1:55" ht="9.75" customHeight="1" x14ac:dyDescent="0.25">
      <c r="A132" s="23"/>
      <c r="B132" s="2" t="str">
        <f t="shared" si="2"/>
        <v/>
      </c>
      <c r="C132" s="23"/>
      <c r="D132" s="24"/>
      <c r="E132" s="42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3">
        <f t="shared" si="3"/>
        <v>0</v>
      </c>
      <c r="U132" s="39" t="str">
        <f t="shared" ref="U132:AH132" si="128">IF(OR(F132=0,F132&lt;0.00000000001,F132&gt;100000),"",IF((IF(F132&gt;F$5,ABS(LOG(((F$5/SUM($F132:$S132))/(F$4/SUM($F$4:$S$4)))*4+2,2)),ABS(LOG(((F132/SUM($F132:$S132))/(F$4/SUM($F$4:$S$4)))*4+2,2)))-3)&gt;8,(IF(F132&gt;F$5,ABS(LOG(((F$5/SUM($F132:$S132))/(F$4/SUM($F$4:$S$4)))*4+2,2)),ABS(LOG(((F132/SUM($F132:$S132))/(F$4/SUM($F$4:$S$4)))*4+2,2)))-3)/7,IF(F132&gt;F$5,ABS(LOG(((F$5/SUM($F132:$S132))/(F$4/SUM($F$4:$S$4)))*4+2,2)),ABS(LOG(((F132/SUM($F132:$S132))/(F$4/SUM($F$4:$S$4)))*4+2,2)))-3))</f>
        <v/>
      </c>
      <c r="V132" s="39" t="str">
        <f t="shared" si="128"/>
        <v/>
      </c>
      <c r="W132" s="39" t="str">
        <f t="shared" si="128"/>
        <v/>
      </c>
      <c r="X132" s="39" t="str">
        <f t="shared" si="128"/>
        <v/>
      </c>
      <c r="Y132" s="39" t="str">
        <f t="shared" si="128"/>
        <v/>
      </c>
      <c r="Z132" s="39" t="str">
        <f t="shared" si="128"/>
        <v/>
      </c>
      <c r="AA132" s="39" t="str">
        <f t="shared" si="128"/>
        <v/>
      </c>
      <c r="AB132" s="39" t="str">
        <f t="shared" si="128"/>
        <v/>
      </c>
      <c r="AC132" s="39" t="str">
        <f t="shared" si="128"/>
        <v/>
      </c>
      <c r="AD132" s="39" t="str">
        <f t="shared" si="128"/>
        <v/>
      </c>
      <c r="AE132" s="39" t="str">
        <f t="shared" si="128"/>
        <v/>
      </c>
      <c r="AF132" s="39" t="str">
        <f t="shared" si="128"/>
        <v/>
      </c>
      <c r="AG132" s="39" t="str">
        <f t="shared" si="128"/>
        <v/>
      </c>
      <c r="AH132" s="39" t="str">
        <f t="shared" si="128"/>
        <v/>
      </c>
      <c r="AI132" s="44">
        <f t="shared" si="5"/>
        <v>1</v>
      </c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</row>
    <row r="133" spans="1:55" ht="9.75" customHeight="1" x14ac:dyDescent="0.25">
      <c r="A133" s="23"/>
      <c r="B133" s="2" t="str">
        <f t="shared" si="2"/>
        <v/>
      </c>
      <c r="C133" s="23"/>
      <c r="D133" s="24"/>
      <c r="E133" s="42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3">
        <f t="shared" si="3"/>
        <v>0</v>
      </c>
      <c r="U133" s="39" t="str">
        <f t="shared" ref="U133:AH133" si="129">IF(OR(F133=0,F133&lt;0.00000000001,F133&gt;100000),"",IF((IF(F133&gt;F$5,ABS(LOG(((F$5/SUM($F133:$S133))/(F$4/SUM($F$4:$S$4)))*4+2,2)),ABS(LOG(((F133/SUM($F133:$S133))/(F$4/SUM($F$4:$S$4)))*4+2,2)))-3)&gt;8,(IF(F133&gt;F$5,ABS(LOG(((F$5/SUM($F133:$S133))/(F$4/SUM($F$4:$S$4)))*4+2,2)),ABS(LOG(((F133/SUM($F133:$S133))/(F$4/SUM($F$4:$S$4)))*4+2,2)))-3)/7,IF(F133&gt;F$5,ABS(LOG(((F$5/SUM($F133:$S133))/(F$4/SUM($F$4:$S$4)))*4+2,2)),ABS(LOG(((F133/SUM($F133:$S133))/(F$4/SUM($F$4:$S$4)))*4+2,2)))-3))</f>
        <v/>
      </c>
      <c r="V133" s="39" t="str">
        <f t="shared" si="129"/>
        <v/>
      </c>
      <c r="W133" s="39" t="str">
        <f t="shared" si="129"/>
        <v/>
      </c>
      <c r="X133" s="39" t="str">
        <f t="shared" si="129"/>
        <v/>
      </c>
      <c r="Y133" s="39" t="str">
        <f t="shared" si="129"/>
        <v/>
      </c>
      <c r="Z133" s="39" t="str">
        <f t="shared" si="129"/>
        <v/>
      </c>
      <c r="AA133" s="39" t="str">
        <f t="shared" si="129"/>
        <v/>
      </c>
      <c r="AB133" s="39" t="str">
        <f t="shared" si="129"/>
        <v/>
      </c>
      <c r="AC133" s="39" t="str">
        <f t="shared" si="129"/>
        <v/>
      </c>
      <c r="AD133" s="39" t="str">
        <f t="shared" si="129"/>
        <v/>
      </c>
      <c r="AE133" s="39" t="str">
        <f t="shared" si="129"/>
        <v/>
      </c>
      <c r="AF133" s="39" t="str">
        <f t="shared" si="129"/>
        <v/>
      </c>
      <c r="AG133" s="39" t="str">
        <f t="shared" si="129"/>
        <v/>
      </c>
      <c r="AH133" s="39" t="str">
        <f t="shared" si="129"/>
        <v/>
      </c>
      <c r="AI133" s="44">
        <f t="shared" si="5"/>
        <v>1</v>
      </c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</row>
    <row r="134" spans="1:55" ht="9.75" customHeight="1" x14ac:dyDescent="0.25">
      <c r="A134" s="23"/>
      <c r="B134" s="2" t="str">
        <f t="shared" si="2"/>
        <v/>
      </c>
      <c r="C134" s="23"/>
      <c r="D134" s="24"/>
      <c r="E134" s="42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3">
        <f t="shared" si="3"/>
        <v>0</v>
      </c>
      <c r="U134" s="39" t="str">
        <f t="shared" ref="U134:AH134" si="130">IF(OR(F134=0,F134&lt;0.00000000001,F134&gt;100000),"",IF((IF(F134&gt;F$5,ABS(LOG(((F$5/SUM($F134:$S134))/(F$4/SUM($F$4:$S$4)))*4+2,2)),ABS(LOG(((F134/SUM($F134:$S134))/(F$4/SUM($F$4:$S$4)))*4+2,2)))-3)&gt;8,(IF(F134&gt;F$5,ABS(LOG(((F$5/SUM($F134:$S134))/(F$4/SUM($F$4:$S$4)))*4+2,2)),ABS(LOG(((F134/SUM($F134:$S134))/(F$4/SUM($F$4:$S$4)))*4+2,2)))-3)/7,IF(F134&gt;F$5,ABS(LOG(((F$5/SUM($F134:$S134))/(F$4/SUM($F$4:$S$4)))*4+2,2)),ABS(LOG(((F134/SUM($F134:$S134))/(F$4/SUM($F$4:$S$4)))*4+2,2)))-3))</f>
        <v/>
      </c>
      <c r="V134" s="39" t="str">
        <f t="shared" si="130"/>
        <v/>
      </c>
      <c r="W134" s="39" t="str">
        <f t="shared" si="130"/>
        <v/>
      </c>
      <c r="X134" s="39" t="str">
        <f t="shared" si="130"/>
        <v/>
      </c>
      <c r="Y134" s="39" t="str">
        <f t="shared" si="130"/>
        <v/>
      </c>
      <c r="Z134" s="39" t="str">
        <f t="shared" si="130"/>
        <v/>
      </c>
      <c r="AA134" s="39" t="str">
        <f t="shared" si="130"/>
        <v/>
      </c>
      <c r="AB134" s="39" t="str">
        <f t="shared" si="130"/>
        <v/>
      </c>
      <c r="AC134" s="39" t="str">
        <f t="shared" si="130"/>
        <v/>
      </c>
      <c r="AD134" s="39" t="str">
        <f t="shared" si="130"/>
        <v/>
      </c>
      <c r="AE134" s="39" t="str">
        <f t="shared" si="130"/>
        <v/>
      </c>
      <c r="AF134" s="39" t="str">
        <f t="shared" si="130"/>
        <v/>
      </c>
      <c r="AG134" s="39" t="str">
        <f t="shared" si="130"/>
        <v/>
      </c>
      <c r="AH134" s="39" t="str">
        <f t="shared" si="130"/>
        <v/>
      </c>
      <c r="AI134" s="44">
        <f t="shared" si="5"/>
        <v>1</v>
      </c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</row>
    <row r="135" spans="1:55" ht="9.75" customHeight="1" x14ac:dyDescent="0.25">
      <c r="A135" s="23"/>
      <c r="B135" s="2" t="str">
        <f t="shared" si="2"/>
        <v/>
      </c>
      <c r="C135" s="23"/>
      <c r="D135" s="24"/>
      <c r="E135" s="42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3">
        <f t="shared" si="3"/>
        <v>0</v>
      </c>
      <c r="U135" s="39" t="str">
        <f t="shared" ref="U135:AH135" si="131">IF(OR(F135=0,F135&lt;0.00000000001,F135&gt;100000),"",IF((IF(F135&gt;F$5,ABS(LOG(((F$5/SUM($F135:$S135))/(F$4/SUM($F$4:$S$4)))*4+2,2)),ABS(LOG(((F135/SUM($F135:$S135))/(F$4/SUM($F$4:$S$4)))*4+2,2)))-3)&gt;8,(IF(F135&gt;F$5,ABS(LOG(((F$5/SUM($F135:$S135))/(F$4/SUM($F$4:$S$4)))*4+2,2)),ABS(LOG(((F135/SUM($F135:$S135))/(F$4/SUM($F$4:$S$4)))*4+2,2)))-3)/7,IF(F135&gt;F$5,ABS(LOG(((F$5/SUM($F135:$S135))/(F$4/SUM($F$4:$S$4)))*4+2,2)),ABS(LOG(((F135/SUM($F135:$S135))/(F$4/SUM($F$4:$S$4)))*4+2,2)))-3))</f>
        <v/>
      </c>
      <c r="V135" s="39" t="str">
        <f t="shared" si="131"/>
        <v/>
      </c>
      <c r="W135" s="39" t="str">
        <f t="shared" si="131"/>
        <v/>
      </c>
      <c r="X135" s="39" t="str">
        <f t="shared" si="131"/>
        <v/>
      </c>
      <c r="Y135" s="39" t="str">
        <f t="shared" si="131"/>
        <v/>
      </c>
      <c r="Z135" s="39" t="str">
        <f t="shared" si="131"/>
        <v/>
      </c>
      <c r="AA135" s="39" t="str">
        <f t="shared" si="131"/>
        <v/>
      </c>
      <c r="AB135" s="39" t="str">
        <f t="shared" si="131"/>
        <v/>
      </c>
      <c r="AC135" s="39" t="str">
        <f t="shared" si="131"/>
        <v/>
      </c>
      <c r="AD135" s="39" t="str">
        <f t="shared" si="131"/>
        <v/>
      </c>
      <c r="AE135" s="39" t="str">
        <f t="shared" si="131"/>
        <v/>
      </c>
      <c r="AF135" s="39" t="str">
        <f t="shared" si="131"/>
        <v/>
      </c>
      <c r="AG135" s="39" t="str">
        <f t="shared" si="131"/>
        <v/>
      </c>
      <c r="AH135" s="39" t="str">
        <f t="shared" si="131"/>
        <v/>
      </c>
      <c r="AI135" s="44">
        <f t="shared" si="5"/>
        <v>1</v>
      </c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</row>
    <row r="136" spans="1:55" ht="9.75" customHeight="1" x14ac:dyDescent="0.25">
      <c r="A136" s="23"/>
      <c r="B136" s="2" t="str">
        <f t="shared" si="2"/>
        <v/>
      </c>
      <c r="C136" s="23"/>
      <c r="D136" s="24"/>
      <c r="E136" s="42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3">
        <f t="shared" si="3"/>
        <v>0</v>
      </c>
      <c r="U136" s="39" t="str">
        <f t="shared" ref="U136:AH136" si="132">IF(OR(F136=0,F136&lt;0.00000000001,F136&gt;100000),"",IF((IF(F136&gt;F$5,ABS(LOG(((F$5/SUM($F136:$S136))/(F$4/SUM($F$4:$S$4)))*4+2,2)),ABS(LOG(((F136/SUM($F136:$S136))/(F$4/SUM($F$4:$S$4)))*4+2,2)))-3)&gt;8,(IF(F136&gt;F$5,ABS(LOG(((F$5/SUM($F136:$S136))/(F$4/SUM($F$4:$S$4)))*4+2,2)),ABS(LOG(((F136/SUM($F136:$S136))/(F$4/SUM($F$4:$S$4)))*4+2,2)))-3)/7,IF(F136&gt;F$5,ABS(LOG(((F$5/SUM($F136:$S136))/(F$4/SUM($F$4:$S$4)))*4+2,2)),ABS(LOG(((F136/SUM($F136:$S136))/(F$4/SUM($F$4:$S$4)))*4+2,2)))-3))</f>
        <v/>
      </c>
      <c r="V136" s="39" t="str">
        <f t="shared" si="132"/>
        <v/>
      </c>
      <c r="W136" s="39" t="str">
        <f t="shared" si="132"/>
        <v/>
      </c>
      <c r="X136" s="39" t="str">
        <f t="shared" si="132"/>
        <v/>
      </c>
      <c r="Y136" s="39" t="str">
        <f t="shared" si="132"/>
        <v/>
      </c>
      <c r="Z136" s="39" t="str">
        <f t="shared" si="132"/>
        <v/>
      </c>
      <c r="AA136" s="39" t="str">
        <f t="shared" si="132"/>
        <v/>
      </c>
      <c r="AB136" s="39" t="str">
        <f t="shared" si="132"/>
        <v/>
      </c>
      <c r="AC136" s="39" t="str">
        <f t="shared" si="132"/>
        <v/>
      </c>
      <c r="AD136" s="39" t="str">
        <f t="shared" si="132"/>
        <v/>
      </c>
      <c r="AE136" s="39" t="str">
        <f t="shared" si="132"/>
        <v/>
      </c>
      <c r="AF136" s="39" t="str">
        <f t="shared" si="132"/>
        <v/>
      </c>
      <c r="AG136" s="39" t="str">
        <f t="shared" si="132"/>
        <v/>
      </c>
      <c r="AH136" s="39" t="str">
        <f t="shared" si="132"/>
        <v/>
      </c>
      <c r="AI136" s="44">
        <f t="shared" si="5"/>
        <v>1</v>
      </c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</row>
    <row r="137" spans="1:55" ht="9.75" customHeight="1" x14ac:dyDescent="0.25">
      <c r="A137" s="23"/>
      <c r="B137" s="2" t="str">
        <f t="shared" si="2"/>
        <v/>
      </c>
      <c r="C137" s="23"/>
      <c r="D137" s="24"/>
      <c r="E137" s="42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3">
        <f t="shared" si="3"/>
        <v>0</v>
      </c>
      <c r="U137" s="39" t="str">
        <f t="shared" ref="U137:AH137" si="133">IF(OR(F137=0,F137&lt;0.00000000001,F137&gt;100000),"",IF((IF(F137&gt;F$5,ABS(LOG(((F$5/SUM($F137:$S137))/(F$4/SUM($F$4:$S$4)))*4+2,2)),ABS(LOG(((F137/SUM($F137:$S137))/(F$4/SUM($F$4:$S$4)))*4+2,2)))-3)&gt;8,(IF(F137&gt;F$5,ABS(LOG(((F$5/SUM($F137:$S137))/(F$4/SUM($F$4:$S$4)))*4+2,2)),ABS(LOG(((F137/SUM($F137:$S137))/(F$4/SUM($F$4:$S$4)))*4+2,2)))-3)/7,IF(F137&gt;F$5,ABS(LOG(((F$5/SUM($F137:$S137))/(F$4/SUM($F$4:$S$4)))*4+2,2)),ABS(LOG(((F137/SUM($F137:$S137))/(F$4/SUM($F$4:$S$4)))*4+2,2)))-3))</f>
        <v/>
      </c>
      <c r="V137" s="39" t="str">
        <f t="shared" si="133"/>
        <v/>
      </c>
      <c r="W137" s="39" t="str">
        <f t="shared" si="133"/>
        <v/>
      </c>
      <c r="X137" s="39" t="str">
        <f t="shared" si="133"/>
        <v/>
      </c>
      <c r="Y137" s="39" t="str">
        <f t="shared" si="133"/>
        <v/>
      </c>
      <c r="Z137" s="39" t="str">
        <f t="shared" si="133"/>
        <v/>
      </c>
      <c r="AA137" s="39" t="str">
        <f t="shared" si="133"/>
        <v/>
      </c>
      <c r="AB137" s="39" t="str">
        <f t="shared" si="133"/>
        <v/>
      </c>
      <c r="AC137" s="39" t="str">
        <f t="shared" si="133"/>
        <v/>
      </c>
      <c r="AD137" s="39" t="str">
        <f t="shared" si="133"/>
        <v/>
      </c>
      <c r="AE137" s="39" t="str">
        <f t="shared" si="133"/>
        <v/>
      </c>
      <c r="AF137" s="39" t="str">
        <f t="shared" si="133"/>
        <v/>
      </c>
      <c r="AG137" s="39" t="str">
        <f t="shared" si="133"/>
        <v/>
      </c>
      <c r="AH137" s="39" t="str">
        <f t="shared" si="133"/>
        <v/>
      </c>
      <c r="AI137" s="44">
        <f t="shared" si="5"/>
        <v>1</v>
      </c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</row>
    <row r="138" spans="1:55" ht="9.75" customHeight="1" x14ac:dyDescent="0.25">
      <c r="A138" s="23"/>
      <c r="B138" s="2" t="str">
        <f t="shared" si="2"/>
        <v/>
      </c>
      <c r="C138" s="23"/>
      <c r="D138" s="24"/>
      <c r="E138" s="42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3">
        <f t="shared" si="3"/>
        <v>0</v>
      </c>
      <c r="U138" s="39" t="str">
        <f t="shared" ref="U138:AH138" si="134">IF(OR(F138=0,F138&lt;0.00000000001,F138&gt;100000),"",IF((IF(F138&gt;F$5,ABS(LOG(((F$5/SUM($F138:$S138))/(F$4/SUM($F$4:$S$4)))*4+2,2)),ABS(LOG(((F138/SUM($F138:$S138))/(F$4/SUM($F$4:$S$4)))*4+2,2)))-3)&gt;8,(IF(F138&gt;F$5,ABS(LOG(((F$5/SUM($F138:$S138))/(F$4/SUM($F$4:$S$4)))*4+2,2)),ABS(LOG(((F138/SUM($F138:$S138))/(F$4/SUM($F$4:$S$4)))*4+2,2)))-3)/7,IF(F138&gt;F$5,ABS(LOG(((F$5/SUM($F138:$S138))/(F$4/SUM($F$4:$S$4)))*4+2,2)),ABS(LOG(((F138/SUM($F138:$S138))/(F$4/SUM($F$4:$S$4)))*4+2,2)))-3))</f>
        <v/>
      </c>
      <c r="V138" s="39" t="str">
        <f t="shared" si="134"/>
        <v/>
      </c>
      <c r="W138" s="39" t="str">
        <f t="shared" si="134"/>
        <v/>
      </c>
      <c r="X138" s="39" t="str">
        <f t="shared" si="134"/>
        <v/>
      </c>
      <c r="Y138" s="39" t="str">
        <f t="shared" si="134"/>
        <v/>
      </c>
      <c r="Z138" s="39" t="str">
        <f t="shared" si="134"/>
        <v/>
      </c>
      <c r="AA138" s="39" t="str">
        <f t="shared" si="134"/>
        <v/>
      </c>
      <c r="AB138" s="39" t="str">
        <f t="shared" si="134"/>
        <v/>
      </c>
      <c r="AC138" s="39" t="str">
        <f t="shared" si="134"/>
        <v/>
      </c>
      <c r="AD138" s="39" t="str">
        <f t="shared" si="134"/>
        <v/>
      </c>
      <c r="AE138" s="39" t="str">
        <f t="shared" si="134"/>
        <v/>
      </c>
      <c r="AF138" s="39" t="str">
        <f t="shared" si="134"/>
        <v/>
      </c>
      <c r="AG138" s="39" t="str">
        <f t="shared" si="134"/>
        <v/>
      </c>
      <c r="AH138" s="39" t="str">
        <f t="shared" si="134"/>
        <v/>
      </c>
      <c r="AI138" s="44">
        <f t="shared" si="5"/>
        <v>1</v>
      </c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</row>
    <row r="139" spans="1:55" ht="9.75" customHeight="1" x14ac:dyDescent="0.25">
      <c r="A139" s="23"/>
      <c r="B139" s="2" t="str">
        <f t="shared" si="2"/>
        <v/>
      </c>
      <c r="C139" s="23"/>
      <c r="D139" s="24"/>
      <c r="E139" s="42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3">
        <f t="shared" si="3"/>
        <v>0</v>
      </c>
      <c r="U139" s="39" t="str">
        <f t="shared" ref="U139:AH139" si="135">IF(OR(F139=0,F139&lt;0.00000000001,F139&gt;100000),"",IF((IF(F139&gt;F$5,ABS(LOG(((F$5/SUM($F139:$S139))/(F$4/SUM($F$4:$S$4)))*4+2,2)),ABS(LOG(((F139/SUM($F139:$S139))/(F$4/SUM($F$4:$S$4)))*4+2,2)))-3)&gt;8,(IF(F139&gt;F$5,ABS(LOG(((F$5/SUM($F139:$S139))/(F$4/SUM($F$4:$S$4)))*4+2,2)),ABS(LOG(((F139/SUM($F139:$S139))/(F$4/SUM($F$4:$S$4)))*4+2,2)))-3)/7,IF(F139&gt;F$5,ABS(LOG(((F$5/SUM($F139:$S139))/(F$4/SUM($F$4:$S$4)))*4+2,2)),ABS(LOG(((F139/SUM($F139:$S139))/(F$4/SUM($F$4:$S$4)))*4+2,2)))-3))</f>
        <v/>
      </c>
      <c r="V139" s="39" t="str">
        <f t="shared" si="135"/>
        <v/>
      </c>
      <c r="W139" s="39" t="str">
        <f t="shared" si="135"/>
        <v/>
      </c>
      <c r="X139" s="39" t="str">
        <f t="shared" si="135"/>
        <v/>
      </c>
      <c r="Y139" s="39" t="str">
        <f t="shared" si="135"/>
        <v/>
      </c>
      <c r="Z139" s="39" t="str">
        <f t="shared" si="135"/>
        <v/>
      </c>
      <c r="AA139" s="39" t="str">
        <f t="shared" si="135"/>
        <v/>
      </c>
      <c r="AB139" s="39" t="str">
        <f t="shared" si="135"/>
        <v/>
      </c>
      <c r="AC139" s="39" t="str">
        <f t="shared" si="135"/>
        <v/>
      </c>
      <c r="AD139" s="39" t="str">
        <f t="shared" si="135"/>
        <v/>
      </c>
      <c r="AE139" s="39" t="str">
        <f t="shared" si="135"/>
        <v/>
      </c>
      <c r="AF139" s="39" t="str">
        <f t="shared" si="135"/>
        <v/>
      </c>
      <c r="AG139" s="39" t="str">
        <f t="shared" si="135"/>
        <v/>
      </c>
      <c r="AH139" s="39" t="str">
        <f t="shared" si="135"/>
        <v/>
      </c>
      <c r="AI139" s="44">
        <f t="shared" si="5"/>
        <v>1</v>
      </c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</row>
    <row r="140" spans="1:55" ht="9.75" customHeight="1" x14ac:dyDescent="0.25">
      <c r="A140" s="23"/>
      <c r="B140" s="2" t="str">
        <f t="shared" si="2"/>
        <v/>
      </c>
      <c r="C140" s="23"/>
      <c r="D140" s="24"/>
      <c r="E140" s="42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3">
        <f t="shared" si="3"/>
        <v>0</v>
      </c>
      <c r="U140" s="39" t="str">
        <f t="shared" ref="U140:AH140" si="136">IF(OR(F140=0,F140&lt;0.00000000001,F140&gt;100000),"",IF((IF(F140&gt;F$5,ABS(LOG(((F$5/SUM($F140:$S140))/(F$4/SUM($F$4:$S$4)))*4+2,2)),ABS(LOG(((F140/SUM($F140:$S140))/(F$4/SUM($F$4:$S$4)))*4+2,2)))-3)&gt;8,(IF(F140&gt;F$5,ABS(LOG(((F$5/SUM($F140:$S140))/(F$4/SUM($F$4:$S$4)))*4+2,2)),ABS(LOG(((F140/SUM($F140:$S140))/(F$4/SUM($F$4:$S$4)))*4+2,2)))-3)/7,IF(F140&gt;F$5,ABS(LOG(((F$5/SUM($F140:$S140))/(F$4/SUM($F$4:$S$4)))*4+2,2)),ABS(LOG(((F140/SUM($F140:$S140))/(F$4/SUM($F$4:$S$4)))*4+2,2)))-3))</f>
        <v/>
      </c>
      <c r="V140" s="39" t="str">
        <f t="shared" si="136"/>
        <v/>
      </c>
      <c r="W140" s="39" t="str">
        <f t="shared" si="136"/>
        <v/>
      </c>
      <c r="X140" s="39" t="str">
        <f t="shared" si="136"/>
        <v/>
      </c>
      <c r="Y140" s="39" t="str">
        <f t="shared" si="136"/>
        <v/>
      </c>
      <c r="Z140" s="39" t="str">
        <f t="shared" si="136"/>
        <v/>
      </c>
      <c r="AA140" s="39" t="str">
        <f t="shared" si="136"/>
        <v/>
      </c>
      <c r="AB140" s="39" t="str">
        <f t="shared" si="136"/>
        <v/>
      </c>
      <c r="AC140" s="39" t="str">
        <f t="shared" si="136"/>
        <v/>
      </c>
      <c r="AD140" s="39" t="str">
        <f t="shared" si="136"/>
        <v/>
      </c>
      <c r="AE140" s="39" t="str">
        <f t="shared" si="136"/>
        <v/>
      </c>
      <c r="AF140" s="39" t="str">
        <f t="shared" si="136"/>
        <v/>
      </c>
      <c r="AG140" s="39" t="str">
        <f t="shared" si="136"/>
        <v/>
      </c>
      <c r="AH140" s="39" t="str">
        <f t="shared" si="136"/>
        <v/>
      </c>
      <c r="AI140" s="44">
        <f t="shared" si="5"/>
        <v>1</v>
      </c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</row>
    <row r="141" spans="1:55" ht="9.75" customHeight="1" x14ac:dyDescent="0.25">
      <c r="A141" s="23"/>
      <c r="B141" s="2" t="str">
        <f t="shared" si="2"/>
        <v/>
      </c>
      <c r="C141" s="23"/>
      <c r="D141" s="24"/>
      <c r="E141" s="42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3">
        <f t="shared" si="3"/>
        <v>0</v>
      </c>
      <c r="U141" s="39" t="str">
        <f t="shared" ref="U141:AH141" si="137">IF(OR(F141=0,F141&lt;0.00000000001,F141&gt;100000),"",IF((IF(F141&gt;F$5,ABS(LOG(((F$5/SUM($F141:$S141))/(F$4/SUM($F$4:$S$4)))*4+2,2)),ABS(LOG(((F141/SUM($F141:$S141))/(F$4/SUM($F$4:$S$4)))*4+2,2)))-3)&gt;8,(IF(F141&gt;F$5,ABS(LOG(((F$5/SUM($F141:$S141))/(F$4/SUM($F$4:$S$4)))*4+2,2)),ABS(LOG(((F141/SUM($F141:$S141))/(F$4/SUM($F$4:$S$4)))*4+2,2)))-3)/7,IF(F141&gt;F$5,ABS(LOG(((F$5/SUM($F141:$S141))/(F$4/SUM($F$4:$S$4)))*4+2,2)),ABS(LOG(((F141/SUM($F141:$S141))/(F$4/SUM($F$4:$S$4)))*4+2,2)))-3))</f>
        <v/>
      </c>
      <c r="V141" s="39" t="str">
        <f t="shared" si="137"/>
        <v/>
      </c>
      <c r="W141" s="39" t="str">
        <f t="shared" si="137"/>
        <v/>
      </c>
      <c r="X141" s="39" t="str">
        <f t="shared" si="137"/>
        <v/>
      </c>
      <c r="Y141" s="39" t="str">
        <f t="shared" si="137"/>
        <v/>
      </c>
      <c r="Z141" s="39" t="str">
        <f t="shared" si="137"/>
        <v/>
      </c>
      <c r="AA141" s="39" t="str">
        <f t="shared" si="137"/>
        <v/>
      </c>
      <c r="AB141" s="39" t="str">
        <f t="shared" si="137"/>
        <v/>
      </c>
      <c r="AC141" s="39" t="str">
        <f t="shared" si="137"/>
        <v/>
      </c>
      <c r="AD141" s="39" t="str">
        <f t="shared" si="137"/>
        <v/>
      </c>
      <c r="AE141" s="39" t="str">
        <f t="shared" si="137"/>
        <v/>
      </c>
      <c r="AF141" s="39" t="str">
        <f t="shared" si="137"/>
        <v/>
      </c>
      <c r="AG141" s="39" t="str">
        <f t="shared" si="137"/>
        <v/>
      </c>
      <c r="AH141" s="39" t="str">
        <f t="shared" si="137"/>
        <v/>
      </c>
      <c r="AI141" s="44">
        <f t="shared" si="5"/>
        <v>1</v>
      </c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</row>
    <row r="142" spans="1:55" ht="9.75" customHeight="1" x14ac:dyDescent="0.25">
      <c r="A142" s="23"/>
      <c r="B142" s="2" t="str">
        <f t="shared" si="2"/>
        <v/>
      </c>
      <c r="C142" s="23"/>
      <c r="D142" s="24"/>
      <c r="E142" s="42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3">
        <f t="shared" si="3"/>
        <v>0</v>
      </c>
      <c r="U142" s="39" t="str">
        <f t="shared" ref="U142:AH142" si="138">IF(OR(F142=0,F142&lt;0.00000000001,F142&gt;100000),"",IF((IF(F142&gt;F$5,ABS(LOG(((F$5/SUM($F142:$S142))/(F$4/SUM($F$4:$S$4)))*4+2,2)),ABS(LOG(((F142/SUM($F142:$S142))/(F$4/SUM($F$4:$S$4)))*4+2,2)))-3)&gt;8,(IF(F142&gt;F$5,ABS(LOG(((F$5/SUM($F142:$S142))/(F$4/SUM($F$4:$S$4)))*4+2,2)),ABS(LOG(((F142/SUM($F142:$S142))/(F$4/SUM($F$4:$S$4)))*4+2,2)))-3)/7,IF(F142&gt;F$5,ABS(LOG(((F$5/SUM($F142:$S142))/(F$4/SUM($F$4:$S$4)))*4+2,2)),ABS(LOG(((F142/SUM($F142:$S142))/(F$4/SUM($F$4:$S$4)))*4+2,2)))-3))</f>
        <v/>
      </c>
      <c r="V142" s="39" t="str">
        <f t="shared" si="138"/>
        <v/>
      </c>
      <c r="W142" s="39" t="str">
        <f t="shared" si="138"/>
        <v/>
      </c>
      <c r="X142" s="39" t="str">
        <f t="shared" si="138"/>
        <v/>
      </c>
      <c r="Y142" s="39" t="str">
        <f t="shared" si="138"/>
        <v/>
      </c>
      <c r="Z142" s="39" t="str">
        <f t="shared" si="138"/>
        <v/>
      </c>
      <c r="AA142" s="39" t="str">
        <f t="shared" si="138"/>
        <v/>
      </c>
      <c r="AB142" s="39" t="str">
        <f t="shared" si="138"/>
        <v/>
      </c>
      <c r="AC142" s="39" t="str">
        <f t="shared" si="138"/>
        <v/>
      </c>
      <c r="AD142" s="39" t="str">
        <f t="shared" si="138"/>
        <v/>
      </c>
      <c r="AE142" s="39" t="str">
        <f t="shared" si="138"/>
        <v/>
      </c>
      <c r="AF142" s="39" t="str">
        <f t="shared" si="138"/>
        <v/>
      </c>
      <c r="AG142" s="39" t="str">
        <f t="shared" si="138"/>
        <v/>
      </c>
      <c r="AH142" s="39" t="str">
        <f t="shared" si="138"/>
        <v/>
      </c>
      <c r="AI142" s="44">
        <f t="shared" si="5"/>
        <v>1</v>
      </c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</row>
    <row r="143" spans="1:55" ht="9.75" customHeight="1" x14ac:dyDescent="0.25">
      <c r="A143" s="23"/>
      <c r="B143" s="2" t="str">
        <f t="shared" si="2"/>
        <v/>
      </c>
      <c r="C143" s="23"/>
      <c r="D143" s="24"/>
      <c r="E143" s="42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3">
        <f t="shared" si="3"/>
        <v>0</v>
      </c>
      <c r="U143" s="39" t="str">
        <f t="shared" ref="U143:AH143" si="139">IF(OR(F143=0,F143&lt;0.00000000001,F143&gt;100000),"",IF((IF(F143&gt;F$5,ABS(LOG(((F$5/SUM($F143:$S143))/(F$4/SUM($F$4:$S$4)))*4+2,2)),ABS(LOG(((F143/SUM($F143:$S143))/(F$4/SUM($F$4:$S$4)))*4+2,2)))-3)&gt;8,(IF(F143&gt;F$5,ABS(LOG(((F$5/SUM($F143:$S143))/(F$4/SUM($F$4:$S$4)))*4+2,2)),ABS(LOG(((F143/SUM($F143:$S143))/(F$4/SUM($F$4:$S$4)))*4+2,2)))-3)/7,IF(F143&gt;F$5,ABS(LOG(((F$5/SUM($F143:$S143))/(F$4/SUM($F$4:$S$4)))*4+2,2)),ABS(LOG(((F143/SUM($F143:$S143))/(F$4/SUM($F$4:$S$4)))*4+2,2)))-3))</f>
        <v/>
      </c>
      <c r="V143" s="39" t="str">
        <f t="shared" si="139"/>
        <v/>
      </c>
      <c r="W143" s="39" t="str">
        <f t="shared" si="139"/>
        <v/>
      </c>
      <c r="X143" s="39" t="str">
        <f t="shared" si="139"/>
        <v/>
      </c>
      <c r="Y143" s="39" t="str">
        <f t="shared" si="139"/>
        <v/>
      </c>
      <c r="Z143" s="39" t="str">
        <f t="shared" si="139"/>
        <v/>
      </c>
      <c r="AA143" s="39" t="str">
        <f t="shared" si="139"/>
        <v/>
      </c>
      <c r="AB143" s="39" t="str">
        <f t="shared" si="139"/>
        <v/>
      </c>
      <c r="AC143" s="39" t="str">
        <f t="shared" si="139"/>
        <v/>
      </c>
      <c r="AD143" s="39" t="str">
        <f t="shared" si="139"/>
        <v/>
      </c>
      <c r="AE143" s="39" t="str">
        <f t="shared" si="139"/>
        <v/>
      </c>
      <c r="AF143" s="39" t="str">
        <f t="shared" si="139"/>
        <v/>
      </c>
      <c r="AG143" s="39" t="str">
        <f t="shared" si="139"/>
        <v/>
      </c>
      <c r="AH143" s="39" t="str">
        <f t="shared" si="139"/>
        <v/>
      </c>
      <c r="AI143" s="44">
        <f t="shared" si="5"/>
        <v>1</v>
      </c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</row>
    <row r="144" spans="1:55" ht="9.75" customHeight="1" x14ac:dyDescent="0.25">
      <c r="A144" s="23"/>
      <c r="B144" s="2" t="str">
        <f t="shared" si="2"/>
        <v/>
      </c>
      <c r="C144" s="23"/>
      <c r="D144" s="24"/>
      <c r="E144" s="42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3">
        <f t="shared" si="3"/>
        <v>0</v>
      </c>
      <c r="U144" s="39" t="str">
        <f t="shared" ref="U144:AH144" si="140">IF(OR(F144=0,F144&lt;0.00000000001,F144&gt;100000),"",IF((IF(F144&gt;F$5,ABS(LOG(((F$5/SUM($F144:$S144))/(F$4/SUM($F$4:$S$4)))*4+2,2)),ABS(LOG(((F144/SUM($F144:$S144))/(F$4/SUM($F$4:$S$4)))*4+2,2)))-3)&gt;8,(IF(F144&gt;F$5,ABS(LOG(((F$5/SUM($F144:$S144))/(F$4/SUM($F$4:$S$4)))*4+2,2)),ABS(LOG(((F144/SUM($F144:$S144))/(F$4/SUM($F$4:$S$4)))*4+2,2)))-3)/7,IF(F144&gt;F$5,ABS(LOG(((F$5/SUM($F144:$S144))/(F$4/SUM($F$4:$S$4)))*4+2,2)),ABS(LOG(((F144/SUM($F144:$S144))/(F$4/SUM($F$4:$S$4)))*4+2,2)))-3))</f>
        <v/>
      </c>
      <c r="V144" s="39" t="str">
        <f t="shared" si="140"/>
        <v/>
      </c>
      <c r="W144" s="39" t="str">
        <f t="shared" si="140"/>
        <v/>
      </c>
      <c r="X144" s="39" t="str">
        <f t="shared" si="140"/>
        <v/>
      </c>
      <c r="Y144" s="39" t="str">
        <f t="shared" si="140"/>
        <v/>
      </c>
      <c r="Z144" s="39" t="str">
        <f t="shared" si="140"/>
        <v/>
      </c>
      <c r="AA144" s="39" t="str">
        <f t="shared" si="140"/>
        <v/>
      </c>
      <c r="AB144" s="39" t="str">
        <f t="shared" si="140"/>
        <v/>
      </c>
      <c r="AC144" s="39" t="str">
        <f t="shared" si="140"/>
        <v/>
      </c>
      <c r="AD144" s="39" t="str">
        <f t="shared" si="140"/>
        <v/>
      </c>
      <c r="AE144" s="39" t="str">
        <f t="shared" si="140"/>
        <v/>
      </c>
      <c r="AF144" s="39" t="str">
        <f t="shared" si="140"/>
        <v/>
      </c>
      <c r="AG144" s="39" t="str">
        <f t="shared" si="140"/>
        <v/>
      </c>
      <c r="AH144" s="39" t="str">
        <f t="shared" si="140"/>
        <v/>
      </c>
      <c r="AI144" s="44">
        <f t="shared" si="5"/>
        <v>1</v>
      </c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</row>
    <row r="145" spans="1:55" ht="9.75" customHeight="1" x14ac:dyDescent="0.25">
      <c r="A145" s="23"/>
      <c r="B145" s="2" t="str">
        <f t="shared" si="2"/>
        <v/>
      </c>
      <c r="C145" s="23"/>
      <c r="D145" s="24"/>
      <c r="E145" s="42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3">
        <f t="shared" si="3"/>
        <v>0</v>
      </c>
      <c r="U145" s="39" t="str">
        <f t="shared" ref="U145:AH145" si="141">IF(OR(F145=0,F145&lt;0.00000000001,F145&gt;100000),"",IF((IF(F145&gt;F$5,ABS(LOG(((F$5/SUM($F145:$S145))/(F$4/SUM($F$4:$S$4)))*4+2,2)),ABS(LOG(((F145/SUM($F145:$S145))/(F$4/SUM($F$4:$S$4)))*4+2,2)))-3)&gt;8,(IF(F145&gt;F$5,ABS(LOG(((F$5/SUM($F145:$S145))/(F$4/SUM($F$4:$S$4)))*4+2,2)),ABS(LOG(((F145/SUM($F145:$S145))/(F$4/SUM($F$4:$S$4)))*4+2,2)))-3)/7,IF(F145&gt;F$5,ABS(LOG(((F$5/SUM($F145:$S145))/(F$4/SUM($F$4:$S$4)))*4+2,2)),ABS(LOG(((F145/SUM($F145:$S145))/(F$4/SUM($F$4:$S$4)))*4+2,2)))-3))</f>
        <v/>
      </c>
      <c r="V145" s="39" t="str">
        <f t="shared" si="141"/>
        <v/>
      </c>
      <c r="W145" s="39" t="str">
        <f t="shared" si="141"/>
        <v/>
      </c>
      <c r="X145" s="39" t="str">
        <f t="shared" si="141"/>
        <v/>
      </c>
      <c r="Y145" s="39" t="str">
        <f t="shared" si="141"/>
        <v/>
      </c>
      <c r="Z145" s="39" t="str">
        <f t="shared" si="141"/>
        <v/>
      </c>
      <c r="AA145" s="39" t="str">
        <f t="shared" si="141"/>
        <v/>
      </c>
      <c r="AB145" s="39" t="str">
        <f t="shared" si="141"/>
        <v/>
      </c>
      <c r="AC145" s="39" t="str">
        <f t="shared" si="141"/>
        <v/>
      </c>
      <c r="AD145" s="39" t="str">
        <f t="shared" si="141"/>
        <v/>
      </c>
      <c r="AE145" s="39" t="str">
        <f t="shared" si="141"/>
        <v/>
      </c>
      <c r="AF145" s="39" t="str">
        <f t="shared" si="141"/>
        <v/>
      </c>
      <c r="AG145" s="39" t="str">
        <f t="shared" si="141"/>
        <v/>
      </c>
      <c r="AH145" s="39" t="str">
        <f t="shared" si="141"/>
        <v/>
      </c>
      <c r="AI145" s="44">
        <f t="shared" si="5"/>
        <v>1</v>
      </c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</row>
    <row r="146" spans="1:55" ht="9.75" customHeight="1" x14ac:dyDescent="0.25">
      <c r="A146" s="23"/>
      <c r="B146" s="2" t="str">
        <f t="shared" si="2"/>
        <v/>
      </c>
      <c r="C146" s="23"/>
      <c r="D146" s="24"/>
      <c r="E146" s="42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3">
        <f t="shared" si="3"/>
        <v>0</v>
      </c>
      <c r="U146" s="39" t="str">
        <f t="shared" ref="U146:AH146" si="142">IF(OR(F146=0,F146&lt;0.00000000001,F146&gt;100000),"",IF((IF(F146&gt;F$5,ABS(LOG(((F$5/SUM($F146:$S146))/(F$4/SUM($F$4:$S$4)))*4+2,2)),ABS(LOG(((F146/SUM($F146:$S146))/(F$4/SUM($F$4:$S$4)))*4+2,2)))-3)&gt;8,(IF(F146&gt;F$5,ABS(LOG(((F$5/SUM($F146:$S146))/(F$4/SUM($F$4:$S$4)))*4+2,2)),ABS(LOG(((F146/SUM($F146:$S146))/(F$4/SUM($F$4:$S$4)))*4+2,2)))-3)/7,IF(F146&gt;F$5,ABS(LOG(((F$5/SUM($F146:$S146))/(F$4/SUM($F$4:$S$4)))*4+2,2)),ABS(LOG(((F146/SUM($F146:$S146))/(F$4/SUM($F$4:$S$4)))*4+2,2)))-3))</f>
        <v/>
      </c>
      <c r="V146" s="39" t="str">
        <f t="shared" si="142"/>
        <v/>
      </c>
      <c r="W146" s="39" t="str">
        <f t="shared" si="142"/>
        <v/>
      </c>
      <c r="X146" s="39" t="str">
        <f t="shared" si="142"/>
        <v/>
      </c>
      <c r="Y146" s="39" t="str">
        <f t="shared" si="142"/>
        <v/>
      </c>
      <c r="Z146" s="39" t="str">
        <f t="shared" si="142"/>
        <v/>
      </c>
      <c r="AA146" s="39" t="str">
        <f t="shared" si="142"/>
        <v/>
      </c>
      <c r="AB146" s="39" t="str">
        <f t="shared" si="142"/>
        <v/>
      </c>
      <c r="AC146" s="39" t="str">
        <f t="shared" si="142"/>
        <v/>
      </c>
      <c r="AD146" s="39" t="str">
        <f t="shared" si="142"/>
        <v/>
      </c>
      <c r="AE146" s="39" t="str">
        <f t="shared" si="142"/>
        <v/>
      </c>
      <c r="AF146" s="39" t="str">
        <f t="shared" si="142"/>
        <v/>
      </c>
      <c r="AG146" s="39" t="str">
        <f t="shared" si="142"/>
        <v/>
      </c>
      <c r="AH146" s="39" t="str">
        <f t="shared" si="142"/>
        <v/>
      </c>
      <c r="AI146" s="44">
        <f t="shared" si="5"/>
        <v>1</v>
      </c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</row>
    <row r="147" spans="1:55" ht="9.75" customHeight="1" x14ac:dyDescent="0.25">
      <c r="A147" s="23"/>
      <c r="B147" s="2" t="str">
        <f t="shared" si="2"/>
        <v/>
      </c>
      <c r="C147" s="23"/>
      <c r="D147" s="24"/>
      <c r="E147" s="42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3">
        <f t="shared" si="3"/>
        <v>0</v>
      </c>
      <c r="U147" s="39" t="str">
        <f t="shared" ref="U147:AH147" si="143">IF(OR(F147=0,F147&lt;0.00000000001,F147&gt;100000),"",IF((IF(F147&gt;F$5,ABS(LOG(((F$5/SUM($F147:$S147))/(F$4/SUM($F$4:$S$4)))*4+2,2)),ABS(LOG(((F147/SUM($F147:$S147))/(F$4/SUM($F$4:$S$4)))*4+2,2)))-3)&gt;8,(IF(F147&gt;F$5,ABS(LOG(((F$5/SUM($F147:$S147))/(F$4/SUM($F$4:$S$4)))*4+2,2)),ABS(LOG(((F147/SUM($F147:$S147))/(F$4/SUM($F$4:$S$4)))*4+2,2)))-3)/7,IF(F147&gt;F$5,ABS(LOG(((F$5/SUM($F147:$S147))/(F$4/SUM($F$4:$S$4)))*4+2,2)),ABS(LOG(((F147/SUM($F147:$S147))/(F$4/SUM($F$4:$S$4)))*4+2,2)))-3))</f>
        <v/>
      </c>
      <c r="V147" s="39" t="str">
        <f t="shared" si="143"/>
        <v/>
      </c>
      <c r="W147" s="39" t="str">
        <f t="shared" si="143"/>
        <v/>
      </c>
      <c r="X147" s="39" t="str">
        <f t="shared" si="143"/>
        <v/>
      </c>
      <c r="Y147" s="39" t="str">
        <f t="shared" si="143"/>
        <v/>
      </c>
      <c r="Z147" s="39" t="str">
        <f t="shared" si="143"/>
        <v/>
      </c>
      <c r="AA147" s="39" t="str">
        <f t="shared" si="143"/>
        <v/>
      </c>
      <c r="AB147" s="39" t="str">
        <f t="shared" si="143"/>
        <v/>
      </c>
      <c r="AC147" s="39" t="str">
        <f t="shared" si="143"/>
        <v/>
      </c>
      <c r="AD147" s="39" t="str">
        <f t="shared" si="143"/>
        <v/>
      </c>
      <c r="AE147" s="39" t="str">
        <f t="shared" si="143"/>
        <v/>
      </c>
      <c r="AF147" s="39" t="str">
        <f t="shared" si="143"/>
        <v/>
      </c>
      <c r="AG147" s="39" t="str">
        <f t="shared" si="143"/>
        <v/>
      </c>
      <c r="AH147" s="39" t="str">
        <f t="shared" si="143"/>
        <v/>
      </c>
      <c r="AI147" s="44">
        <f t="shared" si="5"/>
        <v>1</v>
      </c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</row>
    <row r="148" spans="1:55" ht="9.75" customHeight="1" x14ac:dyDescent="0.25">
      <c r="A148" s="23"/>
      <c r="B148" s="2" t="str">
        <f t="shared" si="2"/>
        <v/>
      </c>
      <c r="C148" s="23"/>
      <c r="D148" s="24"/>
      <c r="E148" s="42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3">
        <f t="shared" si="3"/>
        <v>0</v>
      </c>
      <c r="U148" s="39" t="str">
        <f t="shared" ref="U148:AH148" si="144">IF(OR(F148=0,F148&lt;0.00000000001,F148&gt;100000),"",IF((IF(F148&gt;F$5,ABS(LOG(((F$5/SUM($F148:$S148))/(F$4/SUM($F$4:$S$4)))*4+2,2)),ABS(LOG(((F148/SUM($F148:$S148))/(F$4/SUM($F$4:$S$4)))*4+2,2)))-3)&gt;8,(IF(F148&gt;F$5,ABS(LOG(((F$5/SUM($F148:$S148))/(F$4/SUM($F$4:$S$4)))*4+2,2)),ABS(LOG(((F148/SUM($F148:$S148))/(F$4/SUM($F$4:$S$4)))*4+2,2)))-3)/7,IF(F148&gt;F$5,ABS(LOG(((F$5/SUM($F148:$S148))/(F$4/SUM($F$4:$S$4)))*4+2,2)),ABS(LOG(((F148/SUM($F148:$S148))/(F$4/SUM($F$4:$S$4)))*4+2,2)))-3))</f>
        <v/>
      </c>
      <c r="V148" s="39" t="str">
        <f t="shared" si="144"/>
        <v/>
      </c>
      <c r="W148" s="39" t="str">
        <f t="shared" si="144"/>
        <v/>
      </c>
      <c r="X148" s="39" t="str">
        <f t="shared" si="144"/>
        <v/>
      </c>
      <c r="Y148" s="39" t="str">
        <f t="shared" si="144"/>
        <v/>
      </c>
      <c r="Z148" s="39" t="str">
        <f t="shared" si="144"/>
        <v/>
      </c>
      <c r="AA148" s="39" t="str">
        <f t="shared" si="144"/>
        <v/>
      </c>
      <c r="AB148" s="39" t="str">
        <f t="shared" si="144"/>
        <v/>
      </c>
      <c r="AC148" s="39" t="str">
        <f t="shared" si="144"/>
        <v/>
      </c>
      <c r="AD148" s="39" t="str">
        <f t="shared" si="144"/>
        <v/>
      </c>
      <c r="AE148" s="39" t="str">
        <f t="shared" si="144"/>
        <v/>
      </c>
      <c r="AF148" s="39" t="str">
        <f t="shared" si="144"/>
        <v/>
      </c>
      <c r="AG148" s="39" t="str">
        <f t="shared" si="144"/>
        <v/>
      </c>
      <c r="AH148" s="39" t="str">
        <f t="shared" si="144"/>
        <v/>
      </c>
      <c r="AI148" s="44">
        <f t="shared" si="5"/>
        <v>1</v>
      </c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</row>
    <row r="149" spans="1:55" ht="9.75" customHeight="1" x14ac:dyDescent="0.25">
      <c r="A149" s="23"/>
      <c r="B149" s="2" t="str">
        <f t="shared" si="2"/>
        <v/>
      </c>
      <c r="C149" s="23"/>
      <c r="D149" s="24"/>
      <c r="E149" s="42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3">
        <f t="shared" si="3"/>
        <v>0</v>
      </c>
      <c r="U149" s="39" t="str">
        <f t="shared" ref="U149:AH149" si="145">IF(OR(F149=0,F149&lt;0.00000000001,F149&gt;100000),"",IF((IF(F149&gt;F$5,ABS(LOG(((F$5/SUM($F149:$S149))/(F$4/SUM($F$4:$S$4)))*4+2,2)),ABS(LOG(((F149/SUM($F149:$S149))/(F$4/SUM($F$4:$S$4)))*4+2,2)))-3)&gt;8,(IF(F149&gt;F$5,ABS(LOG(((F$5/SUM($F149:$S149))/(F$4/SUM($F$4:$S$4)))*4+2,2)),ABS(LOG(((F149/SUM($F149:$S149))/(F$4/SUM($F$4:$S$4)))*4+2,2)))-3)/7,IF(F149&gt;F$5,ABS(LOG(((F$5/SUM($F149:$S149))/(F$4/SUM($F$4:$S$4)))*4+2,2)),ABS(LOG(((F149/SUM($F149:$S149))/(F$4/SUM($F$4:$S$4)))*4+2,2)))-3))</f>
        <v/>
      </c>
      <c r="V149" s="39" t="str">
        <f t="shared" si="145"/>
        <v/>
      </c>
      <c r="W149" s="39" t="str">
        <f t="shared" si="145"/>
        <v/>
      </c>
      <c r="X149" s="39" t="str">
        <f t="shared" si="145"/>
        <v/>
      </c>
      <c r="Y149" s="39" t="str">
        <f t="shared" si="145"/>
        <v/>
      </c>
      <c r="Z149" s="39" t="str">
        <f t="shared" si="145"/>
        <v/>
      </c>
      <c r="AA149" s="39" t="str">
        <f t="shared" si="145"/>
        <v/>
      </c>
      <c r="AB149" s="39" t="str">
        <f t="shared" si="145"/>
        <v/>
      </c>
      <c r="AC149" s="39" t="str">
        <f t="shared" si="145"/>
        <v/>
      </c>
      <c r="AD149" s="39" t="str">
        <f t="shared" si="145"/>
        <v/>
      </c>
      <c r="AE149" s="39" t="str">
        <f t="shared" si="145"/>
        <v/>
      </c>
      <c r="AF149" s="39" t="str">
        <f t="shared" si="145"/>
        <v/>
      </c>
      <c r="AG149" s="39" t="str">
        <f t="shared" si="145"/>
        <v/>
      </c>
      <c r="AH149" s="39" t="str">
        <f t="shared" si="145"/>
        <v/>
      </c>
      <c r="AI149" s="44">
        <f t="shared" si="5"/>
        <v>1</v>
      </c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</row>
    <row r="150" spans="1:55" ht="9.75" customHeight="1" x14ac:dyDescent="0.25">
      <c r="A150" s="23"/>
      <c r="B150" s="2" t="str">
        <f t="shared" si="2"/>
        <v/>
      </c>
      <c r="C150" s="23"/>
      <c r="D150" s="24"/>
      <c r="E150" s="42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3">
        <f t="shared" si="3"/>
        <v>0</v>
      </c>
      <c r="U150" s="39" t="str">
        <f t="shared" ref="U150:AH150" si="146">IF(OR(F150=0,F150&lt;0.00000000001,F150&gt;100000),"",IF((IF(F150&gt;F$5,ABS(LOG(((F$5/SUM($F150:$S150))/(F$4/SUM($F$4:$S$4)))*4+2,2)),ABS(LOG(((F150/SUM($F150:$S150))/(F$4/SUM($F$4:$S$4)))*4+2,2)))-3)&gt;8,(IF(F150&gt;F$5,ABS(LOG(((F$5/SUM($F150:$S150))/(F$4/SUM($F$4:$S$4)))*4+2,2)),ABS(LOG(((F150/SUM($F150:$S150))/(F$4/SUM($F$4:$S$4)))*4+2,2)))-3)/7,IF(F150&gt;F$5,ABS(LOG(((F$5/SUM($F150:$S150))/(F$4/SUM($F$4:$S$4)))*4+2,2)),ABS(LOG(((F150/SUM($F150:$S150))/(F$4/SUM($F$4:$S$4)))*4+2,2)))-3))</f>
        <v/>
      </c>
      <c r="V150" s="39" t="str">
        <f t="shared" si="146"/>
        <v/>
      </c>
      <c r="W150" s="39" t="str">
        <f t="shared" si="146"/>
        <v/>
      </c>
      <c r="X150" s="39" t="str">
        <f t="shared" si="146"/>
        <v/>
      </c>
      <c r="Y150" s="39" t="str">
        <f t="shared" si="146"/>
        <v/>
      </c>
      <c r="Z150" s="39" t="str">
        <f t="shared" si="146"/>
        <v/>
      </c>
      <c r="AA150" s="39" t="str">
        <f t="shared" si="146"/>
        <v/>
      </c>
      <c r="AB150" s="39" t="str">
        <f t="shared" si="146"/>
        <v/>
      </c>
      <c r="AC150" s="39" t="str">
        <f t="shared" si="146"/>
        <v/>
      </c>
      <c r="AD150" s="39" t="str">
        <f t="shared" si="146"/>
        <v/>
      </c>
      <c r="AE150" s="39" t="str">
        <f t="shared" si="146"/>
        <v/>
      </c>
      <c r="AF150" s="39" t="str">
        <f t="shared" si="146"/>
        <v/>
      </c>
      <c r="AG150" s="39" t="str">
        <f t="shared" si="146"/>
        <v/>
      </c>
      <c r="AH150" s="39" t="str">
        <f t="shared" si="146"/>
        <v/>
      </c>
      <c r="AI150" s="44">
        <f t="shared" si="5"/>
        <v>1</v>
      </c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</row>
    <row r="151" spans="1:55" ht="9.75" customHeight="1" x14ac:dyDescent="0.25">
      <c r="A151" s="23"/>
      <c r="B151" s="2" t="str">
        <f t="shared" si="2"/>
        <v/>
      </c>
      <c r="C151" s="23"/>
      <c r="D151" s="24"/>
      <c r="E151" s="42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3">
        <f t="shared" si="3"/>
        <v>0</v>
      </c>
      <c r="U151" s="39" t="str">
        <f t="shared" ref="U151:AH151" si="147">IF(OR(F151=0,F151&lt;0.00000000001,F151&gt;100000),"",IF((IF(F151&gt;F$5,ABS(LOG(((F$5/SUM($F151:$S151))/(F$4/SUM($F$4:$S$4)))*4+2,2)),ABS(LOG(((F151/SUM($F151:$S151))/(F$4/SUM($F$4:$S$4)))*4+2,2)))-3)&gt;8,(IF(F151&gt;F$5,ABS(LOG(((F$5/SUM($F151:$S151))/(F$4/SUM($F$4:$S$4)))*4+2,2)),ABS(LOG(((F151/SUM($F151:$S151))/(F$4/SUM($F$4:$S$4)))*4+2,2)))-3)/7,IF(F151&gt;F$5,ABS(LOG(((F$5/SUM($F151:$S151))/(F$4/SUM($F$4:$S$4)))*4+2,2)),ABS(LOG(((F151/SUM($F151:$S151))/(F$4/SUM($F$4:$S$4)))*4+2,2)))-3))</f>
        <v/>
      </c>
      <c r="V151" s="39" t="str">
        <f t="shared" si="147"/>
        <v/>
      </c>
      <c r="W151" s="39" t="str">
        <f t="shared" si="147"/>
        <v/>
      </c>
      <c r="X151" s="39" t="str">
        <f t="shared" si="147"/>
        <v/>
      </c>
      <c r="Y151" s="39" t="str">
        <f t="shared" si="147"/>
        <v/>
      </c>
      <c r="Z151" s="39" t="str">
        <f t="shared" si="147"/>
        <v/>
      </c>
      <c r="AA151" s="39" t="str">
        <f t="shared" si="147"/>
        <v/>
      </c>
      <c r="AB151" s="39" t="str">
        <f t="shared" si="147"/>
        <v/>
      </c>
      <c r="AC151" s="39" t="str">
        <f t="shared" si="147"/>
        <v/>
      </c>
      <c r="AD151" s="39" t="str">
        <f t="shared" si="147"/>
        <v/>
      </c>
      <c r="AE151" s="39" t="str">
        <f t="shared" si="147"/>
        <v/>
      </c>
      <c r="AF151" s="39" t="str">
        <f t="shared" si="147"/>
        <v/>
      </c>
      <c r="AG151" s="39" t="str">
        <f t="shared" si="147"/>
        <v/>
      </c>
      <c r="AH151" s="39" t="str">
        <f t="shared" si="147"/>
        <v/>
      </c>
      <c r="AI151" s="44">
        <f t="shared" si="5"/>
        <v>1</v>
      </c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</row>
    <row r="152" spans="1:55" ht="9.75" customHeight="1" x14ac:dyDescent="0.25">
      <c r="A152" s="23"/>
      <c r="B152" s="2" t="str">
        <f t="shared" si="2"/>
        <v/>
      </c>
      <c r="C152" s="23"/>
      <c r="D152" s="24"/>
      <c r="E152" s="42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3">
        <f t="shared" si="3"/>
        <v>0</v>
      </c>
      <c r="U152" s="39" t="str">
        <f t="shared" ref="U152:AH152" si="148">IF(OR(F152=0,F152&lt;0.00000000001,F152&gt;100000),"",IF((IF(F152&gt;F$5,ABS(LOG(((F$5/SUM($F152:$S152))/(F$4/SUM($F$4:$S$4)))*4+2,2)),ABS(LOG(((F152/SUM($F152:$S152))/(F$4/SUM($F$4:$S$4)))*4+2,2)))-3)&gt;8,(IF(F152&gt;F$5,ABS(LOG(((F$5/SUM($F152:$S152))/(F$4/SUM($F$4:$S$4)))*4+2,2)),ABS(LOG(((F152/SUM($F152:$S152))/(F$4/SUM($F$4:$S$4)))*4+2,2)))-3)/7,IF(F152&gt;F$5,ABS(LOG(((F$5/SUM($F152:$S152))/(F$4/SUM($F$4:$S$4)))*4+2,2)),ABS(LOG(((F152/SUM($F152:$S152))/(F$4/SUM($F$4:$S$4)))*4+2,2)))-3))</f>
        <v/>
      </c>
      <c r="V152" s="39" t="str">
        <f t="shared" si="148"/>
        <v/>
      </c>
      <c r="W152" s="39" t="str">
        <f t="shared" si="148"/>
        <v/>
      </c>
      <c r="X152" s="39" t="str">
        <f t="shared" si="148"/>
        <v/>
      </c>
      <c r="Y152" s="39" t="str">
        <f t="shared" si="148"/>
        <v/>
      </c>
      <c r="Z152" s="39" t="str">
        <f t="shared" si="148"/>
        <v/>
      </c>
      <c r="AA152" s="39" t="str">
        <f t="shared" si="148"/>
        <v/>
      </c>
      <c r="AB152" s="39" t="str">
        <f t="shared" si="148"/>
        <v/>
      </c>
      <c r="AC152" s="39" t="str">
        <f t="shared" si="148"/>
        <v/>
      </c>
      <c r="AD152" s="39" t="str">
        <f t="shared" si="148"/>
        <v/>
      </c>
      <c r="AE152" s="39" t="str">
        <f t="shared" si="148"/>
        <v/>
      </c>
      <c r="AF152" s="39" t="str">
        <f t="shared" si="148"/>
        <v/>
      </c>
      <c r="AG152" s="39" t="str">
        <f t="shared" si="148"/>
        <v/>
      </c>
      <c r="AH152" s="39" t="str">
        <f t="shared" si="148"/>
        <v/>
      </c>
      <c r="AI152" s="44">
        <f t="shared" si="5"/>
        <v>1</v>
      </c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</row>
    <row r="153" spans="1:55" ht="9.75" customHeight="1" x14ac:dyDescent="0.25">
      <c r="A153" s="23"/>
      <c r="B153" s="2" t="str">
        <f t="shared" si="2"/>
        <v/>
      </c>
      <c r="C153" s="23"/>
      <c r="D153" s="24"/>
      <c r="E153" s="42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3">
        <f t="shared" si="3"/>
        <v>0</v>
      </c>
      <c r="U153" s="39" t="str">
        <f t="shared" ref="U153:AH153" si="149">IF(OR(F153=0,F153&lt;0.00000000001,F153&gt;100000),"",IF((IF(F153&gt;F$5,ABS(LOG(((F$5/SUM($F153:$S153))/(F$4/SUM($F$4:$S$4)))*4+2,2)),ABS(LOG(((F153/SUM($F153:$S153))/(F$4/SUM($F$4:$S$4)))*4+2,2)))-3)&gt;8,(IF(F153&gt;F$5,ABS(LOG(((F$5/SUM($F153:$S153))/(F$4/SUM($F$4:$S$4)))*4+2,2)),ABS(LOG(((F153/SUM($F153:$S153))/(F$4/SUM($F$4:$S$4)))*4+2,2)))-3)/7,IF(F153&gt;F$5,ABS(LOG(((F$5/SUM($F153:$S153))/(F$4/SUM($F$4:$S$4)))*4+2,2)),ABS(LOG(((F153/SUM($F153:$S153))/(F$4/SUM($F$4:$S$4)))*4+2,2)))-3))</f>
        <v/>
      </c>
      <c r="V153" s="39" t="str">
        <f t="shared" si="149"/>
        <v/>
      </c>
      <c r="W153" s="39" t="str">
        <f t="shared" si="149"/>
        <v/>
      </c>
      <c r="X153" s="39" t="str">
        <f t="shared" si="149"/>
        <v/>
      </c>
      <c r="Y153" s="39" t="str">
        <f t="shared" si="149"/>
        <v/>
      </c>
      <c r="Z153" s="39" t="str">
        <f t="shared" si="149"/>
        <v/>
      </c>
      <c r="AA153" s="39" t="str">
        <f t="shared" si="149"/>
        <v/>
      </c>
      <c r="AB153" s="39" t="str">
        <f t="shared" si="149"/>
        <v/>
      </c>
      <c r="AC153" s="39" t="str">
        <f t="shared" si="149"/>
        <v/>
      </c>
      <c r="AD153" s="39" t="str">
        <f t="shared" si="149"/>
        <v/>
      </c>
      <c r="AE153" s="39" t="str">
        <f t="shared" si="149"/>
        <v/>
      </c>
      <c r="AF153" s="39" t="str">
        <f t="shared" si="149"/>
        <v/>
      </c>
      <c r="AG153" s="39" t="str">
        <f t="shared" si="149"/>
        <v/>
      </c>
      <c r="AH153" s="39" t="str">
        <f t="shared" si="149"/>
        <v/>
      </c>
      <c r="AI153" s="44">
        <f t="shared" si="5"/>
        <v>1</v>
      </c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</row>
    <row r="154" spans="1:55" ht="9.75" customHeight="1" x14ac:dyDescent="0.25">
      <c r="A154" s="23"/>
      <c r="B154" s="2" t="str">
        <f t="shared" si="2"/>
        <v/>
      </c>
      <c r="C154" s="23"/>
      <c r="D154" s="24"/>
      <c r="E154" s="42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3">
        <f t="shared" si="3"/>
        <v>0</v>
      </c>
      <c r="U154" s="39" t="str">
        <f t="shared" ref="U154:AH154" si="150">IF(OR(F154=0,F154&lt;0.00000000001,F154&gt;100000),"",IF((IF(F154&gt;F$5,ABS(LOG(((F$5/SUM($F154:$S154))/(F$4/SUM($F$4:$S$4)))*4+2,2)),ABS(LOG(((F154/SUM($F154:$S154))/(F$4/SUM($F$4:$S$4)))*4+2,2)))-3)&gt;8,(IF(F154&gt;F$5,ABS(LOG(((F$5/SUM($F154:$S154))/(F$4/SUM($F$4:$S$4)))*4+2,2)),ABS(LOG(((F154/SUM($F154:$S154))/(F$4/SUM($F$4:$S$4)))*4+2,2)))-3)/7,IF(F154&gt;F$5,ABS(LOG(((F$5/SUM($F154:$S154))/(F$4/SUM($F$4:$S$4)))*4+2,2)),ABS(LOG(((F154/SUM($F154:$S154))/(F$4/SUM($F$4:$S$4)))*4+2,2)))-3))</f>
        <v/>
      </c>
      <c r="V154" s="39" t="str">
        <f t="shared" si="150"/>
        <v/>
      </c>
      <c r="W154" s="39" t="str">
        <f t="shared" si="150"/>
        <v/>
      </c>
      <c r="X154" s="39" t="str">
        <f t="shared" si="150"/>
        <v/>
      </c>
      <c r="Y154" s="39" t="str">
        <f t="shared" si="150"/>
        <v/>
      </c>
      <c r="Z154" s="39" t="str">
        <f t="shared" si="150"/>
        <v/>
      </c>
      <c r="AA154" s="39" t="str">
        <f t="shared" si="150"/>
        <v/>
      </c>
      <c r="AB154" s="39" t="str">
        <f t="shared" si="150"/>
        <v/>
      </c>
      <c r="AC154" s="39" t="str">
        <f t="shared" si="150"/>
        <v/>
      </c>
      <c r="AD154" s="39" t="str">
        <f t="shared" si="150"/>
        <v/>
      </c>
      <c r="AE154" s="39" t="str">
        <f t="shared" si="150"/>
        <v/>
      </c>
      <c r="AF154" s="39" t="str">
        <f t="shared" si="150"/>
        <v/>
      </c>
      <c r="AG154" s="39" t="str">
        <f t="shared" si="150"/>
        <v/>
      </c>
      <c r="AH154" s="39" t="str">
        <f t="shared" si="150"/>
        <v/>
      </c>
      <c r="AI154" s="44">
        <f t="shared" si="5"/>
        <v>1</v>
      </c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</row>
    <row r="155" spans="1:55" ht="9.75" customHeight="1" x14ac:dyDescent="0.25">
      <c r="A155" s="23"/>
      <c r="B155" s="2" t="str">
        <f t="shared" si="2"/>
        <v/>
      </c>
      <c r="C155" s="23"/>
      <c r="D155" s="24"/>
      <c r="E155" s="42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3">
        <f t="shared" si="3"/>
        <v>0</v>
      </c>
      <c r="U155" s="39" t="str">
        <f t="shared" ref="U155:AH155" si="151">IF(OR(F155=0,F155&lt;0.00000000001,F155&gt;100000),"",IF((IF(F155&gt;F$5,ABS(LOG(((F$5/SUM($F155:$S155))/(F$4/SUM($F$4:$S$4)))*4+2,2)),ABS(LOG(((F155/SUM($F155:$S155))/(F$4/SUM($F$4:$S$4)))*4+2,2)))-3)&gt;8,(IF(F155&gt;F$5,ABS(LOG(((F$5/SUM($F155:$S155))/(F$4/SUM($F$4:$S$4)))*4+2,2)),ABS(LOG(((F155/SUM($F155:$S155))/(F$4/SUM($F$4:$S$4)))*4+2,2)))-3)/7,IF(F155&gt;F$5,ABS(LOG(((F$5/SUM($F155:$S155))/(F$4/SUM($F$4:$S$4)))*4+2,2)),ABS(LOG(((F155/SUM($F155:$S155))/(F$4/SUM($F$4:$S$4)))*4+2,2)))-3))</f>
        <v/>
      </c>
      <c r="V155" s="39" t="str">
        <f t="shared" si="151"/>
        <v/>
      </c>
      <c r="W155" s="39" t="str">
        <f t="shared" si="151"/>
        <v/>
      </c>
      <c r="X155" s="39" t="str">
        <f t="shared" si="151"/>
        <v/>
      </c>
      <c r="Y155" s="39" t="str">
        <f t="shared" si="151"/>
        <v/>
      </c>
      <c r="Z155" s="39" t="str">
        <f t="shared" si="151"/>
        <v/>
      </c>
      <c r="AA155" s="39" t="str">
        <f t="shared" si="151"/>
        <v/>
      </c>
      <c r="AB155" s="39" t="str">
        <f t="shared" si="151"/>
        <v/>
      </c>
      <c r="AC155" s="39" t="str">
        <f t="shared" si="151"/>
        <v/>
      </c>
      <c r="AD155" s="39" t="str">
        <f t="shared" si="151"/>
        <v/>
      </c>
      <c r="AE155" s="39" t="str">
        <f t="shared" si="151"/>
        <v/>
      </c>
      <c r="AF155" s="39" t="str">
        <f t="shared" si="151"/>
        <v/>
      </c>
      <c r="AG155" s="39" t="str">
        <f t="shared" si="151"/>
        <v/>
      </c>
      <c r="AH155" s="39" t="str">
        <f t="shared" si="151"/>
        <v/>
      </c>
      <c r="AI155" s="44">
        <f t="shared" si="5"/>
        <v>1</v>
      </c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</row>
    <row r="156" spans="1:55" ht="9.75" customHeight="1" x14ac:dyDescent="0.25">
      <c r="A156" s="23"/>
      <c r="B156" s="2" t="str">
        <f t="shared" si="2"/>
        <v/>
      </c>
      <c r="C156" s="23"/>
      <c r="D156" s="24"/>
      <c r="E156" s="42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3">
        <f t="shared" si="3"/>
        <v>0</v>
      </c>
      <c r="U156" s="39" t="str">
        <f t="shared" ref="U156:AH156" si="152">IF(OR(F156=0,F156&lt;0.00000000001,F156&gt;100000),"",IF((IF(F156&gt;F$5,ABS(LOG(((F$5/SUM($F156:$S156))/(F$4/SUM($F$4:$S$4)))*4+2,2)),ABS(LOG(((F156/SUM($F156:$S156))/(F$4/SUM($F$4:$S$4)))*4+2,2)))-3)&gt;8,(IF(F156&gt;F$5,ABS(LOG(((F$5/SUM($F156:$S156))/(F$4/SUM($F$4:$S$4)))*4+2,2)),ABS(LOG(((F156/SUM($F156:$S156))/(F$4/SUM($F$4:$S$4)))*4+2,2)))-3)/7,IF(F156&gt;F$5,ABS(LOG(((F$5/SUM($F156:$S156))/(F$4/SUM($F$4:$S$4)))*4+2,2)),ABS(LOG(((F156/SUM($F156:$S156))/(F$4/SUM($F$4:$S$4)))*4+2,2)))-3))</f>
        <v/>
      </c>
      <c r="V156" s="39" t="str">
        <f t="shared" si="152"/>
        <v/>
      </c>
      <c r="W156" s="39" t="str">
        <f t="shared" si="152"/>
        <v/>
      </c>
      <c r="X156" s="39" t="str">
        <f t="shared" si="152"/>
        <v/>
      </c>
      <c r="Y156" s="39" t="str">
        <f t="shared" si="152"/>
        <v/>
      </c>
      <c r="Z156" s="39" t="str">
        <f t="shared" si="152"/>
        <v/>
      </c>
      <c r="AA156" s="39" t="str">
        <f t="shared" si="152"/>
        <v/>
      </c>
      <c r="AB156" s="39" t="str">
        <f t="shared" si="152"/>
        <v/>
      </c>
      <c r="AC156" s="39" t="str">
        <f t="shared" si="152"/>
        <v/>
      </c>
      <c r="AD156" s="39" t="str">
        <f t="shared" si="152"/>
        <v/>
      </c>
      <c r="AE156" s="39" t="str">
        <f t="shared" si="152"/>
        <v/>
      </c>
      <c r="AF156" s="39" t="str">
        <f t="shared" si="152"/>
        <v/>
      </c>
      <c r="AG156" s="39" t="str">
        <f t="shared" si="152"/>
        <v/>
      </c>
      <c r="AH156" s="39" t="str">
        <f t="shared" si="152"/>
        <v/>
      </c>
      <c r="AI156" s="44">
        <f t="shared" si="5"/>
        <v>1</v>
      </c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</row>
    <row r="157" spans="1:55" ht="9.75" customHeight="1" x14ac:dyDescent="0.25">
      <c r="A157" s="23"/>
      <c r="B157" s="2" t="str">
        <f t="shared" si="2"/>
        <v/>
      </c>
      <c r="C157" s="23"/>
      <c r="D157" s="24"/>
      <c r="E157" s="42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3">
        <f t="shared" si="3"/>
        <v>0</v>
      </c>
      <c r="U157" s="39" t="str">
        <f t="shared" ref="U157:AH157" si="153">IF(OR(F157=0,F157&lt;0.00000000001,F157&gt;100000),"",IF((IF(F157&gt;F$5,ABS(LOG(((F$5/SUM($F157:$S157))/(F$4/SUM($F$4:$S$4)))*4+2,2)),ABS(LOG(((F157/SUM($F157:$S157))/(F$4/SUM($F$4:$S$4)))*4+2,2)))-3)&gt;8,(IF(F157&gt;F$5,ABS(LOG(((F$5/SUM($F157:$S157))/(F$4/SUM($F$4:$S$4)))*4+2,2)),ABS(LOG(((F157/SUM($F157:$S157))/(F$4/SUM($F$4:$S$4)))*4+2,2)))-3)/7,IF(F157&gt;F$5,ABS(LOG(((F$5/SUM($F157:$S157))/(F$4/SUM($F$4:$S$4)))*4+2,2)),ABS(LOG(((F157/SUM($F157:$S157))/(F$4/SUM($F$4:$S$4)))*4+2,2)))-3))</f>
        <v/>
      </c>
      <c r="V157" s="39" t="str">
        <f t="shared" si="153"/>
        <v/>
      </c>
      <c r="W157" s="39" t="str">
        <f t="shared" si="153"/>
        <v/>
      </c>
      <c r="X157" s="39" t="str">
        <f t="shared" si="153"/>
        <v/>
      </c>
      <c r="Y157" s="39" t="str">
        <f t="shared" si="153"/>
        <v/>
      </c>
      <c r="Z157" s="39" t="str">
        <f t="shared" si="153"/>
        <v/>
      </c>
      <c r="AA157" s="39" t="str">
        <f t="shared" si="153"/>
        <v/>
      </c>
      <c r="AB157" s="39" t="str">
        <f t="shared" si="153"/>
        <v/>
      </c>
      <c r="AC157" s="39" t="str">
        <f t="shared" si="153"/>
        <v/>
      </c>
      <c r="AD157" s="39" t="str">
        <f t="shared" si="153"/>
        <v/>
      </c>
      <c r="AE157" s="39" t="str">
        <f t="shared" si="153"/>
        <v/>
      </c>
      <c r="AF157" s="39" t="str">
        <f t="shared" si="153"/>
        <v/>
      </c>
      <c r="AG157" s="39" t="str">
        <f t="shared" si="153"/>
        <v/>
      </c>
      <c r="AH157" s="39" t="str">
        <f t="shared" si="153"/>
        <v/>
      </c>
      <c r="AI157" s="44">
        <f t="shared" si="5"/>
        <v>1</v>
      </c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</row>
    <row r="158" spans="1:55" ht="9.75" customHeight="1" x14ac:dyDescent="0.25">
      <c r="A158" s="23"/>
      <c r="B158" s="2" t="str">
        <f t="shared" si="2"/>
        <v/>
      </c>
      <c r="C158" s="23"/>
      <c r="D158" s="24"/>
      <c r="E158" s="42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3">
        <f t="shared" si="3"/>
        <v>0</v>
      </c>
      <c r="U158" s="39" t="str">
        <f t="shared" ref="U158:AH158" si="154">IF(OR(F158=0,F158&lt;0.00000000001,F158&gt;100000),"",IF((IF(F158&gt;F$5,ABS(LOG(((F$5/SUM($F158:$S158))/(F$4/SUM($F$4:$S$4)))*4+2,2)),ABS(LOG(((F158/SUM($F158:$S158))/(F$4/SUM($F$4:$S$4)))*4+2,2)))-3)&gt;8,(IF(F158&gt;F$5,ABS(LOG(((F$5/SUM($F158:$S158))/(F$4/SUM($F$4:$S$4)))*4+2,2)),ABS(LOG(((F158/SUM($F158:$S158))/(F$4/SUM($F$4:$S$4)))*4+2,2)))-3)/7,IF(F158&gt;F$5,ABS(LOG(((F$5/SUM($F158:$S158))/(F$4/SUM($F$4:$S$4)))*4+2,2)),ABS(LOG(((F158/SUM($F158:$S158))/(F$4/SUM($F$4:$S$4)))*4+2,2)))-3))</f>
        <v/>
      </c>
      <c r="V158" s="39" t="str">
        <f t="shared" si="154"/>
        <v/>
      </c>
      <c r="W158" s="39" t="str">
        <f t="shared" si="154"/>
        <v/>
      </c>
      <c r="X158" s="39" t="str">
        <f t="shared" si="154"/>
        <v/>
      </c>
      <c r="Y158" s="39" t="str">
        <f t="shared" si="154"/>
        <v/>
      </c>
      <c r="Z158" s="39" t="str">
        <f t="shared" si="154"/>
        <v/>
      </c>
      <c r="AA158" s="39" t="str">
        <f t="shared" si="154"/>
        <v/>
      </c>
      <c r="AB158" s="39" t="str">
        <f t="shared" si="154"/>
        <v/>
      </c>
      <c r="AC158" s="39" t="str">
        <f t="shared" si="154"/>
        <v/>
      </c>
      <c r="AD158" s="39" t="str">
        <f t="shared" si="154"/>
        <v/>
      </c>
      <c r="AE158" s="39" t="str">
        <f t="shared" si="154"/>
        <v/>
      </c>
      <c r="AF158" s="39" t="str">
        <f t="shared" si="154"/>
        <v/>
      </c>
      <c r="AG158" s="39" t="str">
        <f t="shared" si="154"/>
        <v/>
      </c>
      <c r="AH158" s="39" t="str">
        <f t="shared" si="154"/>
        <v/>
      </c>
      <c r="AI158" s="44">
        <f t="shared" si="5"/>
        <v>1</v>
      </c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</row>
    <row r="159" spans="1:55" ht="9.75" customHeight="1" x14ac:dyDescent="0.25">
      <c r="A159" s="23"/>
      <c r="B159" s="2" t="str">
        <f t="shared" si="2"/>
        <v/>
      </c>
      <c r="C159" s="23"/>
      <c r="D159" s="24"/>
      <c r="E159" s="42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3">
        <f t="shared" si="3"/>
        <v>0</v>
      </c>
      <c r="U159" s="39" t="str">
        <f t="shared" ref="U159:AH159" si="155">IF(OR(F159=0,F159&lt;0.00000000001,F159&gt;100000),"",IF((IF(F159&gt;F$5,ABS(LOG(((F$5/SUM($F159:$S159))/(F$4/SUM($F$4:$S$4)))*4+2,2)),ABS(LOG(((F159/SUM($F159:$S159))/(F$4/SUM($F$4:$S$4)))*4+2,2)))-3)&gt;8,(IF(F159&gt;F$5,ABS(LOG(((F$5/SUM($F159:$S159))/(F$4/SUM($F$4:$S$4)))*4+2,2)),ABS(LOG(((F159/SUM($F159:$S159))/(F$4/SUM($F$4:$S$4)))*4+2,2)))-3)/7,IF(F159&gt;F$5,ABS(LOG(((F$5/SUM($F159:$S159))/(F$4/SUM($F$4:$S$4)))*4+2,2)),ABS(LOG(((F159/SUM($F159:$S159))/(F$4/SUM($F$4:$S$4)))*4+2,2)))-3))</f>
        <v/>
      </c>
      <c r="V159" s="39" t="str">
        <f t="shared" si="155"/>
        <v/>
      </c>
      <c r="W159" s="39" t="str">
        <f t="shared" si="155"/>
        <v/>
      </c>
      <c r="X159" s="39" t="str">
        <f t="shared" si="155"/>
        <v/>
      </c>
      <c r="Y159" s="39" t="str">
        <f t="shared" si="155"/>
        <v/>
      </c>
      <c r="Z159" s="39" t="str">
        <f t="shared" si="155"/>
        <v/>
      </c>
      <c r="AA159" s="39" t="str">
        <f t="shared" si="155"/>
        <v/>
      </c>
      <c r="AB159" s="39" t="str">
        <f t="shared" si="155"/>
        <v/>
      </c>
      <c r="AC159" s="39" t="str">
        <f t="shared" si="155"/>
        <v/>
      </c>
      <c r="AD159" s="39" t="str">
        <f t="shared" si="155"/>
        <v/>
      </c>
      <c r="AE159" s="39" t="str">
        <f t="shared" si="155"/>
        <v/>
      </c>
      <c r="AF159" s="39" t="str">
        <f t="shared" si="155"/>
        <v/>
      </c>
      <c r="AG159" s="39" t="str">
        <f t="shared" si="155"/>
        <v/>
      </c>
      <c r="AH159" s="39" t="str">
        <f t="shared" si="155"/>
        <v/>
      </c>
      <c r="AI159" s="44">
        <f t="shared" si="5"/>
        <v>1</v>
      </c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</row>
    <row r="160" spans="1:55" ht="9.75" customHeight="1" x14ac:dyDescent="0.25">
      <c r="A160" s="23"/>
      <c r="B160" s="2" t="str">
        <f t="shared" si="2"/>
        <v/>
      </c>
      <c r="C160" s="23"/>
      <c r="D160" s="24"/>
      <c r="E160" s="42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3">
        <f t="shared" si="3"/>
        <v>0</v>
      </c>
      <c r="U160" s="39" t="str">
        <f t="shared" ref="U160:AH160" si="156">IF(OR(F160=0,F160&lt;0.00000000001,F160&gt;100000),"",IF((IF(F160&gt;F$5,ABS(LOG(((F$5/SUM($F160:$S160))/(F$4/SUM($F$4:$S$4)))*4+2,2)),ABS(LOG(((F160/SUM($F160:$S160))/(F$4/SUM($F$4:$S$4)))*4+2,2)))-3)&gt;8,(IF(F160&gt;F$5,ABS(LOG(((F$5/SUM($F160:$S160))/(F$4/SUM($F$4:$S$4)))*4+2,2)),ABS(LOG(((F160/SUM($F160:$S160))/(F$4/SUM($F$4:$S$4)))*4+2,2)))-3)/7,IF(F160&gt;F$5,ABS(LOG(((F$5/SUM($F160:$S160))/(F$4/SUM($F$4:$S$4)))*4+2,2)),ABS(LOG(((F160/SUM($F160:$S160))/(F$4/SUM($F$4:$S$4)))*4+2,2)))-3))</f>
        <v/>
      </c>
      <c r="V160" s="39" t="str">
        <f t="shared" si="156"/>
        <v/>
      </c>
      <c r="W160" s="39" t="str">
        <f t="shared" si="156"/>
        <v/>
      </c>
      <c r="X160" s="39" t="str">
        <f t="shared" si="156"/>
        <v/>
      </c>
      <c r="Y160" s="39" t="str">
        <f t="shared" si="156"/>
        <v/>
      </c>
      <c r="Z160" s="39" t="str">
        <f t="shared" si="156"/>
        <v/>
      </c>
      <c r="AA160" s="39" t="str">
        <f t="shared" si="156"/>
        <v/>
      </c>
      <c r="AB160" s="39" t="str">
        <f t="shared" si="156"/>
        <v/>
      </c>
      <c r="AC160" s="39" t="str">
        <f t="shared" si="156"/>
        <v/>
      </c>
      <c r="AD160" s="39" t="str">
        <f t="shared" si="156"/>
        <v/>
      </c>
      <c r="AE160" s="39" t="str">
        <f t="shared" si="156"/>
        <v/>
      </c>
      <c r="AF160" s="39" t="str">
        <f t="shared" si="156"/>
        <v/>
      </c>
      <c r="AG160" s="39" t="str">
        <f t="shared" si="156"/>
        <v/>
      </c>
      <c r="AH160" s="39" t="str">
        <f t="shared" si="156"/>
        <v/>
      </c>
      <c r="AI160" s="44">
        <f t="shared" si="5"/>
        <v>1</v>
      </c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</row>
    <row r="161" spans="1:55" ht="9.75" customHeight="1" x14ac:dyDescent="0.25">
      <c r="A161" s="23"/>
      <c r="B161" s="2" t="str">
        <f t="shared" si="2"/>
        <v/>
      </c>
      <c r="C161" s="23"/>
      <c r="D161" s="24"/>
      <c r="E161" s="42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3">
        <f t="shared" si="3"/>
        <v>0</v>
      </c>
      <c r="U161" s="39" t="str">
        <f t="shared" ref="U161:AH161" si="157">IF(OR(F161=0,F161&lt;0.00000000001,F161&gt;100000),"",IF((IF(F161&gt;F$5,ABS(LOG(((F$5/SUM($F161:$S161))/(F$4/SUM($F$4:$S$4)))*4+2,2)),ABS(LOG(((F161/SUM($F161:$S161))/(F$4/SUM($F$4:$S$4)))*4+2,2)))-3)&gt;8,(IF(F161&gt;F$5,ABS(LOG(((F$5/SUM($F161:$S161))/(F$4/SUM($F$4:$S$4)))*4+2,2)),ABS(LOG(((F161/SUM($F161:$S161))/(F$4/SUM($F$4:$S$4)))*4+2,2)))-3)/7,IF(F161&gt;F$5,ABS(LOG(((F$5/SUM($F161:$S161))/(F$4/SUM($F$4:$S$4)))*4+2,2)),ABS(LOG(((F161/SUM($F161:$S161))/(F$4/SUM($F$4:$S$4)))*4+2,2)))-3))</f>
        <v/>
      </c>
      <c r="V161" s="39" t="str">
        <f t="shared" si="157"/>
        <v/>
      </c>
      <c r="W161" s="39" t="str">
        <f t="shared" si="157"/>
        <v/>
      </c>
      <c r="X161" s="39" t="str">
        <f t="shared" si="157"/>
        <v/>
      </c>
      <c r="Y161" s="39" t="str">
        <f t="shared" si="157"/>
        <v/>
      </c>
      <c r="Z161" s="39" t="str">
        <f t="shared" si="157"/>
        <v/>
      </c>
      <c r="AA161" s="39" t="str">
        <f t="shared" si="157"/>
        <v/>
      </c>
      <c r="AB161" s="39" t="str">
        <f t="shared" si="157"/>
        <v/>
      </c>
      <c r="AC161" s="39" t="str">
        <f t="shared" si="157"/>
        <v/>
      </c>
      <c r="AD161" s="39" t="str">
        <f t="shared" si="157"/>
        <v/>
      </c>
      <c r="AE161" s="39" t="str">
        <f t="shared" si="157"/>
        <v/>
      </c>
      <c r="AF161" s="39" t="str">
        <f t="shared" si="157"/>
        <v/>
      </c>
      <c r="AG161" s="39" t="str">
        <f t="shared" si="157"/>
        <v/>
      </c>
      <c r="AH161" s="39" t="str">
        <f t="shared" si="157"/>
        <v/>
      </c>
      <c r="AI161" s="44">
        <f t="shared" si="5"/>
        <v>1</v>
      </c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</row>
    <row r="162" spans="1:55" ht="9.75" customHeight="1" x14ac:dyDescent="0.25">
      <c r="A162" s="23"/>
      <c r="B162" s="2" t="str">
        <f t="shared" si="2"/>
        <v/>
      </c>
      <c r="C162" s="23"/>
      <c r="D162" s="24"/>
      <c r="E162" s="42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3">
        <f t="shared" si="3"/>
        <v>0</v>
      </c>
      <c r="U162" s="39" t="str">
        <f t="shared" ref="U162:AH162" si="158">IF(OR(F162=0,F162&lt;0.00000000001,F162&gt;100000),"",IF((IF(F162&gt;F$5,ABS(LOG(((F$5/SUM($F162:$S162))/(F$4/SUM($F$4:$S$4)))*4+2,2)),ABS(LOG(((F162/SUM($F162:$S162))/(F$4/SUM($F$4:$S$4)))*4+2,2)))-3)&gt;8,(IF(F162&gt;F$5,ABS(LOG(((F$5/SUM($F162:$S162))/(F$4/SUM($F$4:$S$4)))*4+2,2)),ABS(LOG(((F162/SUM($F162:$S162))/(F$4/SUM($F$4:$S$4)))*4+2,2)))-3)/7,IF(F162&gt;F$5,ABS(LOG(((F$5/SUM($F162:$S162))/(F$4/SUM($F$4:$S$4)))*4+2,2)),ABS(LOG(((F162/SUM($F162:$S162))/(F$4/SUM($F$4:$S$4)))*4+2,2)))-3))</f>
        <v/>
      </c>
      <c r="V162" s="39" t="str">
        <f t="shared" si="158"/>
        <v/>
      </c>
      <c r="W162" s="39" t="str">
        <f t="shared" si="158"/>
        <v/>
      </c>
      <c r="X162" s="39" t="str">
        <f t="shared" si="158"/>
        <v/>
      </c>
      <c r="Y162" s="39" t="str">
        <f t="shared" si="158"/>
        <v/>
      </c>
      <c r="Z162" s="39" t="str">
        <f t="shared" si="158"/>
        <v/>
      </c>
      <c r="AA162" s="39" t="str">
        <f t="shared" si="158"/>
        <v/>
      </c>
      <c r="AB162" s="39" t="str">
        <f t="shared" si="158"/>
        <v/>
      </c>
      <c r="AC162" s="39" t="str">
        <f t="shared" si="158"/>
        <v/>
      </c>
      <c r="AD162" s="39" t="str">
        <f t="shared" si="158"/>
        <v/>
      </c>
      <c r="AE162" s="39" t="str">
        <f t="shared" si="158"/>
        <v/>
      </c>
      <c r="AF162" s="39" t="str">
        <f t="shared" si="158"/>
        <v/>
      </c>
      <c r="AG162" s="39" t="str">
        <f t="shared" si="158"/>
        <v/>
      </c>
      <c r="AH162" s="39" t="str">
        <f t="shared" si="158"/>
        <v/>
      </c>
      <c r="AI162" s="44">
        <f t="shared" si="5"/>
        <v>1</v>
      </c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</row>
    <row r="163" spans="1:55" ht="9.75" customHeight="1" x14ac:dyDescent="0.25">
      <c r="A163" s="23"/>
      <c r="B163" s="2" t="str">
        <f t="shared" si="2"/>
        <v/>
      </c>
      <c r="C163" s="23"/>
      <c r="D163" s="24"/>
      <c r="E163" s="42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3">
        <f t="shared" si="3"/>
        <v>0</v>
      </c>
      <c r="U163" s="39" t="str">
        <f t="shared" ref="U163:AH163" si="159">IF(OR(F163=0,F163&lt;0.00000000001,F163&gt;100000),"",IF((IF(F163&gt;F$5,ABS(LOG(((F$5/SUM($F163:$S163))/(F$4/SUM($F$4:$S$4)))*4+2,2)),ABS(LOG(((F163/SUM($F163:$S163))/(F$4/SUM($F$4:$S$4)))*4+2,2)))-3)&gt;8,(IF(F163&gt;F$5,ABS(LOG(((F$5/SUM($F163:$S163))/(F$4/SUM($F$4:$S$4)))*4+2,2)),ABS(LOG(((F163/SUM($F163:$S163))/(F$4/SUM($F$4:$S$4)))*4+2,2)))-3)/7,IF(F163&gt;F$5,ABS(LOG(((F$5/SUM($F163:$S163))/(F$4/SUM($F$4:$S$4)))*4+2,2)),ABS(LOG(((F163/SUM($F163:$S163))/(F$4/SUM($F$4:$S$4)))*4+2,2)))-3))</f>
        <v/>
      </c>
      <c r="V163" s="39" t="str">
        <f t="shared" si="159"/>
        <v/>
      </c>
      <c r="W163" s="39" t="str">
        <f t="shared" si="159"/>
        <v/>
      </c>
      <c r="X163" s="39" t="str">
        <f t="shared" si="159"/>
        <v/>
      </c>
      <c r="Y163" s="39" t="str">
        <f t="shared" si="159"/>
        <v/>
      </c>
      <c r="Z163" s="39" t="str">
        <f t="shared" si="159"/>
        <v/>
      </c>
      <c r="AA163" s="39" t="str">
        <f t="shared" si="159"/>
        <v/>
      </c>
      <c r="AB163" s="39" t="str">
        <f t="shared" si="159"/>
        <v/>
      </c>
      <c r="AC163" s="39" t="str">
        <f t="shared" si="159"/>
        <v/>
      </c>
      <c r="AD163" s="39" t="str">
        <f t="shared" si="159"/>
        <v/>
      </c>
      <c r="AE163" s="39" t="str">
        <f t="shared" si="159"/>
        <v/>
      </c>
      <c r="AF163" s="39" t="str">
        <f t="shared" si="159"/>
        <v/>
      </c>
      <c r="AG163" s="39" t="str">
        <f t="shared" si="159"/>
        <v/>
      </c>
      <c r="AH163" s="39" t="str">
        <f t="shared" si="159"/>
        <v/>
      </c>
      <c r="AI163" s="44">
        <f t="shared" si="5"/>
        <v>1</v>
      </c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</row>
    <row r="164" spans="1:55" ht="9.75" customHeight="1" x14ac:dyDescent="0.25">
      <c r="A164" s="23"/>
      <c r="B164" s="2" t="str">
        <f t="shared" si="2"/>
        <v/>
      </c>
      <c r="C164" s="23"/>
      <c r="D164" s="24"/>
      <c r="E164" s="42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3">
        <f t="shared" si="3"/>
        <v>0</v>
      </c>
      <c r="U164" s="39" t="str">
        <f t="shared" ref="U164:AH164" si="160">IF(OR(F164=0,F164&lt;0.00000000001,F164&gt;100000),"",IF((IF(F164&gt;F$5,ABS(LOG(((F$5/SUM($F164:$S164))/(F$4/SUM($F$4:$S$4)))*4+2,2)),ABS(LOG(((F164/SUM($F164:$S164))/(F$4/SUM($F$4:$S$4)))*4+2,2)))-3)&gt;8,(IF(F164&gt;F$5,ABS(LOG(((F$5/SUM($F164:$S164))/(F$4/SUM($F$4:$S$4)))*4+2,2)),ABS(LOG(((F164/SUM($F164:$S164))/(F$4/SUM($F$4:$S$4)))*4+2,2)))-3)/7,IF(F164&gt;F$5,ABS(LOG(((F$5/SUM($F164:$S164))/(F$4/SUM($F$4:$S$4)))*4+2,2)),ABS(LOG(((F164/SUM($F164:$S164))/(F$4/SUM($F$4:$S$4)))*4+2,2)))-3))</f>
        <v/>
      </c>
      <c r="V164" s="39" t="str">
        <f t="shared" si="160"/>
        <v/>
      </c>
      <c r="W164" s="39" t="str">
        <f t="shared" si="160"/>
        <v/>
      </c>
      <c r="X164" s="39" t="str">
        <f t="shared" si="160"/>
        <v/>
      </c>
      <c r="Y164" s="39" t="str">
        <f t="shared" si="160"/>
        <v/>
      </c>
      <c r="Z164" s="39" t="str">
        <f t="shared" si="160"/>
        <v/>
      </c>
      <c r="AA164" s="39" t="str">
        <f t="shared" si="160"/>
        <v/>
      </c>
      <c r="AB164" s="39" t="str">
        <f t="shared" si="160"/>
        <v/>
      </c>
      <c r="AC164" s="39" t="str">
        <f t="shared" si="160"/>
        <v/>
      </c>
      <c r="AD164" s="39" t="str">
        <f t="shared" si="160"/>
        <v/>
      </c>
      <c r="AE164" s="39" t="str">
        <f t="shared" si="160"/>
        <v/>
      </c>
      <c r="AF164" s="39" t="str">
        <f t="shared" si="160"/>
        <v/>
      </c>
      <c r="AG164" s="39" t="str">
        <f t="shared" si="160"/>
        <v/>
      </c>
      <c r="AH164" s="39" t="str">
        <f t="shared" si="160"/>
        <v/>
      </c>
      <c r="AI164" s="44">
        <f t="shared" si="5"/>
        <v>1</v>
      </c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</row>
    <row r="165" spans="1:55" ht="9.75" customHeight="1" x14ac:dyDescent="0.25">
      <c r="A165" s="23"/>
      <c r="B165" s="2" t="str">
        <f t="shared" si="2"/>
        <v/>
      </c>
      <c r="C165" s="23"/>
      <c r="D165" s="24"/>
      <c r="E165" s="42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3">
        <f t="shared" si="3"/>
        <v>0</v>
      </c>
      <c r="U165" s="39" t="str">
        <f t="shared" ref="U165:AH165" si="161">IF(OR(F165=0,F165&lt;0.00000000001,F165&gt;100000),"",IF((IF(F165&gt;F$5,ABS(LOG(((F$5/SUM($F165:$S165))/(F$4/SUM($F$4:$S$4)))*4+2,2)),ABS(LOG(((F165/SUM($F165:$S165))/(F$4/SUM($F$4:$S$4)))*4+2,2)))-3)&gt;8,(IF(F165&gt;F$5,ABS(LOG(((F$5/SUM($F165:$S165))/(F$4/SUM($F$4:$S$4)))*4+2,2)),ABS(LOG(((F165/SUM($F165:$S165))/(F$4/SUM($F$4:$S$4)))*4+2,2)))-3)/7,IF(F165&gt;F$5,ABS(LOG(((F$5/SUM($F165:$S165))/(F$4/SUM($F$4:$S$4)))*4+2,2)),ABS(LOG(((F165/SUM($F165:$S165))/(F$4/SUM($F$4:$S$4)))*4+2,2)))-3))</f>
        <v/>
      </c>
      <c r="V165" s="39" t="str">
        <f t="shared" si="161"/>
        <v/>
      </c>
      <c r="W165" s="39" t="str">
        <f t="shared" si="161"/>
        <v/>
      </c>
      <c r="X165" s="39" t="str">
        <f t="shared" si="161"/>
        <v/>
      </c>
      <c r="Y165" s="39" t="str">
        <f t="shared" si="161"/>
        <v/>
      </c>
      <c r="Z165" s="39" t="str">
        <f t="shared" si="161"/>
        <v/>
      </c>
      <c r="AA165" s="39" t="str">
        <f t="shared" si="161"/>
        <v/>
      </c>
      <c r="AB165" s="39" t="str">
        <f t="shared" si="161"/>
        <v/>
      </c>
      <c r="AC165" s="39" t="str">
        <f t="shared" si="161"/>
        <v/>
      </c>
      <c r="AD165" s="39" t="str">
        <f t="shared" si="161"/>
        <v/>
      </c>
      <c r="AE165" s="39" t="str">
        <f t="shared" si="161"/>
        <v/>
      </c>
      <c r="AF165" s="39" t="str">
        <f t="shared" si="161"/>
        <v/>
      </c>
      <c r="AG165" s="39" t="str">
        <f t="shared" si="161"/>
        <v/>
      </c>
      <c r="AH165" s="39" t="str">
        <f t="shared" si="161"/>
        <v/>
      </c>
      <c r="AI165" s="44">
        <f t="shared" si="5"/>
        <v>1</v>
      </c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</row>
    <row r="166" spans="1:55" ht="9.75" customHeight="1" x14ac:dyDescent="0.25">
      <c r="A166" s="23"/>
      <c r="B166" s="2" t="str">
        <f t="shared" si="2"/>
        <v/>
      </c>
      <c r="C166" s="23"/>
      <c r="D166" s="24"/>
      <c r="E166" s="42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3">
        <f t="shared" si="3"/>
        <v>0</v>
      </c>
      <c r="U166" s="39" t="str">
        <f t="shared" ref="U166:AH166" si="162">IF(OR(F166=0,F166&lt;0.00000000001,F166&gt;100000),"",IF((IF(F166&gt;F$5,ABS(LOG(((F$5/SUM($F166:$S166))/(F$4/SUM($F$4:$S$4)))*4+2,2)),ABS(LOG(((F166/SUM($F166:$S166))/(F$4/SUM($F$4:$S$4)))*4+2,2)))-3)&gt;8,(IF(F166&gt;F$5,ABS(LOG(((F$5/SUM($F166:$S166))/(F$4/SUM($F$4:$S$4)))*4+2,2)),ABS(LOG(((F166/SUM($F166:$S166))/(F$4/SUM($F$4:$S$4)))*4+2,2)))-3)/7,IF(F166&gt;F$5,ABS(LOG(((F$5/SUM($F166:$S166))/(F$4/SUM($F$4:$S$4)))*4+2,2)),ABS(LOG(((F166/SUM($F166:$S166))/(F$4/SUM($F$4:$S$4)))*4+2,2)))-3))</f>
        <v/>
      </c>
      <c r="V166" s="39" t="str">
        <f t="shared" si="162"/>
        <v/>
      </c>
      <c r="W166" s="39" t="str">
        <f t="shared" si="162"/>
        <v/>
      </c>
      <c r="X166" s="39" t="str">
        <f t="shared" si="162"/>
        <v/>
      </c>
      <c r="Y166" s="39" t="str">
        <f t="shared" si="162"/>
        <v/>
      </c>
      <c r="Z166" s="39" t="str">
        <f t="shared" si="162"/>
        <v/>
      </c>
      <c r="AA166" s="39" t="str">
        <f t="shared" si="162"/>
        <v/>
      </c>
      <c r="AB166" s="39" t="str">
        <f t="shared" si="162"/>
        <v/>
      </c>
      <c r="AC166" s="39" t="str">
        <f t="shared" si="162"/>
        <v/>
      </c>
      <c r="AD166" s="39" t="str">
        <f t="shared" si="162"/>
        <v/>
      </c>
      <c r="AE166" s="39" t="str">
        <f t="shared" si="162"/>
        <v/>
      </c>
      <c r="AF166" s="39" t="str">
        <f t="shared" si="162"/>
        <v/>
      </c>
      <c r="AG166" s="39" t="str">
        <f t="shared" si="162"/>
        <v/>
      </c>
      <c r="AH166" s="39" t="str">
        <f t="shared" si="162"/>
        <v/>
      </c>
      <c r="AI166" s="44">
        <f t="shared" si="5"/>
        <v>1</v>
      </c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</row>
    <row r="167" spans="1:55" ht="9.75" customHeight="1" x14ac:dyDescent="0.25">
      <c r="A167" s="23"/>
      <c r="B167" s="2" t="str">
        <f t="shared" si="2"/>
        <v/>
      </c>
      <c r="C167" s="23"/>
      <c r="D167" s="24"/>
      <c r="E167" s="42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3">
        <f t="shared" si="3"/>
        <v>0</v>
      </c>
      <c r="U167" s="39" t="str">
        <f t="shared" ref="U167:AH167" si="163">IF(OR(F167=0,F167&lt;0.00000000001,F167&gt;100000),"",IF((IF(F167&gt;F$5,ABS(LOG(((F$5/SUM($F167:$S167))/(F$4/SUM($F$4:$S$4)))*4+2,2)),ABS(LOG(((F167/SUM($F167:$S167))/(F$4/SUM($F$4:$S$4)))*4+2,2)))-3)&gt;8,(IF(F167&gt;F$5,ABS(LOG(((F$5/SUM($F167:$S167))/(F$4/SUM($F$4:$S$4)))*4+2,2)),ABS(LOG(((F167/SUM($F167:$S167))/(F$4/SUM($F$4:$S$4)))*4+2,2)))-3)/7,IF(F167&gt;F$5,ABS(LOG(((F$5/SUM($F167:$S167))/(F$4/SUM($F$4:$S$4)))*4+2,2)),ABS(LOG(((F167/SUM($F167:$S167))/(F$4/SUM($F$4:$S$4)))*4+2,2)))-3))</f>
        <v/>
      </c>
      <c r="V167" s="39" t="str">
        <f t="shared" si="163"/>
        <v/>
      </c>
      <c r="W167" s="39" t="str">
        <f t="shared" si="163"/>
        <v/>
      </c>
      <c r="X167" s="39" t="str">
        <f t="shared" si="163"/>
        <v/>
      </c>
      <c r="Y167" s="39" t="str">
        <f t="shared" si="163"/>
        <v/>
      </c>
      <c r="Z167" s="39" t="str">
        <f t="shared" si="163"/>
        <v/>
      </c>
      <c r="AA167" s="39" t="str">
        <f t="shared" si="163"/>
        <v/>
      </c>
      <c r="AB167" s="39" t="str">
        <f t="shared" si="163"/>
        <v/>
      </c>
      <c r="AC167" s="39" t="str">
        <f t="shared" si="163"/>
        <v/>
      </c>
      <c r="AD167" s="39" t="str">
        <f t="shared" si="163"/>
        <v/>
      </c>
      <c r="AE167" s="39" t="str">
        <f t="shared" si="163"/>
        <v/>
      </c>
      <c r="AF167" s="39" t="str">
        <f t="shared" si="163"/>
        <v/>
      </c>
      <c r="AG167" s="39" t="str">
        <f t="shared" si="163"/>
        <v/>
      </c>
      <c r="AH167" s="39" t="str">
        <f t="shared" si="163"/>
        <v/>
      </c>
      <c r="AI167" s="44">
        <f t="shared" si="5"/>
        <v>1</v>
      </c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</row>
    <row r="168" spans="1:55" ht="9.75" customHeight="1" x14ac:dyDescent="0.25">
      <c r="A168" s="23"/>
      <c r="B168" s="2" t="str">
        <f t="shared" si="2"/>
        <v/>
      </c>
      <c r="C168" s="23"/>
      <c r="D168" s="24"/>
      <c r="E168" s="42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3">
        <f t="shared" si="3"/>
        <v>0</v>
      </c>
      <c r="U168" s="39" t="str">
        <f t="shared" ref="U168:AH168" si="164">IF(OR(F168=0,F168&lt;0.00000000001,F168&gt;100000),"",IF((IF(F168&gt;F$5,ABS(LOG(((F$5/SUM($F168:$S168))/(F$4/SUM($F$4:$S$4)))*4+2,2)),ABS(LOG(((F168/SUM($F168:$S168))/(F$4/SUM($F$4:$S$4)))*4+2,2)))-3)&gt;8,(IF(F168&gt;F$5,ABS(LOG(((F$5/SUM($F168:$S168))/(F$4/SUM($F$4:$S$4)))*4+2,2)),ABS(LOG(((F168/SUM($F168:$S168))/(F$4/SUM($F$4:$S$4)))*4+2,2)))-3)/7,IF(F168&gt;F$5,ABS(LOG(((F$5/SUM($F168:$S168))/(F$4/SUM($F$4:$S$4)))*4+2,2)),ABS(LOG(((F168/SUM($F168:$S168))/(F$4/SUM($F$4:$S$4)))*4+2,2)))-3))</f>
        <v/>
      </c>
      <c r="V168" s="39" t="str">
        <f t="shared" si="164"/>
        <v/>
      </c>
      <c r="W168" s="39" t="str">
        <f t="shared" si="164"/>
        <v/>
      </c>
      <c r="X168" s="39" t="str">
        <f t="shared" si="164"/>
        <v/>
      </c>
      <c r="Y168" s="39" t="str">
        <f t="shared" si="164"/>
        <v/>
      </c>
      <c r="Z168" s="39" t="str">
        <f t="shared" si="164"/>
        <v/>
      </c>
      <c r="AA168" s="39" t="str">
        <f t="shared" si="164"/>
        <v/>
      </c>
      <c r="AB168" s="39" t="str">
        <f t="shared" si="164"/>
        <v/>
      </c>
      <c r="AC168" s="39" t="str">
        <f t="shared" si="164"/>
        <v/>
      </c>
      <c r="AD168" s="39" t="str">
        <f t="shared" si="164"/>
        <v/>
      </c>
      <c r="AE168" s="39" t="str">
        <f t="shared" si="164"/>
        <v/>
      </c>
      <c r="AF168" s="39" t="str">
        <f t="shared" si="164"/>
        <v/>
      </c>
      <c r="AG168" s="39" t="str">
        <f t="shared" si="164"/>
        <v/>
      </c>
      <c r="AH168" s="39" t="str">
        <f t="shared" si="164"/>
        <v/>
      </c>
      <c r="AI168" s="44">
        <f t="shared" si="5"/>
        <v>1</v>
      </c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</row>
    <row r="169" spans="1:55" ht="9.75" customHeight="1" x14ac:dyDescent="0.25">
      <c r="A169" s="23"/>
      <c r="B169" s="2" t="str">
        <f t="shared" si="2"/>
        <v/>
      </c>
      <c r="C169" s="23"/>
      <c r="D169" s="24"/>
      <c r="E169" s="42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3">
        <f t="shared" si="3"/>
        <v>0</v>
      </c>
      <c r="U169" s="39" t="str">
        <f t="shared" ref="U169:AH169" si="165">IF(OR(F169=0,F169&lt;0.00000000001,F169&gt;100000),"",IF((IF(F169&gt;F$5,ABS(LOG(((F$5/SUM($F169:$S169))/(F$4/SUM($F$4:$S$4)))*4+2,2)),ABS(LOG(((F169/SUM($F169:$S169))/(F$4/SUM($F$4:$S$4)))*4+2,2)))-3)&gt;8,(IF(F169&gt;F$5,ABS(LOG(((F$5/SUM($F169:$S169))/(F$4/SUM($F$4:$S$4)))*4+2,2)),ABS(LOG(((F169/SUM($F169:$S169))/(F$4/SUM($F$4:$S$4)))*4+2,2)))-3)/7,IF(F169&gt;F$5,ABS(LOG(((F$5/SUM($F169:$S169))/(F$4/SUM($F$4:$S$4)))*4+2,2)),ABS(LOG(((F169/SUM($F169:$S169))/(F$4/SUM($F$4:$S$4)))*4+2,2)))-3))</f>
        <v/>
      </c>
      <c r="V169" s="39" t="str">
        <f t="shared" si="165"/>
        <v/>
      </c>
      <c r="W169" s="39" t="str">
        <f t="shared" si="165"/>
        <v/>
      </c>
      <c r="X169" s="39" t="str">
        <f t="shared" si="165"/>
        <v/>
      </c>
      <c r="Y169" s="39" t="str">
        <f t="shared" si="165"/>
        <v/>
      </c>
      <c r="Z169" s="39" t="str">
        <f t="shared" si="165"/>
        <v/>
      </c>
      <c r="AA169" s="39" t="str">
        <f t="shared" si="165"/>
        <v/>
      </c>
      <c r="AB169" s="39" t="str">
        <f t="shared" si="165"/>
        <v/>
      </c>
      <c r="AC169" s="39" t="str">
        <f t="shared" si="165"/>
        <v/>
      </c>
      <c r="AD169" s="39" t="str">
        <f t="shared" si="165"/>
        <v/>
      </c>
      <c r="AE169" s="39" t="str">
        <f t="shared" si="165"/>
        <v/>
      </c>
      <c r="AF169" s="39" t="str">
        <f t="shared" si="165"/>
        <v/>
      </c>
      <c r="AG169" s="39" t="str">
        <f t="shared" si="165"/>
        <v/>
      </c>
      <c r="AH169" s="39" t="str">
        <f t="shared" si="165"/>
        <v/>
      </c>
      <c r="AI169" s="44">
        <f t="shared" si="5"/>
        <v>1</v>
      </c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</row>
    <row r="170" spans="1:55" ht="9.75" customHeight="1" x14ac:dyDescent="0.25">
      <c r="A170" s="23"/>
      <c r="B170" s="2" t="str">
        <f t="shared" si="2"/>
        <v/>
      </c>
      <c r="C170" s="23"/>
      <c r="D170" s="24"/>
      <c r="E170" s="42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3">
        <f t="shared" si="3"/>
        <v>0</v>
      </c>
      <c r="U170" s="39" t="str">
        <f t="shared" ref="U170:AH170" si="166">IF(OR(F170=0,F170&lt;0.00000000001,F170&gt;100000),"",IF((IF(F170&gt;F$5,ABS(LOG(((F$5/SUM($F170:$S170))/(F$4/SUM($F$4:$S$4)))*4+2,2)),ABS(LOG(((F170/SUM($F170:$S170))/(F$4/SUM($F$4:$S$4)))*4+2,2)))-3)&gt;8,(IF(F170&gt;F$5,ABS(LOG(((F$5/SUM($F170:$S170))/(F$4/SUM($F$4:$S$4)))*4+2,2)),ABS(LOG(((F170/SUM($F170:$S170))/(F$4/SUM($F$4:$S$4)))*4+2,2)))-3)/7,IF(F170&gt;F$5,ABS(LOG(((F$5/SUM($F170:$S170))/(F$4/SUM($F$4:$S$4)))*4+2,2)),ABS(LOG(((F170/SUM($F170:$S170))/(F$4/SUM($F$4:$S$4)))*4+2,2)))-3))</f>
        <v/>
      </c>
      <c r="V170" s="39" t="str">
        <f t="shared" si="166"/>
        <v/>
      </c>
      <c r="W170" s="39" t="str">
        <f t="shared" si="166"/>
        <v/>
      </c>
      <c r="X170" s="39" t="str">
        <f t="shared" si="166"/>
        <v/>
      </c>
      <c r="Y170" s="39" t="str">
        <f t="shared" si="166"/>
        <v/>
      </c>
      <c r="Z170" s="39" t="str">
        <f t="shared" si="166"/>
        <v/>
      </c>
      <c r="AA170" s="39" t="str">
        <f t="shared" si="166"/>
        <v/>
      </c>
      <c r="AB170" s="39" t="str">
        <f t="shared" si="166"/>
        <v/>
      </c>
      <c r="AC170" s="39" t="str">
        <f t="shared" si="166"/>
        <v/>
      </c>
      <c r="AD170" s="39" t="str">
        <f t="shared" si="166"/>
        <v/>
      </c>
      <c r="AE170" s="39" t="str">
        <f t="shared" si="166"/>
        <v/>
      </c>
      <c r="AF170" s="39" t="str">
        <f t="shared" si="166"/>
        <v/>
      </c>
      <c r="AG170" s="39" t="str">
        <f t="shared" si="166"/>
        <v/>
      </c>
      <c r="AH170" s="39" t="str">
        <f t="shared" si="166"/>
        <v/>
      </c>
      <c r="AI170" s="44">
        <f t="shared" si="5"/>
        <v>1</v>
      </c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</row>
    <row r="171" spans="1:55" ht="9.75" customHeight="1" x14ac:dyDescent="0.25">
      <c r="A171" s="23"/>
      <c r="B171" s="2" t="str">
        <f t="shared" si="2"/>
        <v/>
      </c>
      <c r="C171" s="23"/>
      <c r="D171" s="24"/>
      <c r="E171" s="42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3">
        <f t="shared" si="3"/>
        <v>0</v>
      </c>
      <c r="U171" s="39" t="str">
        <f t="shared" ref="U171:AH171" si="167">IF(OR(F171=0,F171&lt;0.00000000001,F171&gt;100000),"",IF((IF(F171&gt;F$5,ABS(LOG(((F$5/SUM($F171:$S171))/(F$4/SUM($F$4:$S$4)))*4+2,2)),ABS(LOG(((F171/SUM($F171:$S171))/(F$4/SUM($F$4:$S$4)))*4+2,2)))-3)&gt;8,(IF(F171&gt;F$5,ABS(LOG(((F$5/SUM($F171:$S171))/(F$4/SUM($F$4:$S$4)))*4+2,2)),ABS(LOG(((F171/SUM($F171:$S171))/(F$4/SUM($F$4:$S$4)))*4+2,2)))-3)/7,IF(F171&gt;F$5,ABS(LOG(((F$5/SUM($F171:$S171))/(F$4/SUM($F$4:$S$4)))*4+2,2)),ABS(LOG(((F171/SUM($F171:$S171))/(F$4/SUM($F$4:$S$4)))*4+2,2)))-3))</f>
        <v/>
      </c>
      <c r="V171" s="39" t="str">
        <f t="shared" si="167"/>
        <v/>
      </c>
      <c r="W171" s="39" t="str">
        <f t="shared" si="167"/>
        <v/>
      </c>
      <c r="X171" s="39" t="str">
        <f t="shared" si="167"/>
        <v/>
      </c>
      <c r="Y171" s="39" t="str">
        <f t="shared" si="167"/>
        <v/>
      </c>
      <c r="Z171" s="39" t="str">
        <f t="shared" si="167"/>
        <v/>
      </c>
      <c r="AA171" s="39" t="str">
        <f t="shared" si="167"/>
        <v/>
      </c>
      <c r="AB171" s="39" t="str">
        <f t="shared" si="167"/>
        <v/>
      </c>
      <c r="AC171" s="39" t="str">
        <f t="shared" si="167"/>
        <v/>
      </c>
      <c r="AD171" s="39" t="str">
        <f t="shared" si="167"/>
        <v/>
      </c>
      <c r="AE171" s="39" t="str">
        <f t="shared" si="167"/>
        <v/>
      </c>
      <c r="AF171" s="39" t="str">
        <f t="shared" si="167"/>
        <v/>
      </c>
      <c r="AG171" s="39" t="str">
        <f t="shared" si="167"/>
        <v/>
      </c>
      <c r="AH171" s="39" t="str">
        <f t="shared" si="167"/>
        <v/>
      </c>
      <c r="AI171" s="44">
        <f t="shared" si="5"/>
        <v>1</v>
      </c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</row>
    <row r="172" spans="1:55" ht="9.75" customHeight="1" x14ac:dyDescent="0.25">
      <c r="A172" s="23"/>
      <c r="B172" s="2" t="str">
        <f t="shared" si="2"/>
        <v/>
      </c>
      <c r="C172" s="23"/>
      <c r="D172" s="24"/>
      <c r="E172" s="42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3">
        <f t="shared" si="3"/>
        <v>0</v>
      </c>
      <c r="U172" s="39" t="str">
        <f t="shared" ref="U172:AH172" si="168">IF(OR(F172=0,F172&lt;0.00000000001,F172&gt;100000),"",IF((IF(F172&gt;F$5,ABS(LOG(((F$5/SUM($F172:$S172))/(F$4/SUM($F$4:$S$4)))*4+2,2)),ABS(LOG(((F172/SUM($F172:$S172))/(F$4/SUM($F$4:$S$4)))*4+2,2)))-3)&gt;8,(IF(F172&gt;F$5,ABS(LOG(((F$5/SUM($F172:$S172))/(F$4/SUM($F$4:$S$4)))*4+2,2)),ABS(LOG(((F172/SUM($F172:$S172))/(F$4/SUM($F$4:$S$4)))*4+2,2)))-3)/7,IF(F172&gt;F$5,ABS(LOG(((F$5/SUM($F172:$S172))/(F$4/SUM($F$4:$S$4)))*4+2,2)),ABS(LOG(((F172/SUM($F172:$S172))/(F$4/SUM($F$4:$S$4)))*4+2,2)))-3))</f>
        <v/>
      </c>
      <c r="V172" s="39" t="str">
        <f t="shared" si="168"/>
        <v/>
      </c>
      <c r="W172" s="39" t="str">
        <f t="shared" si="168"/>
        <v/>
      </c>
      <c r="X172" s="39" t="str">
        <f t="shared" si="168"/>
        <v/>
      </c>
      <c r="Y172" s="39" t="str">
        <f t="shared" si="168"/>
        <v/>
      </c>
      <c r="Z172" s="39" t="str">
        <f t="shared" si="168"/>
        <v/>
      </c>
      <c r="AA172" s="39" t="str">
        <f t="shared" si="168"/>
        <v/>
      </c>
      <c r="AB172" s="39" t="str">
        <f t="shared" si="168"/>
        <v/>
      </c>
      <c r="AC172" s="39" t="str">
        <f t="shared" si="168"/>
        <v/>
      </c>
      <c r="AD172" s="39" t="str">
        <f t="shared" si="168"/>
        <v/>
      </c>
      <c r="AE172" s="39" t="str">
        <f t="shared" si="168"/>
        <v/>
      </c>
      <c r="AF172" s="39" t="str">
        <f t="shared" si="168"/>
        <v/>
      </c>
      <c r="AG172" s="39" t="str">
        <f t="shared" si="168"/>
        <v/>
      </c>
      <c r="AH172" s="39" t="str">
        <f t="shared" si="168"/>
        <v/>
      </c>
      <c r="AI172" s="44">
        <f t="shared" si="5"/>
        <v>1</v>
      </c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</row>
    <row r="173" spans="1:55" ht="9.75" customHeight="1" x14ac:dyDescent="0.25">
      <c r="A173" s="23"/>
      <c r="B173" s="2" t="str">
        <f t="shared" si="2"/>
        <v/>
      </c>
      <c r="C173" s="23"/>
      <c r="D173" s="24"/>
      <c r="E173" s="42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3">
        <f t="shared" si="3"/>
        <v>0</v>
      </c>
      <c r="U173" s="39" t="str">
        <f t="shared" ref="U173:AH173" si="169">IF(OR(F173=0,F173&lt;0.00000000001,F173&gt;100000),"",IF((IF(F173&gt;F$5,ABS(LOG(((F$5/SUM($F173:$S173))/(F$4/SUM($F$4:$S$4)))*4+2,2)),ABS(LOG(((F173/SUM($F173:$S173))/(F$4/SUM($F$4:$S$4)))*4+2,2)))-3)&gt;8,(IF(F173&gt;F$5,ABS(LOG(((F$5/SUM($F173:$S173))/(F$4/SUM($F$4:$S$4)))*4+2,2)),ABS(LOG(((F173/SUM($F173:$S173))/(F$4/SUM($F$4:$S$4)))*4+2,2)))-3)/7,IF(F173&gt;F$5,ABS(LOG(((F$5/SUM($F173:$S173))/(F$4/SUM($F$4:$S$4)))*4+2,2)),ABS(LOG(((F173/SUM($F173:$S173))/(F$4/SUM($F$4:$S$4)))*4+2,2)))-3))</f>
        <v/>
      </c>
      <c r="V173" s="39" t="str">
        <f t="shared" si="169"/>
        <v/>
      </c>
      <c r="W173" s="39" t="str">
        <f t="shared" si="169"/>
        <v/>
      </c>
      <c r="X173" s="39" t="str">
        <f t="shared" si="169"/>
        <v/>
      </c>
      <c r="Y173" s="39" t="str">
        <f t="shared" si="169"/>
        <v/>
      </c>
      <c r="Z173" s="39" t="str">
        <f t="shared" si="169"/>
        <v/>
      </c>
      <c r="AA173" s="39" t="str">
        <f t="shared" si="169"/>
        <v/>
      </c>
      <c r="AB173" s="39" t="str">
        <f t="shared" si="169"/>
        <v/>
      </c>
      <c r="AC173" s="39" t="str">
        <f t="shared" si="169"/>
        <v/>
      </c>
      <c r="AD173" s="39" t="str">
        <f t="shared" si="169"/>
        <v/>
      </c>
      <c r="AE173" s="39" t="str">
        <f t="shared" si="169"/>
        <v/>
      </c>
      <c r="AF173" s="39" t="str">
        <f t="shared" si="169"/>
        <v/>
      </c>
      <c r="AG173" s="39" t="str">
        <f t="shared" si="169"/>
        <v/>
      </c>
      <c r="AH173" s="39" t="str">
        <f t="shared" si="169"/>
        <v/>
      </c>
      <c r="AI173" s="44">
        <f t="shared" si="5"/>
        <v>1</v>
      </c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</row>
    <row r="174" spans="1:55" ht="9.75" customHeight="1" x14ac:dyDescent="0.25">
      <c r="A174" s="23"/>
      <c r="B174" s="2" t="str">
        <f t="shared" si="2"/>
        <v/>
      </c>
      <c r="C174" s="23"/>
      <c r="D174" s="24"/>
      <c r="E174" s="42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43">
        <f t="shared" si="3"/>
        <v>0</v>
      </c>
      <c r="U174" s="39" t="str">
        <f t="shared" ref="U174:AH174" si="170">IF(OR(F174=0,F174&lt;0.00000000001,F174&gt;100000),"",IF((IF(F174&gt;F$5,ABS(LOG(((F$5/SUM($F174:$S174))/(F$4/SUM($F$4:$S$4)))*4+2,2)),ABS(LOG(((F174/SUM($F174:$S174))/(F$4/SUM($F$4:$S$4)))*4+2,2)))-3)&gt;8,(IF(F174&gt;F$5,ABS(LOG(((F$5/SUM($F174:$S174))/(F$4/SUM($F$4:$S$4)))*4+2,2)),ABS(LOG(((F174/SUM($F174:$S174))/(F$4/SUM($F$4:$S$4)))*4+2,2)))-3)/7,IF(F174&gt;F$5,ABS(LOG(((F$5/SUM($F174:$S174))/(F$4/SUM($F$4:$S$4)))*4+2,2)),ABS(LOG(((F174/SUM($F174:$S174))/(F$4/SUM($F$4:$S$4)))*4+2,2)))-3))</f>
        <v/>
      </c>
      <c r="V174" s="39" t="str">
        <f t="shared" si="170"/>
        <v/>
      </c>
      <c r="W174" s="39" t="str">
        <f t="shared" si="170"/>
        <v/>
      </c>
      <c r="X174" s="39" t="str">
        <f t="shared" si="170"/>
        <v/>
      </c>
      <c r="Y174" s="39" t="str">
        <f t="shared" si="170"/>
        <v/>
      </c>
      <c r="Z174" s="39" t="str">
        <f t="shared" si="170"/>
        <v/>
      </c>
      <c r="AA174" s="39" t="str">
        <f t="shared" si="170"/>
        <v/>
      </c>
      <c r="AB174" s="39" t="str">
        <f t="shared" si="170"/>
        <v/>
      </c>
      <c r="AC174" s="39" t="str">
        <f t="shared" si="170"/>
        <v/>
      </c>
      <c r="AD174" s="39" t="str">
        <f t="shared" si="170"/>
        <v/>
      </c>
      <c r="AE174" s="39" t="str">
        <f t="shared" si="170"/>
        <v/>
      </c>
      <c r="AF174" s="39" t="str">
        <f t="shared" si="170"/>
        <v/>
      </c>
      <c r="AG174" s="39" t="str">
        <f t="shared" si="170"/>
        <v/>
      </c>
      <c r="AH174" s="39" t="str">
        <f t="shared" si="170"/>
        <v/>
      </c>
      <c r="AI174" s="44">
        <f t="shared" si="5"/>
        <v>1</v>
      </c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</row>
    <row r="175" spans="1:55" ht="9.75" customHeight="1" x14ac:dyDescent="0.25">
      <c r="A175" s="23"/>
      <c r="B175" s="2" t="str">
        <f t="shared" si="2"/>
        <v/>
      </c>
      <c r="C175" s="23"/>
      <c r="D175" s="24"/>
      <c r="E175" s="42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43">
        <f t="shared" si="3"/>
        <v>0</v>
      </c>
      <c r="U175" s="39" t="str">
        <f t="shared" ref="U175:AH175" si="171">IF(OR(F175=0,F175&lt;0.00000000001,F175&gt;100000),"",IF((IF(F175&gt;F$5,ABS(LOG(((F$5/SUM($F175:$S175))/(F$4/SUM($F$4:$S$4)))*4+2,2)),ABS(LOG(((F175/SUM($F175:$S175))/(F$4/SUM($F$4:$S$4)))*4+2,2)))-3)&gt;8,(IF(F175&gt;F$5,ABS(LOG(((F$5/SUM($F175:$S175))/(F$4/SUM($F$4:$S$4)))*4+2,2)),ABS(LOG(((F175/SUM($F175:$S175))/(F$4/SUM($F$4:$S$4)))*4+2,2)))-3)/7,IF(F175&gt;F$5,ABS(LOG(((F$5/SUM($F175:$S175))/(F$4/SUM($F$4:$S$4)))*4+2,2)),ABS(LOG(((F175/SUM($F175:$S175))/(F$4/SUM($F$4:$S$4)))*4+2,2)))-3))</f>
        <v/>
      </c>
      <c r="V175" s="39" t="str">
        <f t="shared" si="171"/>
        <v/>
      </c>
      <c r="W175" s="39" t="str">
        <f t="shared" si="171"/>
        <v/>
      </c>
      <c r="X175" s="39" t="str">
        <f t="shared" si="171"/>
        <v/>
      </c>
      <c r="Y175" s="39" t="str">
        <f t="shared" si="171"/>
        <v/>
      </c>
      <c r="Z175" s="39" t="str">
        <f t="shared" si="171"/>
        <v/>
      </c>
      <c r="AA175" s="39" t="str">
        <f t="shared" si="171"/>
        <v/>
      </c>
      <c r="AB175" s="39" t="str">
        <f t="shared" si="171"/>
        <v/>
      </c>
      <c r="AC175" s="39" t="str">
        <f t="shared" si="171"/>
        <v/>
      </c>
      <c r="AD175" s="39" t="str">
        <f t="shared" si="171"/>
        <v/>
      </c>
      <c r="AE175" s="39" t="str">
        <f t="shared" si="171"/>
        <v/>
      </c>
      <c r="AF175" s="39" t="str">
        <f t="shared" si="171"/>
        <v/>
      </c>
      <c r="AG175" s="39" t="str">
        <f t="shared" si="171"/>
        <v/>
      </c>
      <c r="AH175" s="39" t="str">
        <f t="shared" si="171"/>
        <v/>
      </c>
      <c r="AI175" s="44">
        <f t="shared" si="5"/>
        <v>1</v>
      </c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</row>
    <row r="176" spans="1:55" ht="9.75" customHeight="1" x14ac:dyDescent="0.25">
      <c r="A176" s="23"/>
      <c r="B176" s="2" t="str">
        <f t="shared" si="2"/>
        <v/>
      </c>
      <c r="C176" s="23"/>
      <c r="D176" s="24"/>
      <c r="E176" s="42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43">
        <f t="shared" si="3"/>
        <v>0</v>
      </c>
      <c r="U176" s="39" t="str">
        <f t="shared" ref="U176:AH176" si="172">IF(OR(F176=0,F176&lt;0.00000000001,F176&gt;100000),"",IF((IF(F176&gt;F$5,ABS(LOG(((F$5/SUM($F176:$S176))/(F$4/SUM($F$4:$S$4)))*4+2,2)),ABS(LOG(((F176/SUM($F176:$S176))/(F$4/SUM($F$4:$S$4)))*4+2,2)))-3)&gt;8,(IF(F176&gt;F$5,ABS(LOG(((F$5/SUM($F176:$S176))/(F$4/SUM($F$4:$S$4)))*4+2,2)),ABS(LOG(((F176/SUM($F176:$S176))/(F$4/SUM($F$4:$S$4)))*4+2,2)))-3)/7,IF(F176&gt;F$5,ABS(LOG(((F$5/SUM($F176:$S176))/(F$4/SUM($F$4:$S$4)))*4+2,2)),ABS(LOG(((F176/SUM($F176:$S176))/(F$4/SUM($F$4:$S$4)))*4+2,2)))-3))</f>
        <v/>
      </c>
      <c r="V176" s="39" t="str">
        <f t="shared" si="172"/>
        <v/>
      </c>
      <c r="W176" s="39" t="str">
        <f t="shared" si="172"/>
        <v/>
      </c>
      <c r="X176" s="39" t="str">
        <f t="shared" si="172"/>
        <v/>
      </c>
      <c r="Y176" s="39" t="str">
        <f t="shared" si="172"/>
        <v/>
      </c>
      <c r="Z176" s="39" t="str">
        <f t="shared" si="172"/>
        <v/>
      </c>
      <c r="AA176" s="39" t="str">
        <f t="shared" si="172"/>
        <v/>
      </c>
      <c r="AB176" s="39" t="str">
        <f t="shared" si="172"/>
        <v/>
      </c>
      <c r="AC176" s="39" t="str">
        <f t="shared" si="172"/>
        <v/>
      </c>
      <c r="AD176" s="39" t="str">
        <f t="shared" si="172"/>
        <v/>
      </c>
      <c r="AE176" s="39" t="str">
        <f t="shared" si="172"/>
        <v/>
      </c>
      <c r="AF176" s="39" t="str">
        <f t="shared" si="172"/>
        <v/>
      </c>
      <c r="AG176" s="39" t="str">
        <f t="shared" si="172"/>
        <v/>
      </c>
      <c r="AH176" s="39" t="str">
        <f t="shared" si="172"/>
        <v/>
      </c>
      <c r="AI176" s="44">
        <f t="shared" si="5"/>
        <v>1</v>
      </c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</row>
    <row r="177" spans="1:55" ht="9.75" customHeight="1" x14ac:dyDescent="0.25">
      <c r="A177" s="23"/>
      <c r="B177" s="2" t="str">
        <f t="shared" si="2"/>
        <v/>
      </c>
      <c r="C177" s="23"/>
      <c r="D177" s="24"/>
      <c r="E177" s="42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43">
        <f t="shared" si="3"/>
        <v>0</v>
      </c>
      <c r="U177" s="39" t="str">
        <f t="shared" ref="U177:AH177" si="173">IF(OR(F177=0,F177&lt;0.00000000001,F177&gt;100000),"",IF((IF(F177&gt;F$5,ABS(LOG(((F$5/SUM($F177:$S177))/(F$4/SUM($F$4:$S$4)))*4+2,2)),ABS(LOG(((F177/SUM($F177:$S177))/(F$4/SUM($F$4:$S$4)))*4+2,2)))-3)&gt;8,(IF(F177&gt;F$5,ABS(LOG(((F$5/SUM($F177:$S177))/(F$4/SUM($F$4:$S$4)))*4+2,2)),ABS(LOG(((F177/SUM($F177:$S177))/(F$4/SUM($F$4:$S$4)))*4+2,2)))-3)/7,IF(F177&gt;F$5,ABS(LOG(((F$5/SUM($F177:$S177))/(F$4/SUM($F$4:$S$4)))*4+2,2)),ABS(LOG(((F177/SUM($F177:$S177))/(F$4/SUM($F$4:$S$4)))*4+2,2)))-3))</f>
        <v/>
      </c>
      <c r="V177" s="39" t="str">
        <f t="shared" si="173"/>
        <v/>
      </c>
      <c r="W177" s="39" t="str">
        <f t="shared" si="173"/>
        <v/>
      </c>
      <c r="X177" s="39" t="str">
        <f t="shared" si="173"/>
        <v/>
      </c>
      <c r="Y177" s="39" t="str">
        <f t="shared" si="173"/>
        <v/>
      </c>
      <c r="Z177" s="39" t="str">
        <f t="shared" si="173"/>
        <v/>
      </c>
      <c r="AA177" s="39" t="str">
        <f t="shared" si="173"/>
        <v/>
      </c>
      <c r="AB177" s="39" t="str">
        <f t="shared" si="173"/>
        <v/>
      </c>
      <c r="AC177" s="39" t="str">
        <f t="shared" si="173"/>
        <v/>
      </c>
      <c r="AD177" s="39" t="str">
        <f t="shared" si="173"/>
        <v/>
      </c>
      <c r="AE177" s="39" t="str">
        <f t="shared" si="173"/>
        <v/>
      </c>
      <c r="AF177" s="39" t="str">
        <f t="shared" si="173"/>
        <v/>
      </c>
      <c r="AG177" s="39" t="str">
        <f t="shared" si="173"/>
        <v/>
      </c>
      <c r="AH177" s="39" t="str">
        <f t="shared" si="173"/>
        <v/>
      </c>
      <c r="AI177" s="44">
        <f t="shared" si="5"/>
        <v>1</v>
      </c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</row>
    <row r="178" spans="1:55" ht="9.75" customHeight="1" x14ac:dyDescent="0.25">
      <c r="A178" s="26"/>
      <c r="B178" s="2"/>
      <c r="C178" s="23"/>
      <c r="D178" s="24"/>
      <c r="E178" s="42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3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23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</row>
    <row r="179" spans="1:55" ht="9.75" customHeight="1" x14ac:dyDescent="0.25">
      <c r="A179" s="26"/>
      <c r="B179" s="2"/>
      <c r="C179" s="23"/>
      <c r="D179" s="24"/>
      <c r="E179" s="42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3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23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</row>
    <row r="180" spans="1:55" ht="9.75" customHeight="1" x14ac:dyDescent="0.25">
      <c r="A180" s="26"/>
      <c r="B180" s="2"/>
      <c r="C180" s="23"/>
      <c r="D180" s="24"/>
      <c r="E180" s="42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3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23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</row>
    <row r="181" spans="1:55" ht="9.75" customHeight="1" x14ac:dyDescent="0.25">
      <c r="A181" s="26"/>
      <c r="B181" s="2"/>
      <c r="C181" s="23"/>
      <c r="D181" s="24"/>
      <c r="E181" s="42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3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23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</row>
    <row r="182" spans="1:55" ht="9.75" customHeight="1" x14ac:dyDescent="0.25">
      <c r="A182" s="24"/>
      <c r="B182" s="2"/>
      <c r="C182" s="23"/>
      <c r="D182" s="24"/>
      <c r="E182" s="42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3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23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</row>
    <row r="183" spans="1:55" ht="9.75" customHeight="1" x14ac:dyDescent="0.25">
      <c r="A183" s="24"/>
      <c r="B183" s="2"/>
      <c r="C183" s="23"/>
      <c r="D183" s="24"/>
      <c r="E183" s="42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3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23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</row>
    <row r="184" spans="1:55" ht="9.75" customHeight="1" x14ac:dyDescent="0.25">
      <c r="A184" s="24"/>
      <c r="B184" s="2"/>
      <c r="C184" s="23"/>
      <c r="D184" s="24"/>
      <c r="E184" s="42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5"/>
      <c r="T184" s="23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23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</row>
    <row r="185" spans="1:55" ht="9.75" customHeight="1" x14ac:dyDescent="0.25">
      <c r="A185" s="24"/>
      <c r="B185" s="2"/>
      <c r="C185" s="23"/>
      <c r="D185" s="24"/>
      <c r="E185" s="42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5"/>
      <c r="T185" s="23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23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</row>
    <row r="186" spans="1:55" ht="9.75" customHeight="1" x14ac:dyDescent="0.25">
      <c r="A186" s="24"/>
      <c r="B186" s="2"/>
      <c r="C186" s="23"/>
      <c r="D186" s="24"/>
      <c r="E186" s="42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5"/>
      <c r="T186" s="23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23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</row>
    <row r="187" spans="1:55" ht="9.75" customHeight="1" x14ac:dyDescent="0.25">
      <c r="A187" s="24"/>
      <c r="B187" s="2"/>
      <c r="C187" s="23"/>
      <c r="D187" s="24"/>
      <c r="E187" s="42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5"/>
      <c r="T187" s="23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23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</row>
    <row r="188" spans="1:55" ht="9.75" customHeight="1" x14ac:dyDescent="0.25">
      <c r="A188" s="24"/>
      <c r="B188" s="2"/>
      <c r="C188" s="23"/>
      <c r="D188" s="24"/>
      <c r="E188" s="42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5"/>
      <c r="T188" s="23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23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</row>
    <row r="189" spans="1:55" ht="9.75" customHeight="1" x14ac:dyDescent="0.25">
      <c r="A189" s="24"/>
      <c r="B189" s="2"/>
      <c r="C189" s="23"/>
      <c r="D189" s="24"/>
      <c r="E189" s="42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5"/>
      <c r="T189" s="23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23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</row>
    <row r="190" spans="1:55" ht="9.75" customHeight="1" x14ac:dyDescent="0.25">
      <c r="A190" s="24"/>
      <c r="B190" s="2"/>
      <c r="C190" s="23"/>
      <c r="D190" s="24"/>
      <c r="E190" s="42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5"/>
      <c r="T190" s="23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23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</row>
    <row r="191" spans="1:55" ht="9.75" customHeight="1" x14ac:dyDescent="0.25">
      <c r="A191" s="24"/>
      <c r="B191" s="2"/>
      <c r="C191" s="23"/>
      <c r="D191" s="24"/>
      <c r="E191" s="42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5"/>
      <c r="T191" s="23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23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</row>
    <row r="192" spans="1:55" ht="9.75" customHeight="1" x14ac:dyDescent="0.25">
      <c r="A192" s="24"/>
      <c r="B192" s="2"/>
      <c r="C192" s="23"/>
      <c r="D192" s="24"/>
      <c r="E192" s="42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5"/>
      <c r="T192" s="23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23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</row>
    <row r="193" spans="1:55" ht="9.75" customHeight="1" x14ac:dyDescent="0.25">
      <c r="A193" s="24"/>
      <c r="B193" s="2"/>
      <c r="C193" s="23"/>
      <c r="D193" s="24"/>
      <c r="E193" s="42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5"/>
      <c r="T193" s="23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23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</row>
    <row r="194" spans="1:55" ht="9.75" customHeight="1" x14ac:dyDescent="0.25">
      <c r="A194" s="24"/>
      <c r="B194" s="2"/>
      <c r="C194" s="23"/>
      <c r="D194" s="24"/>
      <c r="E194" s="42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5"/>
      <c r="T194" s="23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23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</row>
    <row r="195" spans="1:55" ht="9.75" customHeight="1" x14ac:dyDescent="0.25">
      <c r="A195" s="24"/>
      <c r="B195" s="2"/>
      <c r="C195" s="23"/>
      <c r="D195" s="24"/>
      <c r="E195" s="42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5"/>
      <c r="T195" s="23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23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</row>
    <row r="196" spans="1:55" ht="9.75" customHeight="1" x14ac:dyDescent="0.25">
      <c r="A196" s="24"/>
      <c r="B196" s="2"/>
      <c r="C196" s="23"/>
      <c r="D196" s="24"/>
      <c r="E196" s="42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5"/>
      <c r="T196" s="23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23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</row>
    <row r="197" spans="1:55" ht="9.75" customHeight="1" x14ac:dyDescent="0.25">
      <c r="A197" s="24"/>
      <c r="B197" s="2"/>
      <c r="C197" s="23"/>
      <c r="D197" s="24"/>
      <c r="E197" s="42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5"/>
      <c r="T197" s="23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23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</row>
    <row r="198" spans="1:55" ht="9.75" customHeight="1" x14ac:dyDescent="0.25">
      <c r="A198" s="24"/>
      <c r="B198" s="2"/>
      <c r="C198" s="23"/>
      <c r="D198" s="24"/>
      <c r="E198" s="42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5"/>
      <c r="T198" s="23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23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</row>
    <row r="199" spans="1:55" ht="9.75" customHeight="1" x14ac:dyDescent="0.25">
      <c r="A199" s="24"/>
      <c r="B199" s="2"/>
      <c r="C199" s="23"/>
      <c r="D199" s="24"/>
      <c r="E199" s="42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5"/>
      <c r="T199" s="23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23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</row>
    <row r="200" spans="1:55" ht="9.75" customHeight="1" x14ac:dyDescent="0.25">
      <c r="A200" s="24"/>
      <c r="B200" s="2"/>
      <c r="C200" s="23"/>
      <c r="D200" s="24"/>
      <c r="E200" s="42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5"/>
      <c r="T200" s="23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23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</row>
    <row r="201" spans="1:55" ht="9.75" customHeight="1" x14ac:dyDescent="0.25">
      <c r="A201" s="24"/>
      <c r="B201" s="2"/>
      <c r="C201" s="23"/>
      <c r="D201" s="24"/>
      <c r="E201" s="42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5"/>
      <c r="T201" s="23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23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</row>
    <row r="202" spans="1:55" ht="9.75" customHeight="1" x14ac:dyDescent="0.25">
      <c r="A202" s="24"/>
      <c r="B202" s="2"/>
      <c r="C202" s="23"/>
      <c r="D202" s="24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5"/>
      <c r="T202" s="23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23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</row>
    <row r="203" spans="1:55" ht="9.75" customHeight="1" x14ac:dyDescent="0.25">
      <c r="A203" s="24"/>
      <c r="B203" s="2"/>
      <c r="C203" s="23"/>
      <c r="D203" s="24"/>
      <c r="E203" s="4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5"/>
      <c r="T203" s="23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23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</row>
    <row r="204" spans="1:55" ht="9.75" customHeight="1" x14ac:dyDescent="0.25">
      <c r="A204" s="24"/>
      <c r="B204" s="2"/>
      <c r="C204" s="23"/>
      <c r="D204" s="24"/>
      <c r="E204" s="42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5"/>
      <c r="T204" s="23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23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</row>
    <row r="205" spans="1:55" ht="9.75" customHeight="1" x14ac:dyDescent="0.25">
      <c r="A205" s="24"/>
      <c r="B205" s="2"/>
      <c r="C205" s="23"/>
      <c r="D205" s="24"/>
      <c r="E205" s="42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5"/>
      <c r="T205" s="23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23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</row>
    <row r="206" spans="1:55" ht="9.75" customHeight="1" x14ac:dyDescent="0.25">
      <c r="A206" s="24"/>
      <c r="B206" s="2"/>
      <c r="C206" s="23"/>
      <c r="D206" s="24"/>
      <c r="E206" s="42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5"/>
      <c r="T206" s="23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23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</row>
    <row r="207" spans="1:55" ht="9.75" customHeight="1" x14ac:dyDescent="0.25">
      <c r="A207" s="24"/>
      <c r="B207" s="2"/>
      <c r="C207" s="23"/>
      <c r="D207" s="24"/>
      <c r="E207" s="42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5"/>
      <c r="T207" s="23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23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</row>
    <row r="208" spans="1:55" ht="9.75" customHeight="1" x14ac:dyDescent="0.25">
      <c r="A208" s="24"/>
      <c r="B208" s="2"/>
      <c r="C208" s="23"/>
      <c r="D208" s="24"/>
      <c r="E208" s="42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5"/>
      <c r="T208" s="23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23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</row>
    <row r="209" spans="1:55" ht="9.75" customHeight="1" x14ac:dyDescent="0.25">
      <c r="A209" s="24"/>
      <c r="B209" s="2"/>
      <c r="C209" s="23"/>
      <c r="D209" s="24"/>
      <c r="E209" s="42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5"/>
      <c r="T209" s="23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23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</row>
    <row r="210" spans="1:55" ht="9.75" customHeight="1" x14ac:dyDescent="0.25">
      <c r="A210" s="24"/>
      <c r="B210" s="2"/>
      <c r="C210" s="23"/>
      <c r="D210" s="24"/>
      <c r="E210" s="42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5"/>
      <c r="T210" s="23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23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</row>
    <row r="211" spans="1:55" ht="9.75" customHeight="1" x14ac:dyDescent="0.25">
      <c r="A211" s="24"/>
      <c r="B211" s="2"/>
      <c r="C211" s="23"/>
      <c r="D211" s="24"/>
      <c r="E211" s="42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5"/>
      <c r="T211" s="23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23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</row>
    <row r="212" spans="1:55" ht="9.75" customHeight="1" x14ac:dyDescent="0.25">
      <c r="A212" s="24"/>
      <c r="B212" s="2"/>
      <c r="C212" s="23"/>
      <c r="D212" s="24"/>
      <c r="E212" s="42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5"/>
      <c r="T212" s="23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23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</row>
    <row r="213" spans="1:55" ht="9.75" customHeight="1" x14ac:dyDescent="0.25">
      <c r="A213" s="24"/>
      <c r="B213" s="2"/>
      <c r="C213" s="23"/>
      <c r="D213" s="24"/>
      <c r="E213" s="42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5"/>
      <c r="T213" s="23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23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</row>
    <row r="214" spans="1:55" ht="9.75" customHeight="1" x14ac:dyDescent="0.25">
      <c r="A214" s="24"/>
      <c r="B214" s="2"/>
      <c r="C214" s="23"/>
      <c r="D214" s="24"/>
      <c r="E214" s="42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5"/>
      <c r="T214" s="23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23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</row>
    <row r="215" spans="1:55" ht="9.75" customHeight="1" x14ac:dyDescent="0.25">
      <c r="A215" s="24"/>
      <c r="B215" s="2"/>
      <c r="C215" s="23"/>
      <c r="D215" s="24"/>
      <c r="E215" s="42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5"/>
      <c r="T215" s="23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23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</row>
    <row r="216" spans="1:55" ht="9.75" customHeight="1" x14ac:dyDescent="0.25">
      <c r="A216" s="24"/>
      <c r="B216" s="2"/>
      <c r="C216" s="23"/>
      <c r="D216" s="24"/>
      <c r="E216" s="42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5"/>
      <c r="T216" s="23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23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</row>
    <row r="217" spans="1:55" ht="9.75" customHeight="1" x14ac:dyDescent="0.25">
      <c r="A217" s="24"/>
      <c r="B217" s="2"/>
      <c r="C217" s="23"/>
      <c r="D217" s="24"/>
      <c r="E217" s="42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5"/>
      <c r="T217" s="23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23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</row>
    <row r="218" spans="1:55" ht="9.75" customHeight="1" x14ac:dyDescent="0.25">
      <c r="A218" s="24"/>
      <c r="B218" s="2"/>
      <c r="C218" s="23"/>
      <c r="D218" s="24"/>
      <c r="E218" s="42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5"/>
      <c r="T218" s="23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23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</row>
    <row r="219" spans="1:55" ht="9.75" customHeight="1" x14ac:dyDescent="0.25">
      <c r="A219" s="24"/>
      <c r="B219" s="2"/>
      <c r="C219" s="23"/>
      <c r="D219" s="24"/>
      <c r="E219" s="42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5"/>
      <c r="T219" s="23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23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</row>
    <row r="220" spans="1:55" ht="9.75" customHeight="1" x14ac:dyDescent="0.25">
      <c r="A220" s="24"/>
      <c r="B220" s="2"/>
      <c r="C220" s="23"/>
      <c r="D220" s="24"/>
      <c r="E220" s="42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5"/>
      <c r="T220" s="23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23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</row>
    <row r="221" spans="1:55" ht="9.75" customHeight="1" x14ac:dyDescent="0.25">
      <c r="A221" s="24"/>
      <c r="B221" s="2"/>
      <c r="C221" s="23"/>
      <c r="D221" s="24"/>
      <c r="E221" s="42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5"/>
      <c r="T221" s="23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23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</row>
    <row r="222" spans="1:55" ht="9.75" customHeight="1" x14ac:dyDescent="0.25">
      <c r="A222" s="24"/>
      <c r="B222" s="2"/>
      <c r="C222" s="23"/>
      <c r="D222" s="24"/>
      <c r="E222" s="42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5"/>
      <c r="T222" s="23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23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</row>
    <row r="223" spans="1:55" ht="9.75" customHeight="1" x14ac:dyDescent="0.25">
      <c r="A223" s="24"/>
      <c r="B223" s="2"/>
      <c r="C223" s="23"/>
      <c r="D223" s="24"/>
      <c r="E223" s="42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5"/>
      <c r="T223" s="23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23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</row>
    <row r="224" spans="1:55" ht="9.75" customHeight="1" x14ac:dyDescent="0.25">
      <c r="A224" s="24"/>
      <c r="B224" s="2"/>
      <c r="C224" s="23"/>
      <c r="D224" s="24"/>
      <c r="E224" s="42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5"/>
      <c r="T224" s="23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23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</row>
    <row r="225" spans="1:55" ht="9.75" customHeight="1" x14ac:dyDescent="0.25">
      <c r="A225" s="24"/>
      <c r="B225" s="2"/>
      <c r="C225" s="23"/>
      <c r="D225" s="24"/>
      <c r="E225" s="42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5"/>
      <c r="T225" s="23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23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</row>
    <row r="226" spans="1:55" ht="9.75" customHeight="1" x14ac:dyDescent="0.25">
      <c r="A226" s="24"/>
      <c r="B226" s="2"/>
      <c r="C226" s="23"/>
      <c r="D226" s="24"/>
      <c r="E226" s="42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5"/>
      <c r="T226" s="23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23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</row>
    <row r="227" spans="1:55" ht="9.75" customHeight="1" x14ac:dyDescent="0.25">
      <c r="A227" s="24"/>
      <c r="B227" s="2"/>
      <c r="C227" s="23"/>
      <c r="D227" s="24"/>
      <c r="E227" s="42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5"/>
      <c r="T227" s="23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23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</row>
    <row r="228" spans="1:55" ht="9.75" customHeight="1" x14ac:dyDescent="0.25">
      <c r="A228" s="24"/>
      <c r="B228" s="2"/>
      <c r="C228" s="23"/>
      <c r="D228" s="24"/>
      <c r="E228" s="42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5"/>
      <c r="T228" s="23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23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</row>
    <row r="229" spans="1:55" ht="9.75" customHeight="1" x14ac:dyDescent="0.25">
      <c r="A229" s="24"/>
      <c r="B229" s="2"/>
      <c r="C229" s="23"/>
      <c r="D229" s="24"/>
      <c r="E229" s="42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5"/>
      <c r="T229" s="23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23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</row>
    <row r="230" spans="1:55" ht="9.75" customHeight="1" x14ac:dyDescent="0.25">
      <c r="A230" s="24"/>
      <c r="B230" s="2"/>
      <c r="C230" s="23"/>
      <c r="D230" s="24"/>
      <c r="E230" s="42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5"/>
      <c r="T230" s="23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23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</row>
    <row r="231" spans="1:55" ht="9.75" customHeight="1" x14ac:dyDescent="0.25">
      <c r="A231" s="24"/>
      <c r="B231" s="2"/>
      <c r="C231" s="23"/>
      <c r="D231" s="24"/>
      <c r="E231" s="42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5"/>
      <c r="T231" s="23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23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</row>
    <row r="232" spans="1:55" ht="9.75" customHeight="1" x14ac:dyDescent="0.25">
      <c r="A232" s="24"/>
      <c r="B232" s="2"/>
      <c r="C232" s="23"/>
      <c r="D232" s="24"/>
      <c r="E232" s="42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5"/>
      <c r="T232" s="23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23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</row>
    <row r="233" spans="1:55" ht="9.75" customHeight="1" x14ac:dyDescent="0.25">
      <c r="A233" s="24"/>
      <c r="B233" s="2"/>
      <c r="C233" s="23"/>
      <c r="D233" s="24"/>
      <c r="E233" s="42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5"/>
      <c r="T233" s="23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23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</row>
    <row r="234" spans="1:55" ht="9.75" customHeight="1" x14ac:dyDescent="0.25">
      <c r="A234" s="24"/>
      <c r="B234" s="2"/>
      <c r="C234" s="23"/>
      <c r="D234" s="24"/>
      <c r="E234" s="42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5"/>
      <c r="T234" s="23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23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</row>
    <row r="235" spans="1:55" ht="9.75" customHeight="1" x14ac:dyDescent="0.25">
      <c r="A235" s="24"/>
      <c r="B235" s="2"/>
      <c r="C235" s="23"/>
      <c r="D235" s="24"/>
      <c r="E235" s="42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5"/>
      <c r="T235" s="23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23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</row>
    <row r="236" spans="1:55" ht="9.75" customHeight="1" x14ac:dyDescent="0.25">
      <c r="A236" s="24"/>
      <c r="B236" s="2"/>
      <c r="C236" s="23"/>
      <c r="D236" s="24"/>
      <c r="E236" s="42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5"/>
      <c r="T236" s="23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23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</row>
    <row r="237" spans="1:55" ht="9.75" customHeight="1" x14ac:dyDescent="0.25">
      <c r="A237" s="24"/>
      <c r="B237" s="2"/>
      <c r="C237" s="23"/>
      <c r="D237" s="24"/>
      <c r="E237" s="42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5"/>
      <c r="T237" s="23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23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</row>
    <row r="238" spans="1:55" ht="9.75" customHeight="1" x14ac:dyDescent="0.25">
      <c r="A238" s="24"/>
      <c r="B238" s="2"/>
      <c r="C238" s="23"/>
      <c r="D238" s="24"/>
      <c r="E238" s="42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5"/>
      <c r="T238" s="23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23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</row>
    <row r="239" spans="1:55" ht="9.75" customHeight="1" x14ac:dyDescent="0.25">
      <c r="A239" s="24"/>
      <c r="B239" s="2"/>
      <c r="C239" s="23"/>
      <c r="D239" s="24"/>
      <c r="E239" s="42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5"/>
      <c r="T239" s="23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23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</row>
    <row r="240" spans="1:55" ht="9.75" customHeight="1" x14ac:dyDescent="0.25">
      <c r="A240" s="24"/>
      <c r="B240" s="2"/>
      <c r="C240" s="23"/>
      <c r="D240" s="24"/>
      <c r="E240" s="42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5"/>
      <c r="T240" s="23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23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</row>
    <row r="241" spans="1:55" ht="9.75" customHeight="1" x14ac:dyDescent="0.25">
      <c r="A241" s="24"/>
      <c r="B241" s="2"/>
      <c r="C241" s="23"/>
      <c r="D241" s="24"/>
      <c r="E241" s="42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5"/>
      <c r="T241" s="23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23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</row>
    <row r="242" spans="1:55" ht="9.75" customHeight="1" x14ac:dyDescent="0.25">
      <c r="A242" s="24"/>
      <c r="B242" s="2"/>
      <c r="C242" s="23"/>
      <c r="D242" s="24"/>
      <c r="E242" s="42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5"/>
      <c r="T242" s="23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23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</row>
    <row r="243" spans="1:55" ht="9.75" customHeight="1" x14ac:dyDescent="0.25">
      <c r="A243" s="24"/>
      <c r="B243" s="2"/>
      <c r="C243" s="23"/>
      <c r="D243" s="24"/>
      <c r="E243" s="42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5"/>
      <c r="T243" s="23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23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</row>
    <row r="244" spans="1:55" ht="9.75" customHeight="1" x14ac:dyDescent="0.25">
      <c r="A244" s="24"/>
      <c r="B244" s="2"/>
      <c r="C244" s="23"/>
      <c r="D244" s="24"/>
      <c r="E244" s="42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5"/>
      <c r="T244" s="23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23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</row>
    <row r="245" spans="1:55" ht="9.75" customHeight="1" x14ac:dyDescent="0.25">
      <c r="A245" s="24"/>
      <c r="B245" s="2"/>
      <c r="C245" s="23"/>
      <c r="D245" s="24"/>
      <c r="E245" s="42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5"/>
      <c r="T245" s="23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23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</row>
    <row r="246" spans="1:55" ht="9.75" customHeight="1" x14ac:dyDescent="0.25">
      <c r="A246" s="24"/>
      <c r="B246" s="2"/>
      <c r="C246" s="23"/>
      <c r="D246" s="24"/>
      <c r="E246" s="42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5"/>
      <c r="T246" s="23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23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</row>
    <row r="247" spans="1:55" ht="9.75" customHeight="1" x14ac:dyDescent="0.25">
      <c r="A247" s="24"/>
      <c r="B247" s="2"/>
      <c r="C247" s="23"/>
      <c r="D247" s="24"/>
      <c r="E247" s="42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5"/>
      <c r="T247" s="23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23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</row>
    <row r="248" spans="1:55" ht="9.75" customHeight="1" x14ac:dyDescent="0.25">
      <c r="A248" s="24"/>
      <c r="B248" s="2"/>
      <c r="C248" s="23"/>
      <c r="D248" s="24"/>
      <c r="E248" s="42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5"/>
      <c r="T248" s="23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23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</row>
    <row r="249" spans="1:55" ht="9.75" customHeight="1" x14ac:dyDescent="0.25">
      <c r="A249" s="24"/>
      <c r="B249" s="2"/>
      <c r="C249" s="23"/>
      <c r="D249" s="24"/>
      <c r="E249" s="42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5"/>
      <c r="T249" s="23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23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</row>
    <row r="250" spans="1:55" ht="9.75" customHeight="1" x14ac:dyDescent="0.25">
      <c r="A250" s="24"/>
      <c r="B250" s="2"/>
      <c r="C250" s="23"/>
      <c r="D250" s="24"/>
      <c r="E250" s="42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5"/>
      <c r="T250" s="23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23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</row>
    <row r="251" spans="1:55" ht="9.75" customHeight="1" x14ac:dyDescent="0.25">
      <c r="A251" s="24"/>
      <c r="B251" s="2"/>
      <c r="C251" s="23"/>
      <c r="D251" s="24"/>
      <c r="E251" s="42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5"/>
      <c r="T251" s="23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23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</row>
    <row r="252" spans="1:55" ht="9.75" customHeight="1" x14ac:dyDescent="0.25">
      <c r="A252" s="24"/>
      <c r="B252" s="2"/>
      <c r="C252" s="23"/>
      <c r="D252" s="24"/>
      <c r="E252" s="42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5"/>
      <c r="T252" s="23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23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</row>
    <row r="253" spans="1:55" ht="9.75" customHeight="1" x14ac:dyDescent="0.25">
      <c r="A253" s="24"/>
      <c r="B253" s="2"/>
      <c r="C253" s="23"/>
      <c r="D253" s="24"/>
      <c r="E253" s="42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5"/>
      <c r="T253" s="23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23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</row>
    <row r="254" spans="1:55" ht="9.75" customHeight="1" x14ac:dyDescent="0.25">
      <c r="A254" s="24"/>
      <c r="B254" s="2"/>
      <c r="C254" s="23"/>
      <c r="D254" s="24"/>
      <c r="E254" s="42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5"/>
      <c r="T254" s="23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23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</row>
    <row r="255" spans="1:55" ht="9.75" customHeight="1" x14ac:dyDescent="0.25">
      <c r="A255" s="24"/>
      <c r="B255" s="2"/>
      <c r="C255" s="23"/>
      <c r="D255" s="24"/>
      <c r="E255" s="42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5"/>
      <c r="T255" s="23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23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</row>
    <row r="256" spans="1:55" ht="9.75" customHeight="1" x14ac:dyDescent="0.25">
      <c r="A256" s="24"/>
      <c r="B256" s="2"/>
      <c r="C256" s="23"/>
      <c r="D256" s="24"/>
      <c r="E256" s="42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5"/>
      <c r="T256" s="23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23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</row>
    <row r="257" spans="1:55" ht="9.75" customHeight="1" x14ac:dyDescent="0.25">
      <c r="A257" s="24"/>
      <c r="B257" s="2"/>
      <c r="C257" s="23"/>
      <c r="D257" s="24"/>
      <c r="E257" s="42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5"/>
      <c r="T257" s="23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23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</row>
    <row r="258" spans="1:55" ht="9.75" customHeight="1" x14ac:dyDescent="0.25">
      <c r="A258" s="24"/>
      <c r="B258" s="2"/>
      <c r="C258" s="23"/>
      <c r="D258" s="24"/>
      <c r="E258" s="42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5"/>
      <c r="T258" s="23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23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</row>
    <row r="259" spans="1:55" ht="9.75" customHeight="1" x14ac:dyDescent="0.25">
      <c r="A259" s="24"/>
      <c r="B259" s="2"/>
      <c r="C259" s="23"/>
      <c r="D259" s="24"/>
      <c r="E259" s="42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5"/>
      <c r="T259" s="23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23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</row>
    <row r="260" spans="1:55" ht="9.75" customHeight="1" x14ac:dyDescent="0.25">
      <c r="A260" s="24"/>
      <c r="B260" s="2"/>
      <c r="C260" s="23"/>
      <c r="D260" s="24"/>
      <c r="E260" s="42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5"/>
      <c r="T260" s="23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23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</row>
    <row r="261" spans="1:55" ht="9.75" customHeight="1" x14ac:dyDescent="0.25">
      <c r="A261" s="24"/>
      <c r="B261" s="2"/>
      <c r="C261" s="23"/>
      <c r="D261" s="24"/>
      <c r="E261" s="42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5"/>
      <c r="T261" s="23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23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</row>
    <row r="262" spans="1:55" ht="9.75" customHeight="1" x14ac:dyDescent="0.25">
      <c r="A262" s="24"/>
      <c r="B262" s="2"/>
      <c r="C262" s="23"/>
      <c r="D262" s="24"/>
      <c r="E262" s="42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5"/>
      <c r="T262" s="23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23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</row>
    <row r="263" spans="1:55" ht="9.75" customHeight="1" x14ac:dyDescent="0.25">
      <c r="A263" s="24"/>
      <c r="B263" s="2"/>
      <c r="C263" s="23"/>
      <c r="D263" s="24"/>
      <c r="E263" s="42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5"/>
      <c r="T263" s="23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23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</row>
    <row r="264" spans="1:55" ht="9.75" customHeight="1" x14ac:dyDescent="0.25">
      <c r="A264" s="24"/>
      <c r="B264" s="2"/>
      <c r="C264" s="23"/>
      <c r="D264" s="24"/>
      <c r="E264" s="42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5"/>
      <c r="T264" s="23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23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</row>
    <row r="265" spans="1:55" ht="9.75" customHeight="1" x14ac:dyDescent="0.25">
      <c r="A265" s="24"/>
      <c r="B265" s="2"/>
      <c r="C265" s="23"/>
      <c r="D265" s="24"/>
      <c r="E265" s="42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5"/>
      <c r="T265" s="23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23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</row>
    <row r="266" spans="1:55" ht="9.75" customHeight="1" x14ac:dyDescent="0.25">
      <c r="A266" s="24"/>
      <c r="B266" s="2"/>
      <c r="C266" s="23"/>
      <c r="D266" s="24"/>
      <c r="E266" s="42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5"/>
      <c r="T266" s="23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23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</row>
    <row r="267" spans="1:55" ht="9.75" customHeight="1" x14ac:dyDescent="0.25">
      <c r="A267" s="24"/>
      <c r="B267" s="2"/>
      <c r="C267" s="23"/>
      <c r="D267" s="24"/>
      <c r="E267" s="42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5"/>
      <c r="T267" s="23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23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</row>
    <row r="268" spans="1:55" ht="9.75" customHeight="1" x14ac:dyDescent="0.25">
      <c r="A268" s="24"/>
      <c r="B268" s="2"/>
      <c r="C268" s="23"/>
      <c r="D268" s="24"/>
      <c r="E268" s="42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5"/>
      <c r="T268" s="23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23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</row>
    <row r="269" spans="1:55" ht="9.75" customHeight="1" x14ac:dyDescent="0.25">
      <c r="A269" s="24"/>
      <c r="B269" s="2"/>
      <c r="C269" s="23"/>
      <c r="D269" s="24"/>
      <c r="E269" s="42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5"/>
      <c r="T269" s="23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23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</row>
    <row r="270" spans="1:55" ht="9.75" customHeight="1" x14ac:dyDescent="0.25">
      <c r="A270" s="24"/>
      <c r="B270" s="2"/>
      <c r="C270" s="23"/>
      <c r="D270" s="24"/>
      <c r="E270" s="42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5"/>
      <c r="T270" s="23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23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</row>
    <row r="271" spans="1:55" ht="9.75" customHeight="1" x14ac:dyDescent="0.25">
      <c r="A271" s="24"/>
      <c r="B271" s="2"/>
      <c r="C271" s="23"/>
      <c r="D271" s="24"/>
      <c r="E271" s="42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5"/>
      <c r="T271" s="23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23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</row>
    <row r="272" spans="1:55" ht="9.75" customHeight="1" x14ac:dyDescent="0.25">
      <c r="A272" s="24"/>
      <c r="B272" s="2"/>
      <c r="C272" s="23"/>
      <c r="D272" s="24"/>
      <c r="E272" s="42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5"/>
      <c r="T272" s="23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23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</row>
    <row r="273" spans="1:55" ht="9.75" customHeight="1" x14ac:dyDescent="0.25">
      <c r="A273" s="24"/>
      <c r="B273" s="2"/>
      <c r="C273" s="23"/>
      <c r="D273" s="24"/>
      <c r="E273" s="42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5"/>
      <c r="T273" s="23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23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</row>
    <row r="274" spans="1:55" ht="9.75" customHeight="1" x14ac:dyDescent="0.25">
      <c r="A274" s="24"/>
      <c r="B274" s="2"/>
      <c r="C274" s="23"/>
      <c r="D274" s="24"/>
      <c r="E274" s="42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5"/>
      <c r="T274" s="23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23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</row>
    <row r="275" spans="1:55" ht="9.75" customHeight="1" x14ac:dyDescent="0.25">
      <c r="A275" s="24"/>
      <c r="B275" s="2"/>
      <c r="C275" s="23"/>
      <c r="D275" s="24"/>
      <c r="E275" s="42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5"/>
      <c r="T275" s="23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23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</row>
    <row r="276" spans="1:55" ht="9.75" customHeight="1" x14ac:dyDescent="0.25">
      <c r="A276" s="24"/>
      <c r="B276" s="2"/>
      <c r="C276" s="23"/>
      <c r="D276" s="24"/>
      <c r="E276" s="42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5"/>
      <c r="T276" s="23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23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</row>
    <row r="277" spans="1:55" ht="9.75" customHeight="1" x14ac:dyDescent="0.25">
      <c r="A277" s="24"/>
      <c r="B277" s="2"/>
      <c r="C277" s="23"/>
      <c r="D277" s="24"/>
      <c r="E277" s="42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5"/>
      <c r="T277" s="23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23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</row>
    <row r="278" spans="1:55" ht="9.75" customHeight="1" x14ac:dyDescent="0.25">
      <c r="A278" s="24"/>
      <c r="B278" s="2"/>
      <c r="C278" s="23"/>
      <c r="D278" s="24"/>
      <c r="E278" s="42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5"/>
      <c r="T278" s="23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23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</row>
    <row r="279" spans="1:55" ht="9.75" customHeight="1" x14ac:dyDescent="0.25">
      <c r="A279" s="24"/>
      <c r="B279" s="2"/>
      <c r="C279" s="23"/>
      <c r="D279" s="24"/>
      <c r="E279" s="42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5"/>
      <c r="T279" s="23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23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</row>
    <row r="280" spans="1:55" ht="9.75" customHeight="1" x14ac:dyDescent="0.25">
      <c r="A280" s="24"/>
      <c r="B280" s="2"/>
      <c r="C280" s="23"/>
      <c r="D280" s="24"/>
      <c r="E280" s="42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5"/>
      <c r="T280" s="23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23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</row>
    <row r="281" spans="1:55" ht="9.75" customHeight="1" x14ac:dyDescent="0.25">
      <c r="A281" s="24"/>
      <c r="B281" s="2"/>
      <c r="C281" s="23"/>
      <c r="D281" s="24"/>
      <c r="E281" s="42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5"/>
      <c r="T281" s="23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23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</row>
    <row r="282" spans="1:55" ht="9.75" customHeight="1" x14ac:dyDescent="0.25">
      <c r="A282" s="24"/>
      <c r="B282" s="2"/>
      <c r="C282" s="23"/>
      <c r="D282" s="24"/>
      <c r="E282" s="42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5"/>
      <c r="T282" s="23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23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</row>
    <row r="283" spans="1:55" ht="9.75" customHeight="1" x14ac:dyDescent="0.25">
      <c r="A283" s="24"/>
      <c r="B283" s="2"/>
      <c r="C283" s="23"/>
      <c r="D283" s="24"/>
      <c r="E283" s="42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5"/>
      <c r="T283" s="23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23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</row>
    <row r="284" spans="1:55" ht="9.75" customHeight="1" x14ac:dyDescent="0.25">
      <c r="A284" s="24"/>
      <c r="B284" s="2"/>
      <c r="C284" s="23"/>
      <c r="D284" s="24"/>
      <c r="E284" s="42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5"/>
      <c r="T284" s="23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23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</row>
    <row r="285" spans="1:55" ht="9.75" customHeight="1" x14ac:dyDescent="0.25">
      <c r="A285" s="24"/>
      <c r="B285" s="2"/>
      <c r="C285" s="23"/>
      <c r="D285" s="24"/>
      <c r="E285" s="42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5"/>
      <c r="T285" s="23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23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</row>
    <row r="286" spans="1:55" ht="9.75" customHeight="1" x14ac:dyDescent="0.25">
      <c r="A286" s="24"/>
      <c r="B286" s="2"/>
      <c r="C286" s="23"/>
      <c r="D286" s="24"/>
      <c r="E286" s="42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5"/>
      <c r="T286" s="23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23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</row>
    <row r="287" spans="1:55" ht="9.75" customHeight="1" x14ac:dyDescent="0.25">
      <c r="A287" s="24"/>
      <c r="B287" s="2"/>
      <c r="C287" s="23"/>
      <c r="D287" s="24"/>
      <c r="E287" s="42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5"/>
      <c r="T287" s="23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23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</row>
    <row r="288" spans="1:55" ht="9.75" customHeight="1" x14ac:dyDescent="0.25">
      <c r="A288" s="24"/>
      <c r="B288" s="2"/>
      <c r="C288" s="23"/>
      <c r="D288" s="24"/>
      <c r="E288" s="42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5"/>
      <c r="T288" s="23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23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</row>
    <row r="289" spans="1:55" ht="9.75" customHeight="1" x14ac:dyDescent="0.25">
      <c r="A289" s="24"/>
      <c r="B289" s="2"/>
      <c r="C289" s="23"/>
      <c r="D289" s="24"/>
      <c r="E289" s="42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5"/>
      <c r="T289" s="23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23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</row>
    <row r="290" spans="1:55" ht="9.75" customHeight="1" x14ac:dyDescent="0.25">
      <c r="A290" s="24"/>
      <c r="B290" s="2"/>
      <c r="C290" s="23"/>
      <c r="D290" s="24"/>
      <c r="E290" s="42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5"/>
      <c r="T290" s="23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23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</row>
    <row r="291" spans="1:55" ht="9.75" customHeight="1" x14ac:dyDescent="0.25">
      <c r="A291" s="24"/>
      <c r="B291" s="2"/>
      <c r="C291" s="23"/>
      <c r="D291" s="24"/>
      <c r="E291" s="42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5"/>
      <c r="T291" s="23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23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</row>
    <row r="292" spans="1:55" ht="9.75" customHeight="1" x14ac:dyDescent="0.25">
      <c r="A292" s="24"/>
      <c r="B292" s="2"/>
      <c r="C292" s="23"/>
      <c r="D292" s="24"/>
      <c r="E292" s="42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5"/>
      <c r="T292" s="23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23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</row>
    <row r="293" spans="1:55" ht="9.75" customHeight="1" x14ac:dyDescent="0.25">
      <c r="A293" s="24"/>
      <c r="B293" s="2"/>
      <c r="C293" s="23"/>
      <c r="D293" s="24"/>
      <c r="E293" s="42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5"/>
      <c r="T293" s="23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23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</row>
    <row r="294" spans="1:55" ht="9.75" customHeight="1" x14ac:dyDescent="0.25">
      <c r="A294" s="24"/>
      <c r="B294" s="2"/>
      <c r="C294" s="23"/>
      <c r="D294" s="24"/>
      <c r="E294" s="42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5"/>
      <c r="T294" s="23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23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</row>
    <row r="295" spans="1:55" ht="9.75" customHeight="1" x14ac:dyDescent="0.25">
      <c r="A295" s="24"/>
      <c r="B295" s="2"/>
      <c r="C295" s="23"/>
      <c r="D295" s="24"/>
      <c r="E295" s="42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5"/>
      <c r="T295" s="23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23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</row>
    <row r="296" spans="1:55" ht="9.75" customHeight="1" x14ac:dyDescent="0.25">
      <c r="A296" s="24"/>
      <c r="B296" s="2"/>
      <c r="C296" s="23"/>
      <c r="D296" s="24"/>
      <c r="E296" s="42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5"/>
      <c r="T296" s="23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23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</row>
    <row r="297" spans="1:55" ht="9.75" customHeight="1" x14ac:dyDescent="0.25">
      <c r="A297" s="24"/>
      <c r="B297" s="2"/>
      <c r="C297" s="23"/>
      <c r="D297" s="24"/>
      <c r="E297" s="42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5"/>
      <c r="T297" s="23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23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</row>
    <row r="298" spans="1:55" ht="9.75" customHeight="1" x14ac:dyDescent="0.25">
      <c r="A298" s="24"/>
      <c r="B298" s="2"/>
      <c r="C298" s="23"/>
      <c r="D298" s="24"/>
      <c r="E298" s="42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5"/>
      <c r="T298" s="23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23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</row>
    <row r="299" spans="1:55" ht="9.75" customHeight="1" x14ac:dyDescent="0.25">
      <c r="A299" s="24"/>
      <c r="B299" s="2"/>
      <c r="C299" s="23"/>
      <c r="D299" s="24"/>
      <c r="E299" s="42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5"/>
      <c r="T299" s="23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23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</row>
    <row r="300" spans="1:55" ht="9.75" customHeight="1" x14ac:dyDescent="0.25">
      <c r="A300" s="24"/>
      <c r="B300" s="2"/>
      <c r="C300" s="23"/>
      <c r="D300" s="24"/>
      <c r="E300" s="42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5"/>
      <c r="T300" s="23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23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</row>
    <row r="301" spans="1:55" ht="9.75" customHeight="1" x14ac:dyDescent="0.25">
      <c r="A301" s="24"/>
      <c r="B301" s="2"/>
      <c r="C301" s="23"/>
      <c r="D301" s="24"/>
      <c r="E301" s="42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5"/>
      <c r="T301" s="23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23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</row>
    <row r="302" spans="1:55" ht="9.75" customHeight="1" x14ac:dyDescent="0.25">
      <c r="A302" s="24"/>
      <c r="B302" s="2"/>
      <c r="C302" s="23"/>
      <c r="D302" s="24"/>
      <c r="E302" s="42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5"/>
      <c r="T302" s="23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23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</row>
    <row r="303" spans="1:55" ht="9.75" customHeight="1" x14ac:dyDescent="0.25">
      <c r="A303" s="24"/>
      <c r="B303" s="2"/>
      <c r="C303" s="23"/>
      <c r="D303" s="24"/>
      <c r="E303" s="42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5"/>
      <c r="T303" s="23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23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</row>
    <row r="304" spans="1:55" ht="9.75" customHeight="1" x14ac:dyDescent="0.25">
      <c r="A304" s="24"/>
      <c r="B304" s="2"/>
      <c r="C304" s="23"/>
      <c r="D304" s="24"/>
      <c r="E304" s="42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5"/>
      <c r="T304" s="23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23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</row>
    <row r="305" spans="1:55" ht="9.75" customHeight="1" x14ac:dyDescent="0.25">
      <c r="A305" s="24"/>
      <c r="B305" s="2"/>
      <c r="C305" s="23"/>
      <c r="D305" s="24"/>
      <c r="E305" s="42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5"/>
      <c r="T305" s="23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23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</row>
    <row r="306" spans="1:55" ht="9.75" customHeight="1" x14ac:dyDescent="0.25">
      <c r="A306" s="24"/>
      <c r="B306" s="2"/>
      <c r="C306" s="23"/>
      <c r="D306" s="24"/>
      <c r="E306" s="42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5"/>
      <c r="T306" s="23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23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</row>
    <row r="307" spans="1:55" ht="9.75" customHeight="1" x14ac:dyDescent="0.25">
      <c r="A307" s="24"/>
      <c r="B307" s="2"/>
      <c r="C307" s="23"/>
      <c r="D307" s="24"/>
      <c r="E307" s="42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5"/>
      <c r="T307" s="23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23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</row>
    <row r="308" spans="1:55" ht="9.75" customHeight="1" x14ac:dyDescent="0.25">
      <c r="A308" s="24"/>
      <c r="B308" s="2"/>
      <c r="C308" s="23"/>
      <c r="D308" s="24"/>
      <c r="E308" s="42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5"/>
      <c r="T308" s="23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23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</row>
    <row r="309" spans="1:55" ht="9.75" customHeight="1" x14ac:dyDescent="0.25">
      <c r="A309" s="24"/>
      <c r="B309" s="2"/>
      <c r="C309" s="23"/>
      <c r="D309" s="24"/>
      <c r="E309" s="42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5"/>
      <c r="T309" s="23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23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</row>
    <row r="310" spans="1:55" ht="9.75" customHeight="1" x14ac:dyDescent="0.25">
      <c r="A310" s="24"/>
      <c r="B310" s="2"/>
      <c r="C310" s="23"/>
      <c r="D310" s="24"/>
      <c r="E310" s="42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5"/>
      <c r="T310" s="23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23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</row>
    <row r="311" spans="1:55" ht="9.75" customHeight="1" x14ac:dyDescent="0.25">
      <c r="A311" s="24"/>
      <c r="B311" s="2"/>
      <c r="C311" s="23"/>
      <c r="D311" s="24"/>
      <c r="E311" s="42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5"/>
      <c r="T311" s="23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23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</row>
    <row r="312" spans="1:55" ht="9.75" customHeight="1" x14ac:dyDescent="0.25">
      <c r="A312" s="24"/>
      <c r="B312" s="2"/>
      <c r="C312" s="23"/>
      <c r="D312" s="24"/>
      <c r="E312" s="42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5"/>
      <c r="T312" s="23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23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</row>
    <row r="313" spans="1:55" ht="9.75" customHeight="1" x14ac:dyDescent="0.25">
      <c r="A313" s="24"/>
      <c r="B313" s="2"/>
      <c r="C313" s="23"/>
      <c r="D313" s="24"/>
      <c r="E313" s="42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5"/>
      <c r="T313" s="23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23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</row>
    <row r="314" spans="1:55" ht="9.75" customHeight="1" x14ac:dyDescent="0.25">
      <c r="A314" s="24"/>
      <c r="B314" s="2"/>
      <c r="C314" s="23"/>
      <c r="D314" s="24"/>
      <c r="E314" s="42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5"/>
      <c r="T314" s="23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23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</row>
    <row r="315" spans="1:55" ht="9.75" customHeight="1" x14ac:dyDescent="0.25">
      <c r="A315" s="24"/>
      <c r="B315" s="2"/>
      <c r="C315" s="23"/>
      <c r="D315" s="24"/>
      <c r="E315" s="42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5"/>
      <c r="T315" s="23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23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</row>
    <row r="316" spans="1:55" ht="9.75" customHeight="1" x14ac:dyDescent="0.25">
      <c r="A316" s="24"/>
      <c r="B316" s="2"/>
      <c r="C316" s="23"/>
      <c r="D316" s="24"/>
      <c r="E316" s="42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5"/>
      <c r="T316" s="23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23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</row>
    <row r="317" spans="1:55" ht="9.75" customHeight="1" x14ac:dyDescent="0.25">
      <c r="A317" s="24"/>
      <c r="B317" s="2"/>
      <c r="C317" s="23"/>
      <c r="D317" s="24"/>
      <c r="E317" s="42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5"/>
      <c r="T317" s="23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23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</row>
    <row r="318" spans="1:55" ht="9.75" customHeight="1" x14ac:dyDescent="0.25">
      <c r="A318" s="24"/>
      <c r="B318" s="2"/>
      <c r="C318" s="23"/>
      <c r="D318" s="24"/>
      <c r="E318" s="42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5"/>
      <c r="T318" s="23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23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</row>
    <row r="319" spans="1:55" ht="9.75" customHeight="1" x14ac:dyDescent="0.25">
      <c r="A319" s="24"/>
      <c r="B319" s="2"/>
      <c r="C319" s="23"/>
      <c r="D319" s="24"/>
      <c r="E319" s="42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5"/>
      <c r="T319" s="23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23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</row>
    <row r="320" spans="1:55" ht="9.75" customHeight="1" x14ac:dyDescent="0.25">
      <c r="A320" s="24"/>
      <c r="B320" s="2"/>
      <c r="C320" s="23"/>
      <c r="D320" s="24"/>
      <c r="E320" s="42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5"/>
      <c r="T320" s="23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23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</row>
    <row r="321" spans="1:55" ht="9.75" customHeight="1" x14ac:dyDescent="0.25">
      <c r="A321" s="24"/>
      <c r="B321" s="2"/>
      <c r="C321" s="23"/>
      <c r="D321" s="24"/>
      <c r="E321" s="42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5"/>
      <c r="T321" s="23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23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</row>
    <row r="322" spans="1:55" ht="9.75" customHeight="1" x14ac:dyDescent="0.25">
      <c r="A322" s="24"/>
      <c r="B322" s="2"/>
      <c r="C322" s="23"/>
      <c r="D322" s="24"/>
      <c r="E322" s="42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5"/>
      <c r="T322" s="23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23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</row>
    <row r="323" spans="1:55" ht="9.75" customHeight="1" x14ac:dyDescent="0.25">
      <c r="A323" s="24"/>
      <c r="B323" s="2"/>
      <c r="C323" s="23"/>
      <c r="D323" s="24"/>
      <c r="E323" s="42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5"/>
      <c r="T323" s="23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23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</row>
    <row r="324" spans="1:55" ht="9.75" customHeight="1" x14ac:dyDescent="0.25">
      <c r="A324" s="24"/>
      <c r="B324" s="2"/>
      <c r="C324" s="23"/>
      <c r="D324" s="24"/>
      <c r="E324" s="42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5"/>
      <c r="T324" s="23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23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</row>
    <row r="325" spans="1:55" ht="9.75" customHeight="1" x14ac:dyDescent="0.25">
      <c r="A325" s="24"/>
      <c r="B325" s="2"/>
      <c r="C325" s="23"/>
      <c r="D325" s="24"/>
      <c r="E325" s="42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5"/>
      <c r="T325" s="23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23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</row>
    <row r="326" spans="1:55" ht="9.75" customHeight="1" x14ac:dyDescent="0.25">
      <c r="A326" s="24"/>
      <c r="B326" s="2"/>
      <c r="C326" s="23"/>
      <c r="D326" s="24"/>
      <c r="E326" s="42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5"/>
      <c r="T326" s="23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23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</row>
    <row r="327" spans="1:55" ht="9.75" customHeight="1" x14ac:dyDescent="0.25">
      <c r="A327" s="24"/>
      <c r="B327" s="2"/>
      <c r="C327" s="23"/>
      <c r="D327" s="24"/>
      <c r="E327" s="42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5"/>
      <c r="T327" s="23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23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</row>
    <row r="328" spans="1:55" ht="9.75" customHeight="1" x14ac:dyDescent="0.25">
      <c r="A328" s="24"/>
      <c r="B328" s="2"/>
      <c r="C328" s="23"/>
      <c r="D328" s="24"/>
      <c r="E328" s="42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5"/>
      <c r="T328" s="23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23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</row>
    <row r="329" spans="1:55" ht="9.75" customHeight="1" x14ac:dyDescent="0.25">
      <c r="A329" s="24"/>
      <c r="B329" s="2"/>
      <c r="C329" s="23"/>
      <c r="D329" s="24"/>
      <c r="E329" s="42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5"/>
      <c r="T329" s="23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23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</row>
    <row r="330" spans="1:55" ht="9.75" customHeight="1" x14ac:dyDescent="0.25">
      <c r="A330" s="24"/>
      <c r="B330" s="2"/>
      <c r="C330" s="23"/>
      <c r="D330" s="24"/>
      <c r="E330" s="42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5"/>
      <c r="T330" s="23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23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</row>
    <row r="331" spans="1:55" ht="9.75" customHeight="1" x14ac:dyDescent="0.25">
      <c r="A331" s="24"/>
      <c r="B331" s="2"/>
      <c r="C331" s="23"/>
      <c r="D331" s="24"/>
      <c r="E331" s="42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5"/>
      <c r="T331" s="23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23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</row>
    <row r="332" spans="1:55" ht="9.75" customHeight="1" x14ac:dyDescent="0.25">
      <c r="A332" s="24"/>
      <c r="B332" s="2"/>
      <c r="C332" s="23"/>
      <c r="D332" s="24"/>
      <c r="E332" s="42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5"/>
      <c r="T332" s="23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23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</row>
    <row r="333" spans="1:55" ht="9.75" customHeight="1" x14ac:dyDescent="0.25">
      <c r="A333" s="24"/>
      <c r="B333" s="2"/>
      <c r="C333" s="23"/>
      <c r="D333" s="24"/>
      <c r="E333" s="42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5"/>
      <c r="T333" s="23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23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</row>
    <row r="334" spans="1:55" ht="9.75" customHeight="1" x14ac:dyDescent="0.25">
      <c r="A334" s="24"/>
      <c r="B334" s="2"/>
      <c r="C334" s="23"/>
      <c r="D334" s="24"/>
      <c r="E334" s="42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5"/>
      <c r="T334" s="23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23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</row>
    <row r="335" spans="1:55" ht="9.75" customHeight="1" x14ac:dyDescent="0.25">
      <c r="A335" s="24"/>
      <c r="B335" s="2"/>
      <c r="C335" s="23"/>
      <c r="D335" s="24"/>
      <c r="E335" s="42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5"/>
      <c r="T335" s="23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23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  <c r="BB335" s="24"/>
      <c r="BC335" s="24"/>
    </row>
    <row r="336" spans="1:55" ht="9.75" customHeight="1" x14ac:dyDescent="0.25">
      <c r="A336" s="24"/>
      <c r="B336" s="2"/>
      <c r="C336" s="23"/>
      <c r="D336" s="24"/>
      <c r="E336" s="42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5"/>
      <c r="T336" s="23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23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4"/>
      <c r="BC336" s="24"/>
    </row>
    <row r="337" spans="1:55" ht="9.75" customHeight="1" x14ac:dyDescent="0.25">
      <c r="A337" s="24"/>
      <c r="B337" s="2"/>
      <c r="C337" s="23"/>
      <c r="D337" s="24"/>
      <c r="E337" s="42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5"/>
      <c r="T337" s="23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23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  <c r="BB337" s="24"/>
      <c r="BC337" s="24"/>
    </row>
    <row r="338" spans="1:55" ht="9.75" customHeight="1" x14ac:dyDescent="0.25">
      <c r="A338" s="24"/>
      <c r="B338" s="2"/>
      <c r="C338" s="23"/>
      <c r="D338" s="24"/>
      <c r="E338" s="42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5"/>
      <c r="T338" s="23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23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4"/>
      <c r="BC338" s="24"/>
    </row>
    <row r="339" spans="1:55" ht="9.75" customHeight="1" x14ac:dyDescent="0.25">
      <c r="A339" s="24"/>
      <c r="B339" s="2"/>
      <c r="C339" s="23"/>
      <c r="D339" s="24"/>
      <c r="E339" s="42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5"/>
      <c r="T339" s="23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23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  <c r="BB339" s="24"/>
      <c r="BC339" s="24"/>
    </row>
    <row r="340" spans="1:55" ht="9.75" customHeight="1" x14ac:dyDescent="0.25">
      <c r="A340" s="24"/>
      <c r="B340" s="2"/>
      <c r="C340" s="23"/>
      <c r="D340" s="24"/>
      <c r="E340" s="42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5"/>
      <c r="T340" s="23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23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4"/>
      <c r="BC340" s="24"/>
    </row>
    <row r="341" spans="1:55" ht="9.75" customHeight="1" x14ac:dyDescent="0.25">
      <c r="A341" s="24"/>
      <c r="B341" s="2"/>
      <c r="C341" s="23"/>
      <c r="D341" s="24"/>
      <c r="E341" s="42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5"/>
      <c r="T341" s="23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23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  <c r="BB341" s="24"/>
      <c r="BC341" s="24"/>
    </row>
    <row r="342" spans="1:55" ht="9.75" customHeight="1" x14ac:dyDescent="0.25">
      <c r="A342" s="24"/>
      <c r="B342" s="2"/>
      <c r="C342" s="23"/>
      <c r="D342" s="24"/>
      <c r="E342" s="42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5"/>
      <c r="T342" s="23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23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4"/>
      <c r="BC342" s="24"/>
    </row>
    <row r="343" spans="1:55" ht="9.75" customHeight="1" x14ac:dyDescent="0.25">
      <c r="A343" s="24"/>
      <c r="B343" s="2"/>
      <c r="C343" s="23"/>
      <c r="D343" s="24"/>
      <c r="E343" s="42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5"/>
      <c r="T343" s="23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23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  <c r="BB343" s="24"/>
      <c r="BC343" s="24"/>
    </row>
    <row r="344" spans="1:55" ht="9.75" customHeight="1" x14ac:dyDescent="0.25">
      <c r="A344" s="24"/>
      <c r="B344" s="2"/>
      <c r="C344" s="23"/>
      <c r="D344" s="24"/>
      <c r="E344" s="42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5"/>
      <c r="T344" s="23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23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4"/>
      <c r="BC344" s="24"/>
    </row>
    <row r="345" spans="1:55" ht="9.75" customHeight="1" x14ac:dyDescent="0.25">
      <c r="A345" s="24"/>
      <c r="B345" s="2"/>
      <c r="C345" s="23"/>
      <c r="D345" s="24"/>
      <c r="E345" s="42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5"/>
      <c r="T345" s="23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23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  <c r="BB345" s="24"/>
      <c r="BC345" s="24"/>
    </row>
    <row r="346" spans="1:55" ht="9.75" customHeight="1" x14ac:dyDescent="0.25">
      <c r="A346" s="24"/>
      <c r="B346" s="2"/>
      <c r="C346" s="23"/>
      <c r="D346" s="24"/>
      <c r="E346" s="42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5"/>
      <c r="T346" s="23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23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4"/>
      <c r="BC346" s="24"/>
    </row>
    <row r="347" spans="1:55" ht="9.75" customHeight="1" x14ac:dyDescent="0.25">
      <c r="A347" s="24"/>
      <c r="B347" s="2"/>
      <c r="C347" s="23"/>
      <c r="D347" s="24"/>
      <c r="E347" s="42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5"/>
      <c r="T347" s="23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23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  <c r="BB347" s="24"/>
      <c r="BC347" s="24"/>
    </row>
    <row r="348" spans="1:55" ht="9.75" customHeight="1" x14ac:dyDescent="0.25">
      <c r="A348" s="24"/>
      <c r="B348" s="2"/>
      <c r="C348" s="23"/>
      <c r="D348" s="24"/>
      <c r="E348" s="42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5"/>
      <c r="T348" s="23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23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4"/>
      <c r="BC348" s="24"/>
    </row>
    <row r="349" spans="1:55" ht="9.75" customHeight="1" x14ac:dyDescent="0.25">
      <c r="A349" s="24"/>
      <c r="B349" s="2"/>
      <c r="C349" s="23"/>
      <c r="D349" s="24"/>
      <c r="E349" s="42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5"/>
      <c r="T349" s="23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23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  <c r="BB349" s="24"/>
      <c r="BC349" s="24"/>
    </row>
    <row r="350" spans="1:55" ht="9.75" customHeight="1" x14ac:dyDescent="0.25">
      <c r="A350" s="24"/>
      <c r="B350" s="2"/>
      <c r="C350" s="23"/>
      <c r="D350" s="24"/>
      <c r="E350" s="42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5"/>
      <c r="T350" s="23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23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4"/>
      <c r="BC350" s="24"/>
    </row>
    <row r="351" spans="1:55" ht="9.75" customHeight="1" x14ac:dyDescent="0.25">
      <c r="A351" s="24"/>
      <c r="B351" s="2"/>
      <c r="C351" s="23"/>
      <c r="D351" s="24"/>
      <c r="E351" s="42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5"/>
      <c r="T351" s="23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23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  <c r="BB351" s="24"/>
      <c r="BC351" s="24"/>
    </row>
    <row r="352" spans="1:55" ht="9.75" customHeight="1" x14ac:dyDescent="0.25">
      <c r="A352" s="24"/>
      <c r="B352" s="2"/>
      <c r="C352" s="23"/>
      <c r="D352" s="24"/>
      <c r="E352" s="42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5"/>
      <c r="T352" s="23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23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4"/>
      <c r="BC352" s="24"/>
    </row>
    <row r="353" spans="1:55" ht="9.75" customHeight="1" x14ac:dyDescent="0.25">
      <c r="A353" s="24"/>
      <c r="B353" s="2"/>
      <c r="C353" s="23"/>
      <c r="D353" s="24"/>
      <c r="E353" s="42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5"/>
      <c r="T353" s="23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23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  <c r="BB353" s="24"/>
      <c r="BC353" s="24"/>
    </row>
    <row r="354" spans="1:55" ht="9.75" customHeight="1" x14ac:dyDescent="0.25">
      <c r="A354" s="24"/>
      <c r="B354" s="2"/>
      <c r="C354" s="23"/>
      <c r="D354" s="24"/>
      <c r="E354" s="42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5"/>
      <c r="T354" s="23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23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4"/>
      <c r="BC354" s="24"/>
    </row>
    <row r="355" spans="1:55" ht="9.75" customHeight="1" x14ac:dyDescent="0.25">
      <c r="A355" s="24"/>
      <c r="B355" s="2"/>
      <c r="C355" s="23"/>
      <c r="D355" s="24"/>
      <c r="E355" s="42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5"/>
      <c r="T355" s="23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23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  <c r="BB355" s="24"/>
      <c r="BC355" s="24"/>
    </row>
    <row r="356" spans="1:55" ht="9.75" customHeight="1" x14ac:dyDescent="0.25">
      <c r="A356" s="24"/>
      <c r="B356" s="2"/>
      <c r="C356" s="23"/>
      <c r="D356" s="24"/>
      <c r="E356" s="42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5"/>
      <c r="T356" s="23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23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4"/>
      <c r="BC356" s="24"/>
    </row>
    <row r="357" spans="1:55" ht="9.75" customHeight="1" x14ac:dyDescent="0.25">
      <c r="A357" s="24"/>
      <c r="B357" s="2"/>
      <c r="C357" s="23"/>
      <c r="D357" s="24"/>
      <c r="E357" s="42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5"/>
      <c r="T357" s="23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23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  <c r="BB357" s="24"/>
      <c r="BC357" s="24"/>
    </row>
    <row r="358" spans="1:55" ht="9.75" customHeight="1" x14ac:dyDescent="0.25">
      <c r="A358" s="24"/>
      <c r="B358" s="2"/>
      <c r="C358" s="23"/>
      <c r="D358" s="24"/>
      <c r="E358" s="42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5"/>
      <c r="T358" s="23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23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4"/>
      <c r="BC358" s="24"/>
    </row>
    <row r="359" spans="1:55" ht="9.75" customHeight="1" x14ac:dyDescent="0.25">
      <c r="A359" s="24"/>
      <c r="B359" s="2"/>
      <c r="C359" s="23"/>
      <c r="D359" s="24"/>
      <c r="E359" s="42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5"/>
      <c r="T359" s="23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23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  <c r="BB359" s="24"/>
      <c r="BC359" s="24"/>
    </row>
    <row r="360" spans="1:55" ht="9.75" customHeight="1" x14ac:dyDescent="0.25">
      <c r="A360" s="24"/>
      <c r="B360" s="2"/>
      <c r="C360" s="23"/>
      <c r="D360" s="24"/>
      <c r="E360" s="42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5"/>
      <c r="T360" s="23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23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4"/>
      <c r="BC360" s="24"/>
    </row>
    <row r="361" spans="1:55" ht="9.75" customHeight="1" x14ac:dyDescent="0.25">
      <c r="A361" s="24"/>
      <c r="B361" s="2"/>
      <c r="C361" s="23"/>
      <c r="D361" s="24"/>
      <c r="E361" s="42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5"/>
      <c r="T361" s="23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23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  <c r="BB361" s="24"/>
      <c r="BC361" s="24"/>
    </row>
    <row r="362" spans="1:55" ht="9.75" customHeight="1" x14ac:dyDescent="0.25">
      <c r="A362" s="24"/>
      <c r="B362" s="2"/>
      <c r="C362" s="23"/>
      <c r="D362" s="24"/>
      <c r="E362" s="42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5"/>
      <c r="T362" s="23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23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4"/>
      <c r="BC362" s="24"/>
    </row>
    <row r="363" spans="1:55" ht="9.75" customHeight="1" x14ac:dyDescent="0.25">
      <c r="A363" s="24"/>
      <c r="B363" s="2"/>
      <c r="C363" s="23"/>
      <c r="D363" s="24"/>
      <c r="E363" s="42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5"/>
      <c r="T363" s="23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23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  <c r="BB363" s="24"/>
      <c r="BC363" s="24"/>
    </row>
    <row r="364" spans="1:55" ht="9.75" customHeight="1" x14ac:dyDescent="0.25">
      <c r="A364" s="24"/>
      <c r="B364" s="2"/>
      <c r="C364" s="23"/>
      <c r="D364" s="24"/>
      <c r="E364" s="42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5"/>
      <c r="T364" s="23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23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4"/>
    </row>
    <row r="365" spans="1:55" ht="9.75" customHeight="1" x14ac:dyDescent="0.25">
      <c r="A365" s="24"/>
      <c r="B365" s="2"/>
      <c r="C365" s="23"/>
      <c r="D365" s="24"/>
      <c r="E365" s="42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5"/>
      <c r="T365" s="23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23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  <c r="BB365" s="24"/>
      <c r="BC365" s="24"/>
    </row>
    <row r="366" spans="1:55" ht="9.75" customHeight="1" x14ac:dyDescent="0.25">
      <c r="A366" s="24"/>
      <c r="B366" s="2"/>
      <c r="C366" s="23"/>
      <c r="D366" s="24"/>
      <c r="E366" s="42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5"/>
      <c r="T366" s="23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23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4"/>
    </row>
    <row r="367" spans="1:55" ht="9.75" customHeight="1" x14ac:dyDescent="0.25">
      <c r="A367" s="24"/>
      <c r="B367" s="2"/>
      <c r="C367" s="23"/>
      <c r="D367" s="24"/>
      <c r="E367" s="42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5"/>
      <c r="T367" s="23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23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  <c r="BB367" s="24"/>
      <c r="BC367" s="24"/>
    </row>
    <row r="368" spans="1:55" ht="9.75" customHeight="1" x14ac:dyDescent="0.25">
      <c r="A368" s="24"/>
      <c r="B368" s="2"/>
      <c r="C368" s="23"/>
      <c r="D368" s="24"/>
      <c r="E368" s="42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5"/>
      <c r="T368" s="23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23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</row>
    <row r="369" spans="1:55" ht="9.75" customHeight="1" x14ac:dyDescent="0.25">
      <c r="A369" s="24"/>
      <c r="B369" s="2"/>
      <c r="C369" s="23"/>
      <c r="D369" s="24"/>
      <c r="E369" s="42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5"/>
      <c r="T369" s="23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23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</row>
    <row r="370" spans="1:55" ht="9.75" customHeight="1" x14ac:dyDescent="0.25">
      <c r="A370" s="24"/>
      <c r="B370" s="2"/>
      <c r="C370" s="23"/>
      <c r="D370" s="24"/>
      <c r="E370" s="42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5"/>
      <c r="T370" s="23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23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</row>
    <row r="371" spans="1:55" ht="9.75" customHeight="1" x14ac:dyDescent="0.25">
      <c r="A371" s="24"/>
      <c r="B371" s="2"/>
      <c r="C371" s="23"/>
      <c r="D371" s="24"/>
      <c r="E371" s="42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5"/>
      <c r="T371" s="23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23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</row>
    <row r="372" spans="1:55" ht="9.75" customHeight="1" x14ac:dyDescent="0.25">
      <c r="A372" s="24"/>
      <c r="B372" s="2"/>
      <c r="C372" s="23"/>
      <c r="D372" s="24"/>
      <c r="E372" s="42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5"/>
      <c r="T372" s="23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23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</row>
    <row r="373" spans="1:55" ht="9.75" customHeight="1" x14ac:dyDescent="0.25">
      <c r="A373" s="24"/>
      <c r="B373" s="2"/>
      <c r="C373" s="23"/>
      <c r="D373" s="24"/>
      <c r="E373" s="42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5"/>
      <c r="T373" s="23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23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  <c r="BB373" s="24"/>
      <c r="BC373" s="24"/>
    </row>
    <row r="374" spans="1:55" ht="9.75" customHeight="1" x14ac:dyDescent="0.25">
      <c r="A374" s="24"/>
      <c r="B374" s="2"/>
      <c r="C374" s="23"/>
      <c r="D374" s="24"/>
      <c r="E374" s="42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5"/>
      <c r="T374" s="23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23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</row>
    <row r="375" spans="1:55" ht="9.75" customHeight="1" x14ac:dyDescent="0.25">
      <c r="A375" s="24"/>
      <c r="B375" s="2"/>
      <c r="C375" s="23"/>
      <c r="D375" s="24"/>
      <c r="E375" s="42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5"/>
      <c r="T375" s="23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23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  <c r="BB375" s="24"/>
      <c r="BC375" s="24"/>
    </row>
    <row r="376" spans="1:55" ht="9.75" customHeight="1" x14ac:dyDescent="0.25">
      <c r="A376" s="24"/>
      <c r="B376" s="2"/>
      <c r="C376" s="23"/>
      <c r="D376" s="24"/>
      <c r="E376" s="42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5"/>
      <c r="T376" s="23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23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</row>
    <row r="377" spans="1:55" ht="9.75" customHeight="1" x14ac:dyDescent="0.25">
      <c r="A377" s="24"/>
      <c r="B377" s="2"/>
      <c r="C377" s="23"/>
      <c r="D377" s="24"/>
      <c r="E377" s="42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5"/>
      <c r="T377" s="23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23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  <c r="BB377" s="24"/>
      <c r="BC377" s="24"/>
    </row>
    <row r="378" spans="1:55" ht="9.75" customHeight="1" x14ac:dyDescent="0.2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</row>
    <row r="379" spans="1:55" ht="9.75" customHeight="1" x14ac:dyDescent="0.2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  <c r="BB379" s="24"/>
      <c r="BC379" s="24"/>
    </row>
    <row r="380" spans="1:55" ht="9.75" customHeight="1" x14ac:dyDescent="0.2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</row>
    <row r="381" spans="1:55" ht="9.75" customHeight="1" x14ac:dyDescent="0.2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  <c r="BB381" s="24"/>
      <c r="BC381" s="24"/>
    </row>
    <row r="382" spans="1:55" ht="9.75" customHeight="1" x14ac:dyDescent="0.2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</row>
    <row r="383" spans="1:55" ht="9.75" customHeight="1" x14ac:dyDescent="0.2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  <c r="BB383" s="24"/>
      <c r="BC383" s="24"/>
    </row>
    <row r="384" spans="1:55" ht="9.75" customHeight="1" x14ac:dyDescent="0.2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</row>
    <row r="385" spans="1:55" ht="9.75" customHeight="1" x14ac:dyDescent="0.2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  <c r="BB385" s="24"/>
      <c r="BC385" s="24"/>
    </row>
    <row r="386" spans="1:55" ht="9.75" customHeight="1" x14ac:dyDescent="0.2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</row>
    <row r="387" spans="1:55" ht="9.75" customHeight="1" x14ac:dyDescent="0.2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  <c r="BB387" s="24"/>
      <c r="BC387" s="24"/>
    </row>
    <row r="388" spans="1:55" ht="9.75" customHeight="1" x14ac:dyDescent="0.2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</row>
    <row r="389" spans="1:55" ht="9.75" customHeight="1" x14ac:dyDescent="0.2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  <c r="BB389" s="24"/>
      <c r="BC389" s="24"/>
    </row>
    <row r="390" spans="1:55" ht="9.75" customHeight="1" x14ac:dyDescent="0.2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</row>
    <row r="391" spans="1:55" ht="9.75" customHeight="1" x14ac:dyDescent="0.2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  <c r="BB391" s="24"/>
      <c r="BC391" s="24"/>
    </row>
    <row r="392" spans="1:55" ht="9.75" customHeight="1" x14ac:dyDescent="0.2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</row>
    <row r="393" spans="1:55" ht="9.75" customHeight="1" x14ac:dyDescent="0.2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  <c r="BB393" s="24"/>
      <c r="BC393" s="24"/>
    </row>
    <row r="394" spans="1:55" ht="9.75" customHeight="1" x14ac:dyDescent="0.2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</row>
    <row r="395" spans="1:55" ht="9.75" customHeight="1" x14ac:dyDescent="0.2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  <c r="BB395" s="24"/>
      <c r="BC395" s="24"/>
    </row>
    <row r="396" spans="1:55" ht="9.75" customHeight="1" x14ac:dyDescent="0.2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</row>
    <row r="397" spans="1:55" ht="9.75" customHeight="1" x14ac:dyDescent="0.2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  <c r="BB397" s="24"/>
      <c r="BC397" s="24"/>
    </row>
    <row r="398" spans="1:55" ht="9.75" customHeight="1" x14ac:dyDescent="0.2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</row>
    <row r="399" spans="1:55" ht="9.75" customHeight="1" x14ac:dyDescent="0.2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  <c r="BB399" s="24"/>
      <c r="BC399" s="24"/>
    </row>
    <row r="400" spans="1:55" ht="9.75" customHeight="1" x14ac:dyDescent="0.2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</row>
    <row r="401" spans="1:55" ht="9.75" customHeight="1" x14ac:dyDescent="0.2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  <c r="BB401" s="24"/>
      <c r="BC401" s="24"/>
    </row>
    <row r="402" spans="1:55" ht="9.75" customHeight="1" x14ac:dyDescent="0.2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</row>
    <row r="403" spans="1:55" ht="9.75" customHeight="1" x14ac:dyDescent="0.2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  <c r="BB403" s="24"/>
      <c r="BC403" s="24"/>
    </row>
    <row r="404" spans="1:55" ht="9.75" customHeight="1" x14ac:dyDescent="0.2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</row>
    <row r="405" spans="1:55" ht="9.75" customHeight="1" x14ac:dyDescent="0.2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  <c r="BB405" s="24"/>
      <c r="BC405" s="24"/>
    </row>
    <row r="406" spans="1:55" ht="9.75" customHeight="1" x14ac:dyDescent="0.2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</row>
    <row r="407" spans="1:55" ht="9.75" customHeight="1" x14ac:dyDescent="0.2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  <c r="BB407" s="24"/>
      <c r="BC407" s="24"/>
    </row>
    <row r="408" spans="1:55" ht="9.75" customHeight="1" x14ac:dyDescent="0.2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</row>
    <row r="409" spans="1:55" ht="9.75" customHeight="1" x14ac:dyDescent="0.2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  <c r="BB409" s="24"/>
      <c r="BC409" s="24"/>
    </row>
    <row r="410" spans="1:55" ht="9.75" customHeight="1" x14ac:dyDescent="0.2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</row>
    <row r="411" spans="1:55" ht="9.75" customHeight="1" x14ac:dyDescent="0.2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  <c r="BB411" s="24"/>
      <c r="BC411" s="24"/>
    </row>
    <row r="412" spans="1:55" ht="9.75" customHeight="1" x14ac:dyDescent="0.2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</row>
    <row r="413" spans="1:55" ht="9.75" customHeight="1" x14ac:dyDescent="0.2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  <c r="BB413" s="24"/>
      <c r="BC413" s="24"/>
    </row>
    <row r="414" spans="1:55" ht="9.75" customHeight="1" x14ac:dyDescent="0.2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</row>
    <row r="415" spans="1:55" ht="9.75" customHeight="1" x14ac:dyDescent="0.2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  <c r="BB415" s="24"/>
      <c r="BC415" s="24"/>
    </row>
    <row r="416" spans="1:55" ht="9.75" customHeight="1" x14ac:dyDescent="0.2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</row>
    <row r="417" spans="1:55" ht="9.75" customHeight="1" x14ac:dyDescent="0.2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  <c r="BB417" s="24"/>
      <c r="BC417" s="24"/>
    </row>
    <row r="418" spans="1:55" ht="9.75" customHeight="1" x14ac:dyDescent="0.2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</row>
    <row r="419" spans="1:55" ht="9.75" customHeight="1" x14ac:dyDescent="0.2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  <c r="BB419" s="24"/>
      <c r="BC419" s="24"/>
    </row>
    <row r="420" spans="1:55" ht="9.75" customHeight="1" x14ac:dyDescent="0.2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</row>
    <row r="421" spans="1:55" ht="9.75" customHeight="1" x14ac:dyDescent="0.2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  <c r="BB421" s="24"/>
      <c r="BC421" s="24"/>
    </row>
    <row r="422" spans="1:55" ht="9.75" customHeight="1" x14ac:dyDescent="0.2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</row>
    <row r="423" spans="1:55" ht="9.75" customHeight="1" x14ac:dyDescent="0.2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  <c r="BB423" s="24"/>
      <c r="BC423" s="24"/>
    </row>
    <row r="424" spans="1:55" ht="9.75" customHeight="1" x14ac:dyDescent="0.2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</row>
    <row r="425" spans="1:55" ht="9.75" customHeight="1" x14ac:dyDescent="0.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  <c r="BB425" s="24"/>
      <c r="BC425" s="24"/>
    </row>
    <row r="426" spans="1:55" ht="9.75" customHeight="1" x14ac:dyDescent="0.2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</row>
    <row r="427" spans="1:55" ht="9.75" customHeight="1" x14ac:dyDescent="0.2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  <c r="BB427" s="24"/>
      <c r="BC427" s="24"/>
    </row>
    <row r="428" spans="1:55" ht="9.75" customHeight="1" x14ac:dyDescent="0.2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</row>
    <row r="429" spans="1:55" ht="9.75" customHeight="1" x14ac:dyDescent="0.2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  <c r="BB429" s="24"/>
      <c r="BC429" s="24"/>
    </row>
    <row r="430" spans="1:55" ht="9.75" customHeight="1" x14ac:dyDescent="0.2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</row>
    <row r="431" spans="1:55" ht="9.75" customHeight="1" x14ac:dyDescent="0.2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  <c r="BB431" s="24"/>
      <c r="BC431" s="24"/>
    </row>
    <row r="432" spans="1:55" ht="9.75" customHeight="1" x14ac:dyDescent="0.2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</row>
    <row r="433" spans="1:55" ht="9.75" customHeight="1" x14ac:dyDescent="0.2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  <c r="BB433" s="24"/>
      <c r="BC433" s="24"/>
    </row>
    <row r="434" spans="1:55" ht="9.75" customHeight="1" x14ac:dyDescent="0.2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</row>
    <row r="435" spans="1:55" ht="9.75" customHeight="1" x14ac:dyDescent="0.2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  <c r="BB435" s="24"/>
      <c r="BC435" s="24"/>
    </row>
    <row r="436" spans="1:55" ht="9.75" customHeight="1" x14ac:dyDescent="0.2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</row>
    <row r="437" spans="1:55" ht="9.75" customHeight="1" x14ac:dyDescent="0.2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  <c r="BB437" s="24"/>
      <c r="BC437" s="24"/>
    </row>
    <row r="438" spans="1:55" ht="9.75" customHeight="1" x14ac:dyDescent="0.2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</row>
    <row r="439" spans="1:55" ht="9.75" customHeight="1" x14ac:dyDescent="0.2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  <c r="BB439" s="24"/>
      <c r="BC439" s="24"/>
    </row>
    <row r="440" spans="1:55" ht="9.75" customHeight="1" x14ac:dyDescent="0.2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</row>
    <row r="441" spans="1:55" ht="9.75" customHeight="1" x14ac:dyDescent="0.2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  <c r="BB441" s="24"/>
      <c r="BC441" s="24"/>
    </row>
    <row r="442" spans="1:55" ht="9.75" customHeight="1" x14ac:dyDescent="0.2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</row>
    <row r="443" spans="1:55" ht="9.75" customHeight="1" x14ac:dyDescent="0.2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  <c r="BB443" s="24"/>
      <c r="BC443" s="24"/>
    </row>
    <row r="444" spans="1:55" ht="9.75" customHeight="1" x14ac:dyDescent="0.2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</row>
    <row r="445" spans="1:55" ht="9.75" customHeight="1" x14ac:dyDescent="0.2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  <c r="BB445" s="24"/>
      <c r="BC445" s="24"/>
    </row>
    <row r="446" spans="1:55" ht="9.75" customHeight="1" x14ac:dyDescent="0.2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</row>
    <row r="447" spans="1:55" ht="9.75" customHeight="1" x14ac:dyDescent="0.2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  <c r="BB447" s="24"/>
      <c r="BC447" s="24"/>
    </row>
    <row r="448" spans="1:55" ht="9.75" customHeight="1" x14ac:dyDescent="0.2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</row>
    <row r="449" spans="1:55" ht="9.75" customHeight="1" x14ac:dyDescent="0.2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  <c r="BB449" s="24"/>
      <c r="BC449" s="24"/>
    </row>
    <row r="450" spans="1:55" ht="9.75" customHeight="1" x14ac:dyDescent="0.2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</row>
    <row r="451" spans="1:55" ht="9.75" customHeight="1" x14ac:dyDescent="0.2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  <c r="BB451" s="24"/>
      <c r="BC451" s="24"/>
    </row>
    <row r="452" spans="1:55" ht="9.75" customHeight="1" x14ac:dyDescent="0.2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4"/>
      <c r="BC452" s="24"/>
    </row>
    <row r="453" spans="1:55" ht="9.75" customHeight="1" x14ac:dyDescent="0.2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  <c r="BB453" s="24"/>
      <c r="BC453" s="24"/>
    </row>
    <row r="454" spans="1:55" ht="9.75" customHeight="1" x14ac:dyDescent="0.2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4"/>
      <c r="BC454" s="24"/>
    </row>
    <row r="455" spans="1:55" ht="9.75" customHeight="1" x14ac:dyDescent="0.2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  <c r="BB455" s="24"/>
      <c r="BC455" s="24"/>
    </row>
    <row r="456" spans="1:55" ht="9.75" customHeight="1" x14ac:dyDescent="0.2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4"/>
      <c r="BC456" s="24"/>
    </row>
    <row r="457" spans="1:55" ht="9.75" customHeight="1" x14ac:dyDescent="0.2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  <c r="BB457" s="24"/>
      <c r="BC457" s="24"/>
    </row>
    <row r="458" spans="1:55" ht="9.75" customHeight="1" x14ac:dyDescent="0.2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4"/>
      <c r="BC458" s="24"/>
    </row>
    <row r="459" spans="1:55" ht="9.75" customHeight="1" x14ac:dyDescent="0.2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  <c r="BB459" s="24"/>
      <c r="BC459" s="24"/>
    </row>
    <row r="460" spans="1:55" ht="9.75" customHeight="1" x14ac:dyDescent="0.2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4"/>
      <c r="BC460" s="24"/>
    </row>
    <row r="461" spans="1:55" ht="9.75" customHeight="1" x14ac:dyDescent="0.2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  <c r="BB461" s="24"/>
      <c r="BC461" s="24"/>
    </row>
    <row r="462" spans="1:55" ht="9.75" customHeight="1" x14ac:dyDescent="0.2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4"/>
      <c r="BC462" s="24"/>
    </row>
    <row r="463" spans="1:55" ht="9.75" customHeight="1" x14ac:dyDescent="0.2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  <c r="BB463" s="24"/>
      <c r="BC463" s="24"/>
    </row>
    <row r="464" spans="1:55" ht="9.75" customHeight="1" x14ac:dyDescent="0.2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4"/>
      <c r="BC464" s="24"/>
    </row>
    <row r="465" spans="1:55" ht="9.75" customHeight="1" x14ac:dyDescent="0.2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  <c r="BB465" s="24"/>
      <c r="BC465" s="24"/>
    </row>
    <row r="466" spans="1:55" ht="9.75" customHeight="1" x14ac:dyDescent="0.2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4"/>
      <c r="BC466" s="24"/>
    </row>
    <row r="467" spans="1:55" ht="9.75" customHeight="1" x14ac:dyDescent="0.2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  <c r="BB467" s="24"/>
      <c r="BC467" s="24"/>
    </row>
    <row r="468" spans="1:55" ht="9.75" customHeight="1" x14ac:dyDescent="0.2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4"/>
      <c r="BC468" s="24"/>
    </row>
    <row r="469" spans="1:55" ht="9.75" customHeight="1" x14ac:dyDescent="0.2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  <c r="BB469" s="24"/>
      <c r="BC469" s="24"/>
    </row>
    <row r="470" spans="1:55" ht="9.75" customHeight="1" x14ac:dyDescent="0.2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4"/>
      <c r="BC470" s="24"/>
    </row>
    <row r="471" spans="1:55" ht="9.75" customHeight="1" x14ac:dyDescent="0.2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  <c r="BB471" s="24"/>
      <c r="BC471" s="24"/>
    </row>
    <row r="472" spans="1:55" ht="9.75" customHeight="1" x14ac:dyDescent="0.2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4"/>
      <c r="BC472" s="24"/>
    </row>
    <row r="473" spans="1:55" ht="9.75" customHeight="1" x14ac:dyDescent="0.2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  <c r="BB473" s="24"/>
      <c r="BC473" s="24"/>
    </row>
    <row r="474" spans="1:55" ht="9.75" customHeight="1" x14ac:dyDescent="0.2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</row>
    <row r="475" spans="1:55" ht="9.75" customHeight="1" x14ac:dyDescent="0.2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</row>
    <row r="476" spans="1:55" ht="9.75" customHeight="1" x14ac:dyDescent="0.2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</row>
    <row r="477" spans="1:55" ht="9.75" customHeight="1" x14ac:dyDescent="0.2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</row>
    <row r="478" spans="1:55" ht="9.75" customHeight="1" x14ac:dyDescent="0.2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</row>
    <row r="479" spans="1:55" ht="9.75" customHeight="1" x14ac:dyDescent="0.2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</row>
    <row r="480" spans="1:55" ht="9.75" customHeight="1" x14ac:dyDescent="0.2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</row>
    <row r="481" spans="1:55" ht="9.75" customHeight="1" x14ac:dyDescent="0.2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</row>
    <row r="482" spans="1:55" ht="9.75" customHeight="1" x14ac:dyDescent="0.2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</row>
    <row r="483" spans="1:55" ht="9.75" customHeight="1" x14ac:dyDescent="0.2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</row>
    <row r="484" spans="1:55" ht="9.75" customHeight="1" x14ac:dyDescent="0.2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</row>
    <row r="485" spans="1:55" ht="9.75" customHeight="1" x14ac:dyDescent="0.2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</row>
    <row r="486" spans="1:55" ht="9.75" customHeight="1" x14ac:dyDescent="0.2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</row>
    <row r="487" spans="1:55" ht="9.75" customHeight="1" x14ac:dyDescent="0.2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</row>
    <row r="488" spans="1:55" ht="9.75" customHeight="1" x14ac:dyDescent="0.2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4"/>
      <c r="BC488" s="24"/>
    </row>
    <row r="489" spans="1:55" ht="9.75" customHeight="1" x14ac:dyDescent="0.2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  <c r="BB489" s="24"/>
      <c r="BC489" s="24"/>
    </row>
    <row r="490" spans="1:55" ht="9.75" customHeight="1" x14ac:dyDescent="0.2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4"/>
      <c r="BC490" s="24"/>
    </row>
    <row r="491" spans="1:55" ht="9.75" customHeight="1" x14ac:dyDescent="0.2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  <c r="BB491" s="24"/>
      <c r="BC491" s="24"/>
    </row>
    <row r="492" spans="1:55" ht="9.75" customHeight="1" x14ac:dyDescent="0.2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4"/>
      <c r="BC492" s="24"/>
    </row>
    <row r="493" spans="1:55" ht="9.75" customHeight="1" x14ac:dyDescent="0.2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  <c r="BB493" s="24"/>
      <c r="BC493" s="24"/>
    </row>
    <row r="494" spans="1:55" ht="9.75" customHeight="1" x14ac:dyDescent="0.2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</row>
    <row r="495" spans="1:55" ht="9.75" customHeight="1" x14ac:dyDescent="0.2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</row>
    <row r="496" spans="1:55" ht="9.75" customHeight="1" x14ac:dyDescent="0.2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</row>
    <row r="497" spans="1:55" ht="9.75" customHeight="1" x14ac:dyDescent="0.2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  <c r="BB497" s="24"/>
      <c r="BC497" s="24"/>
    </row>
    <row r="498" spans="1:55" ht="9.75" customHeight="1" x14ac:dyDescent="0.2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  <c r="BB498" s="24"/>
      <c r="BC498" s="24"/>
    </row>
    <row r="499" spans="1:55" ht="9.75" customHeight="1" x14ac:dyDescent="0.2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  <c r="BB499" s="24"/>
      <c r="BC499" s="24"/>
    </row>
    <row r="500" spans="1:55" ht="9.75" customHeight="1" x14ac:dyDescent="0.2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  <c r="BB500" s="24"/>
      <c r="BC500" s="24"/>
    </row>
    <row r="501" spans="1:55" ht="9.75" customHeight="1" x14ac:dyDescent="0.2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  <c r="BA501" s="24"/>
      <c r="BB501" s="24"/>
      <c r="BC501" s="24"/>
    </row>
    <row r="502" spans="1:55" ht="9.75" customHeight="1" x14ac:dyDescent="0.2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  <c r="BA502" s="24"/>
      <c r="BB502" s="24"/>
      <c r="BC502" s="24"/>
    </row>
    <row r="503" spans="1:55" ht="9.75" customHeight="1" x14ac:dyDescent="0.2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  <c r="BA503" s="24"/>
      <c r="BB503" s="24"/>
      <c r="BC503" s="24"/>
    </row>
    <row r="504" spans="1:55" ht="9.75" customHeight="1" x14ac:dyDescent="0.2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  <c r="BB504" s="24"/>
      <c r="BC504" s="24"/>
    </row>
    <row r="505" spans="1:55" ht="9.75" customHeight="1" x14ac:dyDescent="0.2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  <c r="BA505" s="24"/>
      <c r="BB505" s="24"/>
      <c r="BC505" s="24"/>
    </row>
    <row r="506" spans="1:55" ht="9.75" customHeight="1" x14ac:dyDescent="0.2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  <c r="BB506" s="24"/>
      <c r="BC506" s="24"/>
    </row>
    <row r="507" spans="1:55" ht="9.75" customHeight="1" x14ac:dyDescent="0.2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</row>
    <row r="508" spans="1:55" ht="9.75" customHeight="1" x14ac:dyDescent="0.2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</row>
    <row r="509" spans="1:55" ht="9.75" customHeight="1" x14ac:dyDescent="0.2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</row>
    <row r="510" spans="1:55" ht="9.75" customHeight="1" x14ac:dyDescent="0.2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</row>
    <row r="511" spans="1:55" ht="9.75" customHeight="1" x14ac:dyDescent="0.2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</row>
    <row r="512" spans="1:55" ht="9.75" customHeight="1" x14ac:dyDescent="0.2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4"/>
      <c r="BC512" s="24"/>
    </row>
    <row r="513" spans="1:55" ht="9.75" customHeight="1" x14ac:dyDescent="0.2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  <c r="BB513" s="24"/>
      <c r="BC513" s="24"/>
    </row>
    <row r="514" spans="1:55" ht="9.75" customHeight="1" x14ac:dyDescent="0.2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4"/>
      <c r="BC514" s="24"/>
    </row>
    <row r="515" spans="1:55" ht="9.75" customHeight="1" x14ac:dyDescent="0.2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</row>
    <row r="516" spans="1:55" ht="9.75" customHeight="1" x14ac:dyDescent="0.2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</row>
    <row r="517" spans="1:55" ht="9.75" customHeight="1" x14ac:dyDescent="0.2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  <c r="BB517" s="24"/>
      <c r="BC517" s="24"/>
    </row>
    <row r="518" spans="1:55" ht="9.75" customHeight="1" x14ac:dyDescent="0.2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</row>
    <row r="519" spans="1:55" ht="9.75" customHeight="1" x14ac:dyDescent="0.2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  <c r="BB519" s="24"/>
      <c r="BC519" s="24"/>
    </row>
    <row r="520" spans="1:55" ht="9.75" customHeight="1" x14ac:dyDescent="0.2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</row>
    <row r="521" spans="1:55" ht="9.75" customHeight="1" x14ac:dyDescent="0.2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</row>
    <row r="522" spans="1:55" ht="9.75" customHeight="1" x14ac:dyDescent="0.2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</row>
    <row r="523" spans="1:55" ht="9.75" customHeight="1" x14ac:dyDescent="0.2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</row>
    <row r="524" spans="1:55" ht="9.75" customHeight="1" x14ac:dyDescent="0.2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</row>
    <row r="525" spans="1:55" ht="9.75" customHeight="1" x14ac:dyDescent="0.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</row>
    <row r="526" spans="1:55" ht="9.75" customHeight="1" x14ac:dyDescent="0.2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</row>
    <row r="527" spans="1:55" ht="9.75" customHeight="1" x14ac:dyDescent="0.2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</row>
    <row r="528" spans="1:55" ht="9.75" customHeight="1" x14ac:dyDescent="0.2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</row>
    <row r="529" spans="1:55" ht="9.75" customHeight="1" x14ac:dyDescent="0.2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</row>
    <row r="530" spans="1:55" ht="9.75" customHeight="1" x14ac:dyDescent="0.2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</row>
    <row r="531" spans="1:55" ht="9.75" customHeight="1" x14ac:dyDescent="0.2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  <c r="BB531" s="24"/>
      <c r="BC531" s="24"/>
    </row>
    <row r="532" spans="1:55" ht="9.75" customHeight="1" x14ac:dyDescent="0.2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</row>
    <row r="533" spans="1:55" ht="9.75" customHeight="1" x14ac:dyDescent="0.2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  <c r="BB533" s="24"/>
      <c r="BC533" s="24"/>
    </row>
    <row r="534" spans="1:55" ht="9.75" customHeight="1" x14ac:dyDescent="0.2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</row>
    <row r="535" spans="1:55" ht="9.75" customHeight="1" x14ac:dyDescent="0.2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</row>
    <row r="536" spans="1:55" ht="9.75" customHeight="1" x14ac:dyDescent="0.2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</row>
    <row r="537" spans="1:55" ht="9.75" customHeight="1" x14ac:dyDescent="0.2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</row>
    <row r="538" spans="1:55" ht="9.75" customHeight="1" x14ac:dyDescent="0.2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</row>
    <row r="539" spans="1:55" ht="9.75" customHeight="1" x14ac:dyDescent="0.2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</row>
    <row r="540" spans="1:55" ht="9.75" customHeight="1" x14ac:dyDescent="0.2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</row>
    <row r="541" spans="1:55" ht="9.75" customHeight="1" x14ac:dyDescent="0.2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</row>
    <row r="542" spans="1:55" ht="9.75" customHeight="1" x14ac:dyDescent="0.2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</row>
    <row r="543" spans="1:55" ht="9.75" customHeight="1" x14ac:dyDescent="0.2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</row>
    <row r="544" spans="1:55" ht="9.75" customHeight="1" x14ac:dyDescent="0.2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</row>
    <row r="545" spans="1:55" ht="9.75" customHeight="1" x14ac:dyDescent="0.2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</row>
    <row r="546" spans="1:55" ht="9.75" customHeight="1" x14ac:dyDescent="0.2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</row>
    <row r="547" spans="1:55" ht="9.75" customHeight="1" x14ac:dyDescent="0.2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</row>
    <row r="548" spans="1:55" ht="9.75" customHeight="1" x14ac:dyDescent="0.2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</row>
    <row r="549" spans="1:55" ht="9.75" customHeight="1" x14ac:dyDescent="0.2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</row>
    <row r="550" spans="1:55" ht="9.75" customHeight="1" x14ac:dyDescent="0.2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</row>
    <row r="551" spans="1:55" ht="9.75" customHeight="1" x14ac:dyDescent="0.2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</row>
    <row r="552" spans="1:55" ht="9.75" customHeight="1" x14ac:dyDescent="0.2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</row>
    <row r="553" spans="1:55" ht="9.75" customHeight="1" x14ac:dyDescent="0.2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</row>
    <row r="554" spans="1:55" ht="9.75" customHeight="1" x14ac:dyDescent="0.2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4"/>
      <c r="BC554" s="24"/>
    </row>
    <row r="555" spans="1:55" ht="9.75" customHeight="1" x14ac:dyDescent="0.2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  <c r="BB555" s="24"/>
      <c r="BC555" s="24"/>
    </row>
    <row r="556" spans="1:55" ht="9.75" customHeight="1" x14ac:dyDescent="0.2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</row>
    <row r="557" spans="1:55" ht="9.75" customHeight="1" x14ac:dyDescent="0.2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  <c r="BB557" s="24"/>
      <c r="BC557" s="24"/>
    </row>
    <row r="558" spans="1:55" ht="9.75" customHeight="1" x14ac:dyDescent="0.2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</row>
    <row r="559" spans="1:55" ht="9.75" customHeight="1" x14ac:dyDescent="0.2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  <c r="BB559" s="24"/>
      <c r="BC559" s="24"/>
    </row>
    <row r="560" spans="1:55" ht="9.75" customHeight="1" x14ac:dyDescent="0.2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</row>
    <row r="561" spans="1:55" ht="9.75" customHeight="1" x14ac:dyDescent="0.2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  <c r="BC561" s="24"/>
    </row>
    <row r="562" spans="1:55" ht="9.75" customHeight="1" x14ac:dyDescent="0.2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</row>
    <row r="563" spans="1:55" ht="9.75" customHeight="1" x14ac:dyDescent="0.2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</row>
    <row r="564" spans="1:55" ht="9.75" customHeight="1" x14ac:dyDescent="0.2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</row>
    <row r="565" spans="1:55" ht="9.75" customHeight="1" x14ac:dyDescent="0.2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</row>
    <row r="566" spans="1:55" ht="9.75" customHeight="1" x14ac:dyDescent="0.2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</row>
    <row r="567" spans="1:55" ht="9.75" customHeight="1" x14ac:dyDescent="0.2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</row>
    <row r="568" spans="1:55" ht="9.75" customHeight="1" x14ac:dyDescent="0.2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</row>
    <row r="569" spans="1:55" ht="9.75" customHeight="1" x14ac:dyDescent="0.2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</row>
    <row r="570" spans="1:55" ht="9.75" customHeight="1" x14ac:dyDescent="0.2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</row>
    <row r="571" spans="1:55" ht="9.75" customHeight="1" x14ac:dyDescent="0.2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</row>
    <row r="572" spans="1:55" ht="9.75" customHeight="1" x14ac:dyDescent="0.2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4"/>
      <c r="BC572" s="24"/>
    </row>
    <row r="573" spans="1:55" ht="9.75" customHeight="1" x14ac:dyDescent="0.2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  <c r="BB573" s="24"/>
      <c r="BC573" s="24"/>
    </row>
    <row r="574" spans="1:55" ht="9.75" customHeight="1" x14ac:dyDescent="0.2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</row>
    <row r="575" spans="1:55" ht="9.75" customHeight="1" x14ac:dyDescent="0.2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</row>
    <row r="576" spans="1:55" ht="9.75" customHeight="1" x14ac:dyDescent="0.2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4"/>
      <c r="BC576" s="24"/>
    </row>
    <row r="577" spans="1:55" ht="9.75" customHeight="1" x14ac:dyDescent="0.2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  <c r="BB577" s="24"/>
      <c r="BC577" s="24"/>
    </row>
    <row r="578" spans="1:55" ht="9.75" customHeight="1" x14ac:dyDescent="0.2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</row>
    <row r="579" spans="1:55" ht="9.75" customHeight="1" x14ac:dyDescent="0.2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  <c r="BB579" s="24"/>
      <c r="BC579" s="24"/>
    </row>
    <row r="580" spans="1:55" ht="9.75" customHeight="1" x14ac:dyDescent="0.2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</row>
    <row r="581" spans="1:55" ht="9.75" customHeight="1" x14ac:dyDescent="0.2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</row>
    <row r="582" spans="1:55" ht="9.75" customHeight="1" x14ac:dyDescent="0.2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</row>
    <row r="583" spans="1:55" ht="9.75" customHeight="1" x14ac:dyDescent="0.2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</row>
    <row r="584" spans="1:55" ht="9.75" customHeight="1" x14ac:dyDescent="0.2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</row>
    <row r="585" spans="1:55" ht="9.75" customHeight="1" x14ac:dyDescent="0.2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</row>
    <row r="586" spans="1:55" ht="9.75" customHeight="1" x14ac:dyDescent="0.2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</row>
    <row r="587" spans="1:55" ht="9.75" customHeight="1" x14ac:dyDescent="0.2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</row>
    <row r="588" spans="1:55" ht="9.75" customHeight="1" x14ac:dyDescent="0.2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</row>
    <row r="589" spans="1:55" ht="9.75" customHeight="1" x14ac:dyDescent="0.2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</row>
    <row r="590" spans="1:55" ht="9.75" customHeight="1" x14ac:dyDescent="0.2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4"/>
      <c r="BC590" s="24"/>
    </row>
    <row r="591" spans="1:55" ht="9.75" customHeight="1" x14ac:dyDescent="0.2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  <c r="BB591" s="24"/>
      <c r="BC591" s="24"/>
    </row>
    <row r="592" spans="1:55" ht="9.75" customHeight="1" x14ac:dyDescent="0.2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4"/>
      <c r="BC592" s="24"/>
    </row>
    <row r="593" spans="1:55" ht="9.75" customHeight="1" x14ac:dyDescent="0.2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  <c r="BB593" s="24"/>
      <c r="BC593" s="24"/>
    </row>
    <row r="594" spans="1:55" ht="9.75" customHeight="1" x14ac:dyDescent="0.2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</row>
    <row r="595" spans="1:55" ht="9.75" customHeight="1" x14ac:dyDescent="0.2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</row>
    <row r="596" spans="1:55" ht="9.75" customHeight="1" x14ac:dyDescent="0.2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4"/>
      <c r="BC596" s="24"/>
    </row>
    <row r="597" spans="1:55" ht="9.75" customHeight="1" x14ac:dyDescent="0.2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  <c r="BB597" s="24"/>
      <c r="BC597" s="24"/>
    </row>
    <row r="598" spans="1:55" ht="9.75" customHeight="1" x14ac:dyDescent="0.2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  <c r="BB598" s="24"/>
      <c r="BC598" s="24"/>
    </row>
    <row r="599" spans="1:55" ht="9.75" customHeight="1" x14ac:dyDescent="0.2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</row>
    <row r="600" spans="1:55" ht="9.75" customHeight="1" x14ac:dyDescent="0.2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</row>
    <row r="601" spans="1:55" ht="9.75" customHeight="1" x14ac:dyDescent="0.2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  <c r="BB601" s="24"/>
      <c r="BC601" s="24"/>
    </row>
    <row r="602" spans="1:55" ht="9.75" customHeight="1" x14ac:dyDescent="0.2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  <c r="BB602" s="24"/>
      <c r="BC602" s="24"/>
    </row>
    <row r="603" spans="1:55" ht="9.75" customHeight="1" x14ac:dyDescent="0.2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</row>
    <row r="604" spans="1:55" ht="9.75" customHeight="1" x14ac:dyDescent="0.2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4"/>
      <c r="BC604" s="24"/>
    </row>
    <row r="605" spans="1:55" ht="9.75" customHeight="1" x14ac:dyDescent="0.2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  <c r="BB605" s="24"/>
      <c r="BC605" s="24"/>
    </row>
    <row r="606" spans="1:55" ht="9.75" customHeight="1" x14ac:dyDescent="0.2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</row>
    <row r="607" spans="1:55" ht="9.75" customHeight="1" x14ac:dyDescent="0.2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  <c r="BB607" s="24"/>
      <c r="BC607" s="24"/>
    </row>
    <row r="608" spans="1:55" ht="9.75" customHeight="1" x14ac:dyDescent="0.2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  <c r="BA608" s="24"/>
      <c r="BB608" s="24"/>
      <c r="BC608" s="24"/>
    </row>
    <row r="609" spans="1:55" ht="9.75" customHeight="1" x14ac:dyDescent="0.2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</row>
    <row r="610" spans="1:55" ht="9.75" customHeight="1" x14ac:dyDescent="0.2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</row>
    <row r="611" spans="1:55" ht="9.75" customHeight="1" x14ac:dyDescent="0.2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  <c r="BB611" s="24"/>
      <c r="BC611" s="24"/>
    </row>
    <row r="612" spans="1:55" ht="9.75" customHeight="1" x14ac:dyDescent="0.2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  <c r="BB612" s="24"/>
      <c r="BC612" s="24"/>
    </row>
    <row r="613" spans="1:55" ht="9.75" customHeight="1" x14ac:dyDescent="0.2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</row>
    <row r="614" spans="1:55" ht="9.75" customHeight="1" x14ac:dyDescent="0.2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  <c r="BB614" s="24"/>
      <c r="BC614" s="24"/>
    </row>
    <row r="615" spans="1:55" ht="9.75" customHeight="1" x14ac:dyDescent="0.2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  <c r="BB615" s="24"/>
      <c r="BC615" s="24"/>
    </row>
    <row r="616" spans="1:55" ht="9.75" customHeight="1" x14ac:dyDescent="0.2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  <c r="BB616" s="24"/>
      <c r="BC616" s="24"/>
    </row>
    <row r="617" spans="1:55" ht="9.75" customHeight="1" x14ac:dyDescent="0.2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  <c r="BA617" s="24"/>
      <c r="BB617" s="24"/>
      <c r="BC617" s="24"/>
    </row>
    <row r="618" spans="1:55" ht="9.75" customHeight="1" x14ac:dyDescent="0.2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  <c r="BA618" s="24"/>
      <c r="BB618" s="24"/>
      <c r="BC618" s="24"/>
    </row>
    <row r="619" spans="1:55" ht="9.75" customHeight="1" x14ac:dyDescent="0.2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</row>
    <row r="620" spans="1:55" ht="9.75" customHeight="1" x14ac:dyDescent="0.2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</row>
    <row r="621" spans="1:55" ht="9.75" customHeight="1" x14ac:dyDescent="0.2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  <c r="BB621" s="24"/>
      <c r="BC621" s="24"/>
    </row>
    <row r="622" spans="1:55" ht="9.75" customHeight="1" x14ac:dyDescent="0.2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  <c r="BB622" s="24"/>
      <c r="BC622" s="24"/>
    </row>
    <row r="623" spans="1:55" ht="9.75" customHeight="1" x14ac:dyDescent="0.2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  <c r="BB623" s="24"/>
      <c r="BC623" s="24"/>
    </row>
    <row r="624" spans="1:55" ht="9.75" customHeight="1" x14ac:dyDescent="0.2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  <c r="BB624" s="24"/>
      <c r="BC624" s="24"/>
    </row>
    <row r="625" spans="1:55" ht="9.75" customHeight="1" x14ac:dyDescent="0.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</row>
    <row r="626" spans="1:55" ht="9.75" customHeight="1" x14ac:dyDescent="0.2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</row>
    <row r="627" spans="1:55" ht="9.75" customHeight="1" x14ac:dyDescent="0.2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  <c r="BB627" s="24"/>
      <c r="BC627" s="24"/>
    </row>
    <row r="628" spans="1:55" ht="9.75" customHeight="1" x14ac:dyDescent="0.2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</row>
    <row r="629" spans="1:55" ht="9.75" customHeight="1" x14ac:dyDescent="0.2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  <c r="BB629" s="24"/>
      <c r="BC629" s="24"/>
    </row>
    <row r="630" spans="1:55" ht="9.75" customHeight="1" x14ac:dyDescent="0.2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</row>
    <row r="631" spans="1:55" ht="9.75" customHeight="1" x14ac:dyDescent="0.2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</row>
    <row r="632" spans="1:55" ht="9.75" customHeight="1" x14ac:dyDescent="0.2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  <c r="BB632" s="24"/>
      <c r="BC632" s="24"/>
    </row>
    <row r="633" spans="1:55" ht="9.75" customHeight="1" x14ac:dyDescent="0.2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</row>
    <row r="634" spans="1:55" ht="9.75" customHeight="1" x14ac:dyDescent="0.2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  <c r="BB634" s="24"/>
      <c r="BC634" s="24"/>
    </row>
    <row r="635" spans="1:55" ht="9.75" customHeight="1" x14ac:dyDescent="0.2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  <c r="BB635" s="24"/>
      <c r="BC635" s="24"/>
    </row>
    <row r="636" spans="1:55" ht="9.75" customHeight="1" x14ac:dyDescent="0.2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  <c r="BB636" s="24"/>
      <c r="BC636" s="24"/>
    </row>
    <row r="637" spans="1:55" ht="9.75" customHeight="1" x14ac:dyDescent="0.2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</row>
    <row r="638" spans="1:55" ht="9.75" customHeight="1" x14ac:dyDescent="0.2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</row>
    <row r="639" spans="1:55" ht="9.75" customHeight="1" x14ac:dyDescent="0.2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</row>
    <row r="640" spans="1:55" ht="9.75" customHeight="1" x14ac:dyDescent="0.2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</row>
    <row r="641" spans="1:55" ht="9.75" customHeight="1" x14ac:dyDescent="0.2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  <c r="BB641" s="24"/>
      <c r="BC641" s="24"/>
    </row>
    <row r="642" spans="1:55" ht="9.75" customHeight="1" x14ac:dyDescent="0.2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</row>
    <row r="643" spans="1:55" ht="9.75" customHeight="1" x14ac:dyDescent="0.2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</row>
    <row r="644" spans="1:55" ht="9.75" customHeight="1" x14ac:dyDescent="0.2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  <c r="BB644" s="24"/>
      <c r="BC644" s="24"/>
    </row>
    <row r="645" spans="1:55" ht="9.75" customHeight="1" x14ac:dyDescent="0.2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</row>
    <row r="646" spans="1:55" ht="9.75" customHeight="1" x14ac:dyDescent="0.2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</row>
    <row r="647" spans="1:55" ht="9.75" customHeight="1" x14ac:dyDescent="0.2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</row>
    <row r="648" spans="1:55" ht="9.75" customHeight="1" x14ac:dyDescent="0.2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</row>
    <row r="649" spans="1:55" ht="9.75" customHeight="1" x14ac:dyDescent="0.2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  <c r="BB649" s="24"/>
      <c r="BC649" s="24"/>
    </row>
    <row r="650" spans="1:55" ht="9.75" customHeight="1" x14ac:dyDescent="0.2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  <c r="BB650" s="24"/>
      <c r="BC650" s="24"/>
    </row>
    <row r="651" spans="1:55" ht="9.75" customHeight="1" x14ac:dyDescent="0.2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</row>
    <row r="652" spans="1:55" ht="9.75" customHeight="1" x14ac:dyDescent="0.2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  <c r="BB652" s="24"/>
      <c r="BC652" s="24"/>
    </row>
    <row r="653" spans="1:55" ht="9.75" customHeight="1" x14ac:dyDescent="0.2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</row>
    <row r="654" spans="1:55" ht="9.75" customHeight="1" x14ac:dyDescent="0.2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  <c r="BB654" s="24"/>
      <c r="BC654" s="24"/>
    </row>
    <row r="655" spans="1:55" ht="9.75" customHeight="1" x14ac:dyDescent="0.2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</row>
    <row r="656" spans="1:55" ht="9.75" customHeight="1" x14ac:dyDescent="0.2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</row>
    <row r="657" spans="1:55" ht="9.75" customHeight="1" x14ac:dyDescent="0.2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  <c r="BB657" s="24"/>
      <c r="BC657" s="24"/>
    </row>
    <row r="658" spans="1:55" ht="9.75" customHeight="1" x14ac:dyDescent="0.2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</row>
    <row r="659" spans="1:55" ht="9.75" customHeight="1" x14ac:dyDescent="0.2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  <c r="BB659" s="24"/>
      <c r="BC659" s="24"/>
    </row>
    <row r="660" spans="1:55" ht="9.75" customHeight="1" x14ac:dyDescent="0.2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</row>
    <row r="661" spans="1:55" ht="9.75" customHeight="1" x14ac:dyDescent="0.2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  <c r="BB661" s="24"/>
      <c r="BC661" s="24"/>
    </row>
    <row r="662" spans="1:55" ht="9.75" customHeight="1" x14ac:dyDescent="0.2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</row>
    <row r="663" spans="1:55" ht="9.75" customHeight="1" x14ac:dyDescent="0.2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  <c r="BB663" s="24"/>
      <c r="BC663" s="24"/>
    </row>
    <row r="664" spans="1:55" ht="9.75" customHeight="1" x14ac:dyDescent="0.2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  <c r="BB664" s="24"/>
      <c r="BC664" s="24"/>
    </row>
    <row r="665" spans="1:55" ht="9.75" customHeight="1" x14ac:dyDescent="0.2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</row>
    <row r="666" spans="1:55" ht="9.75" customHeight="1" x14ac:dyDescent="0.2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</row>
    <row r="667" spans="1:55" ht="9.75" customHeight="1" x14ac:dyDescent="0.2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  <c r="BB667" s="24"/>
      <c r="BC667" s="24"/>
    </row>
    <row r="668" spans="1:55" ht="9.75" customHeight="1" x14ac:dyDescent="0.2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</row>
    <row r="669" spans="1:55" ht="9.75" customHeight="1" x14ac:dyDescent="0.2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</row>
    <row r="670" spans="1:55" ht="9.75" customHeight="1" x14ac:dyDescent="0.2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</row>
    <row r="671" spans="1:55" ht="9.75" customHeight="1" x14ac:dyDescent="0.2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  <c r="BB671" s="24"/>
      <c r="BC671" s="24"/>
    </row>
    <row r="672" spans="1:55" ht="9.75" customHeight="1" x14ac:dyDescent="0.2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  <c r="BA672" s="24"/>
      <c r="BB672" s="24"/>
      <c r="BC672" s="24"/>
    </row>
    <row r="673" spans="1:55" ht="9.75" customHeight="1" x14ac:dyDescent="0.2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  <c r="BA673" s="24"/>
      <c r="BB673" s="24"/>
      <c r="BC673" s="24"/>
    </row>
    <row r="674" spans="1:55" ht="9.75" customHeight="1" x14ac:dyDescent="0.2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  <c r="BA674" s="24"/>
      <c r="BB674" s="24"/>
      <c r="BC674" s="24"/>
    </row>
    <row r="675" spans="1:55" ht="9.75" customHeight="1" x14ac:dyDescent="0.2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</row>
    <row r="676" spans="1:55" ht="9.75" customHeight="1" x14ac:dyDescent="0.2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</row>
    <row r="677" spans="1:55" ht="9.75" customHeight="1" x14ac:dyDescent="0.2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  <c r="BA677" s="24"/>
      <c r="BB677" s="24"/>
      <c r="BC677" s="24"/>
    </row>
    <row r="678" spans="1:55" ht="9.75" customHeight="1" x14ac:dyDescent="0.2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  <c r="BB678" s="24"/>
      <c r="BC678" s="24"/>
    </row>
    <row r="679" spans="1:55" ht="9.75" customHeight="1" x14ac:dyDescent="0.2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  <c r="BA679" s="24"/>
      <c r="BB679" s="24"/>
      <c r="BC679" s="24"/>
    </row>
    <row r="680" spans="1:55" ht="9.75" customHeight="1" x14ac:dyDescent="0.2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  <c r="BB680" s="24"/>
      <c r="BC680" s="24"/>
    </row>
    <row r="681" spans="1:55" ht="9.75" customHeight="1" x14ac:dyDescent="0.2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  <c r="BB681" s="24"/>
      <c r="BC681" s="24"/>
    </row>
    <row r="682" spans="1:55" ht="9.75" customHeight="1" x14ac:dyDescent="0.2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  <c r="BA682" s="24"/>
      <c r="BB682" s="24"/>
      <c r="BC682" s="24"/>
    </row>
    <row r="683" spans="1:55" ht="9.75" customHeight="1" x14ac:dyDescent="0.2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  <c r="BA683" s="24"/>
      <c r="BB683" s="24"/>
      <c r="BC683" s="24"/>
    </row>
    <row r="684" spans="1:55" ht="9.75" customHeight="1" x14ac:dyDescent="0.2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  <c r="BA684" s="24"/>
      <c r="BB684" s="24"/>
      <c r="BC684" s="24"/>
    </row>
    <row r="685" spans="1:55" ht="9.75" customHeight="1" x14ac:dyDescent="0.2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  <c r="BB685" s="24"/>
      <c r="BC685" s="24"/>
    </row>
    <row r="686" spans="1:55" ht="9.75" customHeight="1" x14ac:dyDescent="0.2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</row>
    <row r="687" spans="1:55" ht="9.75" customHeight="1" x14ac:dyDescent="0.2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  <c r="BB687" s="24"/>
      <c r="BC687" s="24"/>
    </row>
    <row r="688" spans="1:55" ht="9.75" customHeight="1" x14ac:dyDescent="0.2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  <c r="BA688" s="24"/>
      <c r="BB688" s="24"/>
      <c r="BC688" s="24"/>
    </row>
    <row r="689" spans="1:55" ht="9.75" customHeight="1" x14ac:dyDescent="0.2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</row>
    <row r="690" spans="1:55" ht="9.75" customHeight="1" x14ac:dyDescent="0.2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  <c r="BA690" s="24"/>
      <c r="BB690" s="24"/>
      <c r="BC690" s="24"/>
    </row>
    <row r="691" spans="1:55" ht="9.75" customHeight="1" x14ac:dyDescent="0.2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  <c r="BA691" s="24"/>
      <c r="BB691" s="24"/>
      <c r="BC691" s="24"/>
    </row>
    <row r="692" spans="1:55" ht="9.75" customHeight="1" x14ac:dyDescent="0.2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  <c r="BA692" s="24"/>
      <c r="BB692" s="24"/>
      <c r="BC692" s="24"/>
    </row>
    <row r="693" spans="1:55" ht="9.75" customHeight="1" x14ac:dyDescent="0.2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  <c r="BA693" s="24"/>
      <c r="BB693" s="24"/>
      <c r="BC693" s="24"/>
    </row>
    <row r="694" spans="1:55" ht="9.75" customHeight="1" x14ac:dyDescent="0.2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  <c r="BA694" s="24"/>
      <c r="BB694" s="24"/>
      <c r="BC694" s="24"/>
    </row>
    <row r="695" spans="1:55" ht="9.75" customHeight="1" x14ac:dyDescent="0.2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  <c r="BA695" s="24"/>
      <c r="BB695" s="24"/>
      <c r="BC695" s="24"/>
    </row>
    <row r="696" spans="1:55" ht="9.75" customHeight="1" x14ac:dyDescent="0.2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  <c r="BA696" s="24"/>
      <c r="BB696" s="24"/>
      <c r="BC696" s="24"/>
    </row>
    <row r="697" spans="1:55" ht="9.75" customHeight="1" x14ac:dyDescent="0.2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  <c r="BA697" s="24"/>
      <c r="BB697" s="24"/>
      <c r="BC697" s="24"/>
    </row>
    <row r="698" spans="1:55" ht="9.75" customHeight="1" x14ac:dyDescent="0.2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  <c r="BA698" s="24"/>
      <c r="BB698" s="24"/>
      <c r="BC698" s="24"/>
    </row>
    <row r="699" spans="1:55" ht="9.75" customHeight="1" x14ac:dyDescent="0.2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</row>
    <row r="700" spans="1:55" ht="9.75" customHeight="1" x14ac:dyDescent="0.2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  <c r="BB700" s="24"/>
      <c r="BC700" s="24"/>
    </row>
    <row r="701" spans="1:55" ht="9.75" customHeight="1" x14ac:dyDescent="0.2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</row>
    <row r="702" spans="1:55" ht="9.75" customHeight="1" x14ac:dyDescent="0.2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  <c r="BA702" s="24"/>
      <c r="BB702" s="24"/>
      <c r="BC702" s="24"/>
    </row>
    <row r="703" spans="1:55" ht="9.75" customHeight="1" x14ac:dyDescent="0.2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</row>
    <row r="704" spans="1:55" ht="9.75" customHeight="1" x14ac:dyDescent="0.2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</row>
    <row r="705" spans="1:55" ht="9.75" customHeight="1" x14ac:dyDescent="0.2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  <c r="BB705" s="24"/>
      <c r="BC705" s="24"/>
    </row>
    <row r="706" spans="1:55" ht="9.75" customHeight="1" x14ac:dyDescent="0.2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  <c r="BB706" s="24"/>
      <c r="BC706" s="24"/>
    </row>
    <row r="707" spans="1:55" ht="9.75" customHeight="1" x14ac:dyDescent="0.2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  <c r="BA707" s="24"/>
      <c r="BB707" s="24"/>
      <c r="BC707" s="24"/>
    </row>
    <row r="708" spans="1:55" ht="9.75" customHeight="1" x14ac:dyDescent="0.2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  <c r="BA708" s="24"/>
      <c r="BB708" s="24"/>
      <c r="BC708" s="24"/>
    </row>
    <row r="709" spans="1:55" ht="9.75" customHeight="1" x14ac:dyDescent="0.2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  <c r="BA709" s="24"/>
      <c r="BB709" s="24"/>
      <c r="BC709" s="24"/>
    </row>
    <row r="710" spans="1:55" ht="9.75" customHeight="1" x14ac:dyDescent="0.2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  <c r="BB710" s="24"/>
      <c r="BC710" s="24"/>
    </row>
    <row r="711" spans="1:55" ht="9.75" customHeight="1" x14ac:dyDescent="0.2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  <c r="BB711" s="24"/>
      <c r="BC711" s="24"/>
    </row>
    <row r="712" spans="1:55" ht="9.75" customHeight="1" x14ac:dyDescent="0.2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  <c r="BA712" s="24"/>
      <c r="BB712" s="24"/>
      <c r="BC712" s="24"/>
    </row>
    <row r="713" spans="1:55" ht="9.75" customHeight="1" x14ac:dyDescent="0.2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  <c r="BA713" s="24"/>
      <c r="BB713" s="24"/>
      <c r="BC713" s="24"/>
    </row>
    <row r="714" spans="1:55" ht="9.75" customHeight="1" x14ac:dyDescent="0.2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  <c r="BA714" s="24"/>
      <c r="BB714" s="24"/>
      <c r="BC714" s="24"/>
    </row>
    <row r="715" spans="1:55" ht="9.75" customHeight="1" x14ac:dyDescent="0.2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  <c r="BB715" s="24"/>
      <c r="BC715" s="24"/>
    </row>
    <row r="716" spans="1:55" ht="9.75" customHeight="1" x14ac:dyDescent="0.2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</row>
    <row r="717" spans="1:55" ht="9.75" customHeight="1" x14ac:dyDescent="0.2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  <c r="BB717" s="24"/>
      <c r="BC717" s="24"/>
    </row>
    <row r="718" spans="1:55" ht="9.75" customHeight="1" x14ac:dyDescent="0.2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  <c r="BA718" s="24"/>
      <c r="BB718" s="24"/>
      <c r="BC718" s="24"/>
    </row>
    <row r="719" spans="1:55" ht="9.75" customHeight="1" x14ac:dyDescent="0.2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  <c r="BA719" s="24"/>
      <c r="BB719" s="24"/>
      <c r="BC719" s="24"/>
    </row>
    <row r="720" spans="1:55" ht="9.75" customHeight="1" x14ac:dyDescent="0.2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</row>
    <row r="721" spans="1:55" ht="9.75" customHeight="1" x14ac:dyDescent="0.2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  <c r="BB721" s="24"/>
      <c r="BC721" s="24"/>
    </row>
    <row r="722" spans="1:55" ht="9.75" customHeight="1" x14ac:dyDescent="0.2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  <c r="BA722" s="24"/>
      <c r="BB722" s="24"/>
      <c r="BC722" s="24"/>
    </row>
    <row r="723" spans="1:55" ht="9.75" customHeight="1" x14ac:dyDescent="0.2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  <c r="BB723" s="24"/>
      <c r="BC723" s="24"/>
    </row>
    <row r="724" spans="1:55" ht="9.75" customHeight="1" x14ac:dyDescent="0.2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  <c r="BB724" s="24"/>
      <c r="BC724" s="24"/>
    </row>
    <row r="725" spans="1:55" ht="9.75" customHeight="1" x14ac:dyDescent="0.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</row>
    <row r="726" spans="1:55" ht="9.75" customHeight="1" x14ac:dyDescent="0.2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  <c r="BB726" s="24"/>
      <c r="BC726" s="24"/>
    </row>
    <row r="727" spans="1:55" ht="9.75" customHeight="1" x14ac:dyDescent="0.2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  <c r="BB727" s="24"/>
      <c r="BC727" s="24"/>
    </row>
    <row r="728" spans="1:55" ht="9.75" customHeight="1" x14ac:dyDescent="0.2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  <c r="BA728" s="24"/>
      <c r="BB728" s="24"/>
      <c r="BC728" s="24"/>
    </row>
    <row r="729" spans="1:55" ht="9.75" customHeight="1" x14ac:dyDescent="0.2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  <c r="BB729" s="24"/>
      <c r="BC729" s="24"/>
    </row>
    <row r="730" spans="1:55" ht="9.75" customHeight="1" x14ac:dyDescent="0.2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4"/>
      <c r="BC730" s="24"/>
    </row>
    <row r="731" spans="1:55" ht="9.75" customHeight="1" x14ac:dyDescent="0.2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4"/>
      <c r="BC731" s="24"/>
    </row>
    <row r="732" spans="1:55" ht="9.75" customHeight="1" x14ac:dyDescent="0.2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4"/>
      <c r="BC732" s="24"/>
    </row>
    <row r="733" spans="1:55" ht="9.75" customHeight="1" x14ac:dyDescent="0.2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  <c r="BA733" s="24"/>
      <c r="BB733" s="24"/>
      <c r="BC733" s="24"/>
    </row>
    <row r="734" spans="1:55" ht="9.75" customHeight="1" x14ac:dyDescent="0.2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  <c r="BA734" s="24"/>
      <c r="BB734" s="24"/>
      <c r="BC734" s="24"/>
    </row>
    <row r="735" spans="1:55" ht="9.75" customHeight="1" x14ac:dyDescent="0.2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  <c r="BB735" s="24"/>
      <c r="BC735" s="24"/>
    </row>
    <row r="736" spans="1:55" ht="9.75" customHeight="1" x14ac:dyDescent="0.2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  <c r="BB736" s="24"/>
      <c r="BC736" s="24"/>
    </row>
    <row r="737" spans="1:55" ht="9.75" customHeight="1" x14ac:dyDescent="0.2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  <c r="BA737" s="24"/>
      <c r="BB737" s="24"/>
      <c r="BC737" s="24"/>
    </row>
    <row r="738" spans="1:55" ht="9.75" customHeight="1" x14ac:dyDescent="0.2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  <c r="BA738" s="24"/>
      <c r="BB738" s="24"/>
      <c r="BC738" s="24"/>
    </row>
    <row r="739" spans="1:55" ht="9.75" customHeight="1" x14ac:dyDescent="0.2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  <c r="BA739" s="24"/>
      <c r="BB739" s="24"/>
      <c r="BC739" s="24"/>
    </row>
    <row r="740" spans="1:55" ht="9.75" customHeight="1" x14ac:dyDescent="0.2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  <c r="BA740" s="24"/>
      <c r="BB740" s="24"/>
      <c r="BC740" s="24"/>
    </row>
    <row r="741" spans="1:55" ht="9.75" customHeight="1" x14ac:dyDescent="0.2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  <c r="BA741" s="24"/>
      <c r="BB741" s="24"/>
      <c r="BC741" s="24"/>
    </row>
    <row r="742" spans="1:55" ht="9.75" customHeight="1" x14ac:dyDescent="0.2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  <c r="BA742" s="24"/>
      <c r="BB742" s="24"/>
      <c r="BC742" s="24"/>
    </row>
    <row r="743" spans="1:55" ht="9.75" customHeight="1" x14ac:dyDescent="0.2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  <c r="BA743" s="24"/>
      <c r="BB743" s="24"/>
      <c r="BC743" s="24"/>
    </row>
    <row r="744" spans="1:55" ht="9.75" customHeight="1" x14ac:dyDescent="0.2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  <c r="BA744" s="24"/>
      <c r="BB744" s="24"/>
      <c r="BC744" s="24"/>
    </row>
    <row r="745" spans="1:55" ht="9.75" customHeight="1" x14ac:dyDescent="0.2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  <c r="BA745" s="24"/>
      <c r="BB745" s="24"/>
      <c r="BC745" s="24"/>
    </row>
    <row r="746" spans="1:55" ht="9.75" customHeight="1" x14ac:dyDescent="0.2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  <c r="BA746" s="24"/>
      <c r="BB746" s="24"/>
      <c r="BC746" s="24"/>
    </row>
    <row r="747" spans="1:55" ht="9.75" customHeight="1" x14ac:dyDescent="0.2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  <c r="BA747" s="24"/>
      <c r="BB747" s="24"/>
      <c r="BC747" s="24"/>
    </row>
    <row r="748" spans="1:55" ht="9.75" customHeight="1" x14ac:dyDescent="0.2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  <c r="BA748" s="24"/>
      <c r="BB748" s="24"/>
      <c r="BC748" s="24"/>
    </row>
    <row r="749" spans="1:55" ht="9.75" customHeight="1" x14ac:dyDescent="0.2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  <c r="BA749" s="24"/>
      <c r="BB749" s="24"/>
      <c r="BC749" s="24"/>
    </row>
    <row r="750" spans="1:55" ht="9.75" customHeight="1" x14ac:dyDescent="0.2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  <c r="BA750" s="24"/>
      <c r="BB750" s="24"/>
      <c r="BC750" s="24"/>
    </row>
    <row r="751" spans="1:55" ht="9.75" customHeight="1" x14ac:dyDescent="0.2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  <c r="BB751" s="24"/>
      <c r="BC751" s="24"/>
    </row>
    <row r="752" spans="1:55" ht="9.75" customHeight="1" x14ac:dyDescent="0.2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  <c r="BA752" s="24"/>
      <c r="BB752" s="24"/>
      <c r="BC752" s="24"/>
    </row>
    <row r="753" spans="1:55" ht="9.75" customHeight="1" x14ac:dyDescent="0.2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  <c r="BB753" s="24"/>
      <c r="BC753" s="24"/>
    </row>
    <row r="754" spans="1:55" ht="9.75" customHeight="1" x14ac:dyDescent="0.2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  <c r="BA754" s="24"/>
      <c r="BB754" s="24"/>
      <c r="BC754" s="24"/>
    </row>
    <row r="755" spans="1:55" ht="9.75" customHeight="1" x14ac:dyDescent="0.2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  <c r="BB755" s="24"/>
      <c r="BC755" s="24"/>
    </row>
    <row r="756" spans="1:55" ht="9.75" customHeight="1" x14ac:dyDescent="0.2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</row>
    <row r="757" spans="1:55" ht="9.75" customHeight="1" x14ac:dyDescent="0.2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  <c r="BA757" s="24"/>
      <c r="BB757" s="24"/>
      <c r="BC757" s="24"/>
    </row>
    <row r="758" spans="1:55" ht="9.75" customHeight="1" x14ac:dyDescent="0.2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  <c r="BA758" s="24"/>
      <c r="BB758" s="24"/>
      <c r="BC758" s="24"/>
    </row>
    <row r="759" spans="1:55" ht="9.75" customHeight="1" x14ac:dyDescent="0.2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  <c r="BA759" s="24"/>
      <c r="BB759" s="24"/>
      <c r="BC759" s="24"/>
    </row>
    <row r="760" spans="1:55" ht="9.75" customHeight="1" x14ac:dyDescent="0.2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  <c r="BB760" s="24"/>
      <c r="BC760" s="24"/>
    </row>
    <row r="761" spans="1:55" ht="9.75" customHeight="1" x14ac:dyDescent="0.2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  <c r="BB761" s="24"/>
      <c r="BC761" s="24"/>
    </row>
    <row r="762" spans="1:55" ht="9.75" customHeight="1" x14ac:dyDescent="0.2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  <c r="BA762" s="24"/>
      <c r="BB762" s="24"/>
      <c r="BC762" s="24"/>
    </row>
    <row r="763" spans="1:55" ht="9.75" customHeight="1" x14ac:dyDescent="0.2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  <c r="BB763" s="24"/>
      <c r="BC763" s="24"/>
    </row>
    <row r="764" spans="1:55" ht="9.75" customHeight="1" x14ac:dyDescent="0.2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  <c r="BB764" s="24"/>
      <c r="BC764" s="24"/>
    </row>
    <row r="765" spans="1:55" ht="9.75" customHeight="1" x14ac:dyDescent="0.2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  <c r="BB765" s="24"/>
      <c r="BC765" s="24"/>
    </row>
    <row r="766" spans="1:55" ht="9.75" customHeight="1" x14ac:dyDescent="0.2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  <c r="BB766" s="24"/>
      <c r="BC766" s="24"/>
    </row>
    <row r="767" spans="1:55" ht="9.75" customHeight="1" x14ac:dyDescent="0.2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  <c r="BA767" s="24"/>
      <c r="BB767" s="24"/>
      <c r="BC767" s="24"/>
    </row>
    <row r="768" spans="1:55" ht="9.75" customHeight="1" x14ac:dyDescent="0.2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  <c r="BA768" s="24"/>
      <c r="BB768" s="24"/>
      <c r="BC768" s="24"/>
    </row>
    <row r="769" spans="1:55" ht="9.75" customHeight="1" x14ac:dyDescent="0.2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  <c r="BA769" s="24"/>
      <c r="BB769" s="24"/>
      <c r="BC769" s="24"/>
    </row>
    <row r="770" spans="1:55" ht="9.75" customHeight="1" x14ac:dyDescent="0.2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  <c r="BB770" s="24"/>
      <c r="BC770" s="24"/>
    </row>
    <row r="771" spans="1:55" ht="9.75" customHeight="1" x14ac:dyDescent="0.2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  <c r="BB771" s="24"/>
      <c r="BC771" s="24"/>
    </row>
    <row r="772" spans="1:55" ht="9.75" customHeight="1" x14ac:dyDescent="0.2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  <c r="BA772" s="24"/>
      <c r="BB772" s="24"/>
      <c r="BC772" s="24"/>
    </row>
    <row r="773" spans="1:55" ht="9.75" customHeight="1" x14ac:dyDescent="0.2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  <c r="BA773" s="24"/>
      <c r="BB773" s="24"/>
      <c r="BC773" s="24"/>
    </row>
    <row r="774" spans="1:55" ht="9.75" customHeight="1" x14ac:dyDescent="0.2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  <c r="BA774" s="24"/>
      <c r="BB774" s="24"/>
      <c r="BC774" s="24"/>
    </row>
    <row r="775" spans="1:55" ht="9.75" customHeight="1" x14ac:dyDescent="0.2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  <c r="BB775" s="24"/>
      <c r="BC775" s="24"/>
    </row>
    <row r="776" spans="1:55" ht="9.75" customHeight="1" x14ac:dyDescent="0.2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  <c r="BB776" s="24"/>
      <c r="BC776" s="24"/>
    </row>
    <row r="777" spans="1:55" ht="9.75" customHeight="1" x14ac:dyDescent="0.2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  <c r="BA777" s="24"/>
      <c r="BB777" s="24"/>
      <c r="BC777" s="24"/>
    </row>
    <row r="778" spans="1:55" ht="9.75" customHeight="1" x14ac:dyDescent="0.2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  <c r="BA778" s="24"/>
      <c r="BB778" s="24"/>
      <c r="BC778" s="24"/>
    </row>
    <row r="779" spans="1:55" ht="9.75" customHeight="1" x14ac:dyDescent="0.2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</row>
    <row r="780" spans="1:55" ht="9.75" customHeight="1" x14ac:dyDescent="0.2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</row>
    <row r="781" spans="1:55" ht="9.75" customHeight="1" x14ac:dyDescent="0.2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</row>
    <row r="782" spans="1:55" ht="9.75" customHeight="1" x14ac:dyDescent="0.2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</row>
    <row r="783" spans="1:55" ht="9.75" customHeight="1" x14ac:dyDescent="0.2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  <c r="BB783" s="24"/>
      <c r="BC783" s="24"/>
    </row>
    <row r="784" spans="1:55" ht="9.75" customHeight="1" x14ac:dyDescent="0.2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  <c r="BA784" s="24"/>
      <c r="BB784" s="24"/>
      <c r="BC784" s="24"/>
    </row>
    <row r="785" spans="1:55" ht="9.75" customHeight="1" x14ac:dyDescent="0.2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  <c r="BB785" s="24"/>
      <c r="BC785" s="24"/>
    </row>
    <row r="786" spans="1:55" ht="9.75" customHeight="1" x14ac:dyDescent="0.2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  <c r="BB786" s="24"/>
      <c r="BC786" s="24"/>
    </row>
    <row r="787" spans="1:55" ht="9.75" customHeight="1" x14ac:dyDescent="0.2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  <c r="BB787" s="24"/>
      <c r="BC787" s="24"/>
    </row>
    <row r="788" spans="1:55" ht="9.75" customHeight="1" x14ac:dyDescent="0.2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  <c r="BB788" s="24"/>
      <c r="BC788" s="24"/>
    </row>
    <row r="789" spans="1:55" ht="9.75" customHeight="1" x14ac:dyDescent="0.2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  <c r="BB789" s="24"/>
      <c r="BC789" s="24"/>
    </row>
    <row r="790" spans="1:55" ht="9.75" customHeight="1" x14ac:dyDescent="0.2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</row>
    <row r="791" spans="1:55" ht="9.75" customHeight="1" x14ac:dyDescent="0.2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</row>
    <row r="792" spans="1:55" ht="9.75" customHeight="1" x14ac:dyDescent="0.2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  <c r="BB792" s="24"/>
      <c r="BC792" s="24"/>
    </row>
    <row r="793" spans="1:55" ht="9.75" customHeight="1" x14ac:dyDescent="0.2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  <c r="BB793" s="24"/>
      <c r="BC793" s="24"/>
    </row>
    <row r="794" spans="1:55" ht="9.75" customHeight="1" x14ac:dyDescent="0.2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  <c r="BB794" s="24"/>
      <c r="BC794" s="24"/>
    </row>
    <row r="795" spans="1:55" ht="9.75" customHeight="1" x14ac:dyDescent="0.2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</row>
    <row r="796" spans="1:55" ht="9.75" customHeight="1" x14ac:dyDescent="0.2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</row>
    <row r="797" spans="1:55" ht="9.75" customHeight="1" x14ac:dyDescent="0.2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  <c r="BB797" s="24"/>
      <c r="BC797" s="24"/>
    </row>
    <row r="798" spans="1:55" ht="9.75" customHeight="1" x14ac:dyDescent="0.2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  <c r="BB798" s="24"/>
      <c r="BC798" s="24"/>
    </row>
    <row r="799" spans="1:55" ht="9.75" customHeight="1" x14ac:dyDescent="0.2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  <c r="BB799" s="24"/>
      <c r="BC799" s="24"/>
    </row>
    <row r="800" spans="1:55" ht="9.75" customHeight="1" x14ac:dyDescent="0.2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</row>
    <row r="801" spans="1:55" ht="9.75" customHeight="1" x14ac:dyDescent="0.2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</row>
    <row r="802" spans="1:55" ht="9.75" customHeight="1" x14ac:dyDescent="0.2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  <c r="BB802" s="24"/>
      <c r="BC802" s="24"/>
    </row>
    <row r="803" spans="1:55" ht="9.75" customHeight="1" x14ac:dyDescent="0.2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  <c r="BB803" s="24"/>
      <c r="BC803" s="24"/>
    </row>
    <row r="804" spans="1:55" ht="9.75" customHeight="1" x14ac:dyDescent="0.2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  <c r="BA804" s="24"/>
      <c r="BB804" s="24"/>
      <c r="BC804" s="24"/>
    </row>
    <row r="805" spans="1:55" ht="9.75" customHeight="1" x14ac:dyDescent="0.2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</row>
    <row r="806" spans="1:55" ht="9.75" customHeight="1" x14ac:dyDescent="0.2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  <c r="BA806" s="24"/>
      <c r="BB806" s="24"/>
      <c r="BC806" s="24"/>
    </row>
    <row r="807" spans="1:55" ht="9.75" customHeight="1" x14ac:dyDescent="0.2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  <c r="BB807" s="24"/>
      <c r="BC807" s="24"/>
    </row>
    <row r="808" spans="1:55" ht="9.75" customHeight="1" x14ac:dyDescent="0.2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  <c r="BA808" s="24"/>
      <c r="BB808" s="24"/>
      <c r="BC808" s="24"/>
    </row>
    <row r="809" spans="1:55" ht="9.75" customHeight="1" x14ac:dyDescent="0.2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  <c r="BB809" s="24"/>
      <c r="BC809" s="24"/>
    </row>
    <row r="810" spans="1:55" ht="9.75" customHeight="1" x14ac:dyDescent="0.2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</row>
    <row r="811" spans="1:55" ht="9.75" customHeight="1" x14ac:dyDescent="0.2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</row>
    <row r="812" spans="1:55" ht="9.75" customHeight="1" x14ac:dyDescent="0.2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  <c r="BB812" s="24"/>
      <c r="BC812" s="24"/>
    </row>
    <row r="813" spans="1:55" ht="9.75" customHeight="1" x14ac:dyDescent="0.2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  <c r="BB813" s="24"/>
      <c r="BC813" s="24"/>
    </row>
    <row r="814" spans="1:55" ht="9.75" customHeight="1" x14ac:dyDescent="0.2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  <c r="BB814" s="24"/>
      <c r="BC814" s="24"/>
    </row>
    <row r="815" spans="1:55" ht="9.75" customHeight="1" x14ac:dyDescent="0.2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</row>
    <row r="816" spans="1:55" ht="9.75" customHeight="1" x14ac:dyDescent="0.2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</row>
    <row r="817" spans="1:55" ht="9.75" customHeight="1" x14ac:dyDescent="0.2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  <c r="BA817" s="24"/>
      <c r="BB817" s="24"/>
      <c r="BC817" s="24"/>
    </row>
    <row r="818" spans="1:55" ht="9.75" customHeight="1" x14ac:dyDescent="0.2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  <c r="BB818" s="24"/>
      <c r="BC818" s="24"/>
    </row>
    <row r="819" spans="1:55" ht="9.75" customHeight="1" x14ac:dyDescent="0.2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  <c r="BA819" s="24"/>
      <c r="BB819" s="24"/>
      <c r="BC819" s="24"/>
    </row>
    <row r="820" spans="1:55" ht="9.75" customHeight="1" x14ac:dyDescent="0.2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  <c r="BB820" s="24"/>
      <c r="BC820" s="24"/>
    </row>
    <row r="821" spans="1:55" ht="9.75" customHeight="1" x14ac:dyDescent="0.2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  <c r="BB821" s="24"/>
      <c r="BC821" s="24"/>
    </row>
    <row r="822" spans="1:55" ht="9.75" customHeight="1" x14ac:dyDescent="0.2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  <c r="BA822" s="24"/>
      <c r="BB822" s="24"/>
      <c r="BC822" s="24"/>
    </row>
    <row r="823" spans="1:55" ht="9.75" customHeight="1" x14ac:dyDescent="0.2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  <c r="BA823" s="24"/>
      <c r="BB823" s="24"/>
      <c r="BC823" s="24"/>
    </row>
    <row r="824" spans="1:55" ht="9.75" customHeight="1" x14ac:dyDescent="0.2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  <c r="BA824" s="24"/>
      <c r="BB824" s="24"/>
      <c r="BC824" s="24"/>
    </row>
    <row r="825" spans="1:55" ht="9.75" customHeight="1" x14ac:dyDescent="0.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  <c r="BB825" s="24"/>
      <c r="BC825" s="24"/>
    </row>
    <row r="826" spans="1:55" ht="9.75" customHeight="1" x14ac:dyDescent="0.2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  <c r="BB826" s="24"/>
      <c r="BC826" s="24"/>
    </row>
    <row r="827" spans="1:55" ht="9.75" customHeight="1" x14ac:dyDescent="0.2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  <c r="BA827" s="24"/>
      <c r="BB827" s="24"/>
      <c r="BC827" s="24"/>
    </row>
    <row r="828" spans="1:55" ht="9.75" customHeight="1" x14ac:dyDescent="0.2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  <c r="BA828" s="24"/>
      <c r="BB828" s="24"/>
      <c r="BC828" s="24"/>
    </row>
    <row r="829" spans="1:55" ht="9.75" customHeight="1" x14ac:dyDescent="0.2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  <c r="BA829" s="24"/>
      <c r="BB829" s="24"/>
      <c r="BC829" s="24"/>
    </row>
    <row r="830" spans="1:55" ht="9.75" customHeight="1" x14ac:dyDescent="0.2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</row>
    <row r="831" spans="1:55" ht="9.75" customHeight="1" x14ac:dyDescent="0.2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  <c r="BB831" s="24"/>
      <c r="BC831" s="24"/>
    </row>
    <row r="832" spans="1:55" ht="9.75" customHeight="1" x14ac:dyDescent="0.2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  <c r="BB832" s="24"/>
      <c r="BC832" s="24"/>
    </row>
    <row r="833" spans="1:55" ht="9.75" customHeight="1" x14ac:dyDescent="0.2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  <c r="BA833" s="24"/>
      <c r="BB833" s="24"/>
      <c r="BC833" s="24"/>
    </row>
    <row r="834" spans="1:55" ht="9.75" customHeight="1" x14ac:dyDescent="0.2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  <c r="BB834" s="24"/>
      <c r="BC834" s="24"/>
    </row>
    <row r="835" spans="1:55" ht="9.75" customHeight="1" x14ac:dyDescent="0.2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  <c r="BB835" s="24"/>
      <c r="BC835" s="24"/>
    </row>
    <row r="836" spans="1:55" ht="9.75" customHeight="1" x14ac:dyDescent="0.2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  <c r="BB836" s="24"/>
      <c r="BC836" s="24"/>
    </row>
    <row r="837" spans="1:55" ht="9.75" customHeight="1" x14ac:dyDescent="0.2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  <c r="BA837" s="24"/>
      <c r="BB837" s="24"/>
      <c r="BC837" s="24"/>
    </row>
    <row r="838" spans="1:55" ht="9.75" customHeight="1" x14ac:dyDescent="0.2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  <c r="BA838" s="24"/>
      <c r="BB838" s="24"/>
      <c r="BC838" s="24"/>
    </row>
    <row r="839" spans="1:55" ht="9.75" customHeight="1" x14ac:dyDescent="0.2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  <c r="BA839" s="24"/>
      <c r="BB839" s="24"/>
      <c r="BC839" s="24"/>
    </row>
    <row r="840" spans="1:55" ht="9.75" customHeight="1" x14ac:dyDescent="0.2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  <c r="BB840" s="24"/>
      <c r="BC840" s="24"/>
    </row>
    <row r="841" spans="1:55" ht="9.75" customHeight="1" x14ac:dyDescent="0.2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  <c r="BB841" s="24"/>
      <c r="BC841" s="24"/>
    </row>
    <row r="842" spans="1:55" ht="9.75" customHeight="1" x14ac:dyDescent="0.2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  <c r="BA842" s="24"/>
      <c r="BB842" s="24"/>
      <c r="BC842" s="24"/>
    </row>
    <row r="843" spans="1:55" ht="9.75" customHeight="1" x14ac:dyDescent="0.2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  <c r="BA843" s="24"/>
      <c r="BB843" s="24"/>
      <c r="BC843" s="24"/>
    </row>
    <row r="844" spans="1:55" ht="9.75" customHeight="1" x14ac:dyDescent="0.2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  <c r="BA844" s="24"/>
      <c r="BB844" s="24"/>
      <c r="BC844" s="24"/>
    </row>
    <row r="845" spans="1:55" ht="9.75" customHeight="1" x14ac:dyDescent="0.2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  <c r="BB845" s="24"/>
      <c r="BC845" s="24"/>
    </row>
    <row r="846" spans="1:55" ht="9.75" customHeight="1" x14ac:dyDescent="0.2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  <c r="BB846" s="24"/>
      <c r="BC846" s="24"/>
    </row>
    <row r="847" spans="1:55" ht="9.75" customHeight="1" x14ac:dyDescent="0.2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  <c r="BA847" s="24"/>
      <c r="BB847" s="24"/>
      <c r="BC847" s="24"/>
    </row>
    <row r="848" spans="1:55" ht="9.75" customHeight="1" x14ac:dyDescent="0.2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  <c r="BA848" s="24"/>
      <c r="BB848" s="24"/>
      <c r="BC848" s="24"/>
    </row>
    <row r="849" spans="1:55" ht="9.75" customHeight="1" x14ac:dyDescent="0.2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  <c r="BA849" s="24"/>
      <c r="BB849" s="24"/>
      <c r="BC849" s="24"/>
    </row>
    <row r="850" spans="1:55" ht="9.75" customHeight="1" x14ac:dyDescent="0.2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  <c r="BB850" s="24"/>
      <c r="BC850" s="24"/>
    </row>
    <row r="851" spans="1:55" ht="9.75" customHeight="1" x14ac:dyDescent="0.2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  <c r="BB851" s="24"/>
      <c r="BC851" s="24"/>
    </row>
    <row r="852" spans="1:55" ht="9.75" customHeight="1" x14ac:dyDescent="0.2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  <c r="BA852" s="24"/>
      <c r="BB852" s="24"/>
      <c r="BC852" s="24"/>
    </row>
    <row r="853" spans="1:55" ht="9.75" customHeight="1" x14ac:dyDescent="0.2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  <c r="BA853" s="24"/>
      <c r="BB853" s="24"/>
      <c r="BC853" s="24"/>
    </row>
    <row r="854" spans="1:55" ht="9.75" customHeight="1" x14ac:dyDescent="0.2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  <c r="BA854" s="24"/>
      <c r="BB854" s="24"/>
      <c r="BC854" s="24"/>
    </row>
    <row r="855" spans="1:55" ht="9.75" customHeight="1" x14ac:dyDescent="0.2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  <c r="BB855" s="24"/>
      <c r="BC855" s="24"/>
    </row>
    <row r="856" spans="1:55" ht="9.75" customHeight="1" x14ac:dyDescent="0.2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  <c r="BA856" s="24"/>
      <c r="BB856" s="24"/>
      <c r="BC856" s="24"/>
    </row>
    <row r="857" spans="1:55" ht="9.75" customHeight="1" x14ac:dyDescent="0.2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  <c r="BA857" s="24"/>
      <c r="BB857" s="24"/>
      <c r="BC857" s="24"/>
    </row>
    <row r="858" spans="1:55" ht="9.75" customHeight="1" x14ac:dyDescent="0.2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  <c r="BA858" s="24"/>
      <c r="BB858" s="24"/>
      <c r="BC858" s="24"/>
    </row>
    <row r="859" spans="1:55" ht="9.75" customHeight="1" x14ac:dyDescent="0.2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  <c r="BB859" s="24"/>
      <c r="BC859" s="24"/>
    </row>
    <row r="860" spans="1:55" ht="9.75" customHeight="1" x14ac:dyDescent="0.2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</row>
    <row r="861" spans="1:55" ht="9.75" customHeight="1" x14ac:dyDescent="0.2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</row>
    <row r="862" spans="1:55" ht="9.75" customHeight="1" x14ac:dyDescent="0.2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  <c r="BB862" s="24"/>
      <c r="BC862" s="24"/>
    </row>
    <row r="863" spans="1:55" ht="9.75" customHeight="1" x14ac:dyDescent="0.2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  <c r="BB863" s="24"/>
      <c r="BC863" s="24"/>
    </row>
    <row r="864" spans="1:55" ht="9.75" customHeight="1" x14ac:dyDescent="0.2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  <c r="BB864" s="24"/>
      <c r="BC864" s="24"/>
    </row>
    <row r="865" spans="1:55" ht="9.75" customHeight="1" x14ac:dyDescent="0.2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</row>
    <row r="866" spans="1:55" ht="9.75" customHeight="1" x14ac:dyDescent="0.2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</row>
    <row r="867" spans="1:55" ht="9.75" customHeight="1" x14ac:dyDescent="0.2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</row>
    <row r="868" spans="1:55" ht="9.75" customHeight="1" x14ac:dyDescent="0.2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</row>
    <row r="869" spans="1:55" ht="9.75" customHeight="1" x14ac:dyDescent="0.2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</row>
    <row r="870" spans="1:55" ht="9.75" customHeight="1" x14ac:dyDescent="0.2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</row>
    <row r="871" spans="1:55" ht="9.75" customHeight="1" x14ac:dyDescent="0.2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</row>
    <row r="872" spans="1:55" ht="9.75" customHeight="1" x14ac:dyDescent="0.2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</row>
    <row r="873" spans="1:55" ht="9.75" customHeight="1" x14ac:dyDescent="0.2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</row>
    <row r="874" spans="1:55" ht="9.75" customHeight="1" x14ac:dyDescent="0.2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</row>
    <row r="875" spans="1:55" ht="9.75" customHeight="1" x14ac:dyDescent="0.2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</row>
    <row r="876" spans="1:55" ht="9.75" customHeight="1" x14ac:dyDescent="0.2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</row>
    <row r="877" spans="1:55" ht="9.75" customHeight="1" x14ac:dyDescent="0.2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</row>
    <row r="878" spans="1:55" ht="9.75" customHeight="1" x14ac:dyDescent="0.2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</row>
    <row r="879" spans="1:55" ht="9.75" customHeight="1" x14ac:dyDescent="0.2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</row>
    <row r="880" spans="1:55" ht="9.75" customHeight="1" x14ac:dyDescent="0.2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</row>
    <row r="881" spans="1:55" ht="9.75" customHeight="1" x14ac:dyDescent="0.2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</row>
    <row r="882" spans="1:55" ht="9.75" customHeight="1" x14ac:dyDescent="0.2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</row>
    <row r="883" spans="1:55" ht="9.75" customHeight="1" x14ac:dyDescent="0.2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</row>
    <row r="884" spans="1:55" ht="9.75" customHeight="1" x14ac:dyDescent="0.2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</row>
    <row r="885" spans="1:55" ht="9.75" customHeight="1" x14ac:dyDescent="0.2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</row>
    <row r="886" spans="1:55" ht="9.75" customHeight="1" x14ac:dyDescent="0.2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</row>
    <row r="887" spans="1:55" ht="9.75" customHeight="1" x14ac:dyDescent="0.2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</row>
    <row r="888" spans="1:55" ht="9.75" customHeight="1" x14ac:dyDescent="0.2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</row>
    <row r="889" spans="1:55" ht="9.75" customHeight="1" x14ac:dyDescent="0.2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</row>
    <row r="890" spans="1:55" ht="9.75" customHeight="1" x14ac:dyDescent="0.2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</row>
    <row r="891" spans="1:55" ht="9.75" customHeight="1" x14ac:dyDescent="0.2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</row>
    <row r="892" spans="1:55" ht="9.75" customHeight="1" x14ac:dyDescent="0.2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</row>
    <row r="893" spans="1:55" ht="9.75" customHeight="1" x14ac:dyDescent="0.2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</row>
    <row r="894" spans="1:55" ht="9.75" customHeight="1" x14ac:dyDescent="0.2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</row>
    <row r="895" spans="1:55" ht="9.75" customHeight="1" x14ac:dyDescent="0.2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</row>
    <row r="896" spans="1:55" ht="9.75" customHeight="1" x14ac:dyDescent="0.2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</row>
    <row r="897" spans="1:55" ht="9.75" customHeight="1" x14ac:dyDescent="0.2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</row>
    <row r="898" spans="1:55" ht="9.75" customHeight="1" x14ac:dyDescent="0.2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</row>
    <row r="899" spans="1:55" ht="9.75" customHeight="1" x14ac:dyDescent="0.2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</row>
    <row r="900" spans="1:55" ht="9.75" customHeight="1" x14ac:dyDescent="0.2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  <c r="BB900" s="24"/>
      <c r="BC900" s="24"/>
    </row>
    <row r="901" spans="1:55" ht="9.75" customHeight="1" x14ac:dyDescent="0.2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</row>
    <row r="902" spans="1:55" ht="9.75" customHeight="1" x14ac:dyDescent="0.2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</row>
    <row r="903" spans="1:55" ht="9.75" customHeight="1" x14ac:dyDescent="0.2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</row>
    <row r="904" spans="1:55" ht="9.75" customHeight="1" x14ac:dyDescent="0.2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</row>
    <row r="905" spans="1:55" ht="9.75" customHeight="1" x14ac:dyDescent="0.2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</row>
    <row r="906" spans="1:55" ht="9.75" customHeight="1" x14ac:dyDescent="0.2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</row>
    <row r="907" spans="1:55" ht="9.75" customHeight="1" x14ac:dyDescent="0.2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</row>
    <row r="908" spans="1:55" ht="9.75" customHeight="1" x14ac:dyDescent="0.2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</row>
    <row r="909" spans="1:55" ht="9.75" customHeight="1" x14ac:dyDescent="0.2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</row>
    <row r="910" spans="1:55" ht="9.75" customHeight="1" x14ac:dyDescent="0.2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</row>
    <row r="911" spans="1:55" ht="9.75" customHeight="1" x14ac:dyDescent="0.2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</row>
    <row r="912" spans="1:55" ht="9.75" customHeight="1" x14ac:dyDescent="0.2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</row>
    <row r="913" spans="1:55" ht="9.75" customHeight="1" x14ac:dyDescent="0.2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</row>
    <row r="914" spans="1:55" ht="9.75" customHeight="1" x14ac:dyDescent="0.2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</row>
    <row r="915" spans="1:55" ht="9.75" customHeight="1" x14ac:dyDescent="0.2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</row>
    <row r="916" spans="1:55" ht="9.75" customHeight="1" x14ac:dyDescent="0.2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</row>
    <row r="917" spans="1:55" ht="9.75" customHeight="1" x14ac:dyDescent="0.2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</row>
    <row r="918" spans="1:55" ht="9.75" customHeight="1" x14ac:dyDescent="0.2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</row>
    <row r="919" spans="1:55" ht="9.75" customHeight="1" x14ac:dyDescent="0.2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</row>
    <row r="920" spans="1:55" ht="9.75" customHeight="1" x14ac:dyDescent="0.2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</row>
    <row r="921" spans="1:55" ht="9.75" customHeight="1" x14ac:dyDescent="0.2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</row>
    <row r="922" spans="1:55" ht="9.75" customHeight="1" x14ac:dyDescent="0.2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</row>
    <row r="923" spans="1:55" ht="9.75" customHeight="1" x14ac:dyDescent="0.2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</row>
    <row r="924" spans="1:55" ht="9.75" customHeight="1" x14ac:dyDescent="0.2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</row>
    <row r="925" spans="1:55" ht="9.75" customHeight="1" x14ac:dyDescent="0.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</row>
    <row r="926" spans="1:55" ht="9.75" customHeight="1" x14ac:dyDescent="0.2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</row>
    <row r="927" spans="1:55" ht="9.75" customHeight="1" x14ac:dyDescent="0.2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</row>
    <row r="928" spans="1:55" ht="9.75" customHeight="1" x14ac:dyDescent="0.2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</row>
    <row r="929" spans="1:55" ht="9.75" customHeight="1" x14ac:dyDescent="0.2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</row>
    <row r="930" spans="1:55" ht="9.75" customHeight="1" x14ac:dyDescent="0.2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</row>
    <row r="931" spans="1:55" ht="9.75" customHeight="1" x14ac:dyDescent="0.2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  <c r="BA931" s="24"/>
      <c r="BB931" s="24"/>
      <c r="BC931" s="24"/>
    </row>
    <row r="932" spans="1:55" ht="9.75" customHeight="1" x14ac:dyDescent="0.2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</row>
    <row r="933" spans="1:55" ht="9.75" customHeight="1" x14ac:dyDescent="0.2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</row>
    <row r="934" spans="1:55" ht="9.75" customHeight="1" x14ac:dyDescent="0.2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  <c r="BB934" s="24"/>
      <c r="BC934" s="24"/>
    </row>
    <row r="935" spans="1:55" ht="9.75" customHeight="1" x14ac:dyDescent="0.2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</row>
    <row r="936" spans="1:55" ht="9.75" customHeight="1" x14ac:dyDescent="0.2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</row>
    <row r="937" spans="1:55" ht="9.75" customHeight="1" x14ac:dyDescent="0.2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</row>
    <row r="938" spans="1:55" ht="9.75" customHeight="1" x14ac:dyDescent="0.2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  <c r="BA938" s="24"/>
      <c r="BB938" s="24"/>
      <c r="BC938" s="24"/>
    </row>
    <row r="939" spans="1:55" ht="9.75" customHeight="1" x14ac:dyDescent="0.2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  <c r="BA939" s="24"/>
      <c r="BB939" s="24"/>
      <c r="BC939" s="24"/>
    </row>
    <row r="940" spans="1:55" ht="9.75" customHeight="1" x14ac:dyDescent="0.2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  <c r="BA940" s="24"/>
      <c r="BB940" s="24"/>
      <c r="BC940" s="24"/>
    </row>
    <row r="941" spans="1:55" ht="9.75" customHeight="1" x14ac:dyDescent="0.2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  <c r="BA941" s="24"/>
      <c r="BB941" s="24"/>
      <c r="BC941" s="24"/>
    </row>
    <row r="942" spans="1:55" ht="9.75" customHeight="1" x14ac:dyDescent="0.2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  <c r="BA942" s="24"/>
      <c r="BB942" s="24"/>
      <c r="BC942" s="24"/>
    </row>
    <row r="943" spans="1:55" ht="9.75" customHeight="1" x14ac:dyDescent="0.2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  <c r="BA943" s="24"/>
      <c r="BB943" s="24"/>
      <c r="BC943" s="24"/>
    </row>
    <row r="944" spans="1:55" ht="9.75" customHeight="1" x14ac:dyDescent="0.2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  <c r="BA944" s="24"/>
      <c r="BB944" s="24"/>
      <c r="BC944" s="24"/>
    </row>
    <row r="945" spans="1:55" ht="9.75" customHeight="1" x14ac:dyDescent="0.2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  <c r="BA945" s="24"/>
      <c r="BB945" s="24"/>
      <c r="BC945" s="24"/>
    </row>
    <row r="946" spans="1:55" ht="9.75" customHeight="1" x14ac:dyDescent="0.2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  <c r="BA946" s="24"/>
      <c r="BB946" s="24"/>
      <c r="BC946" s="24"/>
    </row>
    <row r="947" spans="1:55" ht="9.75" customHeight="1" x14ac:dyDescent="0.2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  <c r="BA947" s="24"/>
      <c r="BB947" s="24"/>
      <c r="BC947" s="24"/>
    </row>
    <row r="948" spans="1:55" ht="9.75" customHeight="1" x14ac:dyDescent="0.2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  <c r="BA948" s="24"/>
      <c r="BB948" s="24"/>
      <c r="BC948" s="24"/>
    </row>
    <row r="949" spans="1:55" ht="9.75" customHeight="1" x14ac:dyDescent="0.2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  <c r="BA949" s="24"/>
      <c r="BB949" s="24"/>
      <c r="BC949" s="24"/>
    </row>
    <row r="950" spans="1:55" ht="9.75" customHeight="1" x14ac:dyDescent="0.25">
      <c r="A950" s="23"/>
      <c r="B950" s="2"/>
      <c r="C950" s="23"/>
      <c r="D950" s="24"/>
      <c r="E950" s="23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5"/>
      <c r="T950" s="23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</row>
    <row r="951" spans="1:55" ht="9.75" customHeight="1" x14ac:dyDescent="0.25">
      <c r="A951" s="23"/>
      <c r="B951" s="2"/>
      <c r="C951" s="23"/>
      <c r="D951" s="24"/>
      <c r="E951" s="23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5"/>
      <c r="T951" s="23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</row>
    <row r="952" spans="1:55" ht="9.75" customHeight="1" x14ac:dyDescent="0.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</row>
    <row r="953" spans="1:55" ht="9.75" customHeight="1" x14ac:dyDescent="0.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</row>
    <row r="954" spans="1:55" ht="9.75" customHeight="1" x14ac:dyDescent="0.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</row>
    <row r="955" spans="1:55" ht="9.75" customHeight="1" x14ac:dyDescent="0.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</row>
    <row r="956" spans="1:55" ht="9.75" customHeight="1" x14ac:dyDescent="0.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</row>
    <row r="957" spans="1:55" ht="9.75" customHeight="1" x14ac:dyDescent="0.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</row>
    <row r="958" spans="1:55" ht="9.75" customHeight="1" x14ac:dyDescent="0.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</row>
    <row r="959" spans="1:55" ht="9.75" customHeight="1" x14ac:dyDescent="0.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</row>
    <row r="960" spans="1:55" ht="9.75" customHeight="1" x14ac:dyDescent="0.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</row>
    <row r="961" spans="1:55" ht="9.75" customHeight="1" x14ac:dyDescent="0.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</row>
    <row r="962" spans="1:55" ht="9.75" customHeight="1" x14ac:dyDescent="0.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</row>
    <row r="963" spans="1:55" ht="9.75" customHeight="1" x14ac:dyDescent="0.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</row>
    <row r="964" spans="1:55" ht="9.75" customHeight="1" x14ac:dyDescent="0.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</row>
    <row r="965" spans="1:55" ht="9.75" customHeight="1" x14ac:dyDescent="0.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</row>
    <row r="966" spans="1:55" ht="9.75" customHeight="1" x14ac:dyDescent="0.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</row>
    <row r="967" spans="1:55" ht="9.75" customHeight="1" x14ac:dyDescent="0.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</row>
    <row r="968" spans="1:55" ht="9.75" customHeight="1" x14ac:dyDescent="0.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</row>
    <row r="969" spans="1:55" ht="9.75" customHeight="1" x14ac:dyDescent="0.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</row>
    <row r="970" spans="1:55" ht="9.75" customHeight="1" x14ac:dyDescent="0.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</row>
    <row r="971" spans="1:55" ht="9.75" customHeight="1" x14ac:dyDescent="0.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</row>
    <row r="972" spans="1:55" ht="9.75" customHeight="1" x14ac:dyDescent="0.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</row>
    <row r="973" spans="1:55" ht="9.75" customHeight="1" x14ac:dyDescent="0.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</row>
    <row r="974" spans="1:55" ht="9.75" customHeight="1" x14ac:dyDescent="0.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</row>
    <row r="975" spans="1:55" ht="9.75" customHeight="1" x14ac:dyDescent="0.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</row>
    <row r="976" spans="1:55" ht="9.75" customHeight="1" x14ac:dyDescent="0.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</row>
    <row r="977" spans="1:55" ht="9.75" customHeight="1" x14ac:dyDescent="0.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</row>
    <row r="978" spans="1:55" ht="9.75" customHeight="1" x14ac:dyDescent="0.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</row>
    <row r="979" spans="1:55" ht="9.75" customHeight="1" x14ac:dyDescent="0.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</row>
    <row r="980" spans="1:55" ht="9.75" customHeight="1" x14ac:dyDescent="0.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</row>
    <row r="981" spans="1:55" ht="9.75" customHeight="1" x14ac:dyDescent="0.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</row>
    <row r="982" spans="1:55" ht="9.75" customHeight="1" x14ac:dyDescent="0.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</row>
    <row r="983" spans="1:55" ht="9.75" customHeight="1" x14ac:dyDescent="0.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</row>
    <row r="984" spans="1:55" ht="9.75" customHeight="1" x14ac:dyDescent="0.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</row>
    <row r="985" spans="1:55" ht="9.75" customHeight="1" x14ac:dyDescent="0.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</row>
    <row r="986" spans="1:55" ht="9.75" customHeight="1" x14ac:dyDescent="0.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</row>
    <row r="987" spans="1:55" ht="9.75" customHeight="1" x14ac:dyDescent="0.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</row>
    <row r="988" spans="1:55" ht="9.75" customHeight="1" x14ac:dyDescent="0.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</row>
    <row r="989" spans="1:55" ht="9.75" customHeight="1" x14ac:dyDescent="0.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</row>
    <row r="990" spans="1:55" ht="9.75" customHeight="1" x14ac:dyDescent="0.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</row>
    <row r="991" spans="1:55" ht="9.75" customHeight="1" x14ac:dyDescent="0.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</row>
    <row r="992" spans="1:55" ht="9.75" customHeight="1" x14ac:dyDescent="0.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</row>
    <row r="993" spans="1:55" ht="9.75" customHeight="1" x14ac:dyDescent="0.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</row>
    <row r="994" spans="1:55" ht="9.75" customHeight="1" x14ac:dyDescent="0.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</row>
    <row r="995" spans="1:55" ht="9.75" customHeight="1" x14ac:dyDescent="0.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</row>
    <row r="996" spans="1:55" ht="9.75" customHeight="1" x14ac:dyDescent="0.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</row>
    <row r="997" spans="1:55" ht="9.75" customHeight="1" x14ac:dyDescent="0.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</row>
    <row r="998" spans="1:55" ht="9.75" customHeight="1" x14ac:dyDescent="0.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</row>
    <row r="999" spans="1:55" ht="9.75" customHeight="1" x14ac:dyDescent="0.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</row>
    <row r="1000" spans="1:55" ht="9.75" customHeight="1" x14ac:dyDescent="0.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</row>
  </sheetData>
  <autoFilter ref="B8:AH8" xr:uid="{00000000-0009-0000-0000-000001000000}"/>
  <conditionalFormatting sqref="B1:C1000">
    <cfRule type="colorScale" priority="5">
      <colorScale>
        <cfvo type="formula" val="0"/>
        <cfvo type="formula" val="6"/>
        <cfvo type="formula" val="11"/>
        <color rgb="FFFFFFCC"/>
        <color theme="9"/>
        <color rgb="FFC00000"/>
      </colorScale>
    </cfRule>
  </conditionalFormatting>
  <conditionalFormatting sqref="D1:D13 D18:D34 D38:D1000">
    <cfRule type="colorScale" priority="1">
      <colorScale>
        <cfvo type="formula" val="18"/>
        <cfvo type="percentile" val="50"/>
        <cfvo type="percent" val="70"/>
        <color rgb="FFFFFFCC"/>
        <color rgb="FFFFEB84"/>
        <color rgb="FF63BE7B"/>
      </colorScale>
    </cfRule>
  </conditionalFormatting>
  <conditionalFormatting sqref="D14:D17">
    <cfRule type="colorScale" priority="6">
      <colorScale>
        <cfvo type="formula" val="18"/>
        <cfvo type="percentile" val="50"/>
        <cfvo type="percent" val="70"/>
        <color rgb="FFFFFFCC"/>
        <color rgb="FFFFEB84"/>
        <color rgb="FF63BE7B"/>
      </colorScale>
    </cfRule>
  </conditionalFormatting>
  <conditionalFormatting sqref="D35:D37">
    <cfRule type="colorScale" priority="8">
      <colorScale>
        <cfvo type="formula" val="18"/>
        <cfvo type="percentile" val="50"/>
        <cfvo type="percent" val="70"/>
        <color rgb="FFFFFFCC"/>
        <color rgb="FFFFEB84"/>
        <color rgb="FF63BE7B"/>
      </colorScale>
    </cfRule>
  </conditionalFormatting>
  <conditionalFormatting sqref="F4:S4">
    <cfRule type="colorScale" priority="2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F9:S13 F18:S34 F38:S50">
    <cfRule type="colorScale" priority="10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F14:S17">
    <cfRule type="colorScale" priority="7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F35:S37">
    <cfRule type="colorScale" priority="9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F51:S53">
    <cfRule type="colorScale" priority="11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F54:S173">
    <cfRule type="colorScale" priority="12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U4:AH4">
    <cfRule type="colorScale" priority="4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U5:AH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:AH1000">
    <cfRule type="colorScale" priority="13">
      <colorScale>
        <cfvo type="min"/>
        <cfvo type="percentile" val="50"/>
        <cfvo type="max"/>
        <color rgb="FFADB9CA"/>
        <color theme="0"/>
        <color rgb="FFEA8684"/>
      </colorScale>
    </cfRule>
  </conditionalFormatting>
  <pageMargins left="0.25" right="0.25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1000"/>
  <sheetViews>
    <sheetView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3.85546875" customWidth="1"/>
    <col min="2" max="2" width="6.42578125" customWidth="1"/>
    <col min="3" max="14" width="3.85546875" customWidth="1"/>
    <col min="15" max="15" width="8.140625" customWidth="1"/>
    <col min="16" max="16" width="7.140625" customWidth="1"/>
    <col min="17" max="36" width="3.85546875" customWidth="1"/>
  </cols>
  <sheetData>
    <row r="1" spans="1:36" ht="33" customHeight="1" x14ac:dyDescent="0.4">
      <c r="A1" s="22" t="s">
        <v>127</v>
      </c>
      <c r="B1" s="44"/>
      <c r="C1" s="45"/>
      <c r="D1" s="46"/>
      <c r="E1" s="23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5"/>
      <c r="T1" s="26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5"/>
      <c r="AI1" s="23"/>
      <c r="AJ1" s="27"/>
    </row>
    <row r="2" spans="1:36" ht="15" customHeight="1" x14ac:dyDescent="0.4">
      <c r="A2" s="22"/>
      <c r="B2" s="44"/>
      <c r="C2" s="45"/>
      <c r="D2" s="46"/>
      <c r="E2" s="23"/>
      <c r="F2" s="5" t="s">
        <v>1</v>
      </c>
      <c r="G2" s="5" t="s">
        <v>2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5" t="s">
        <v>8</v>
      </c>
      <c r="N2" s="5" t="s">
        <v>9</v>
      </c>
      <c r="O2" s="5" t="s">
        <v>10</v>
      </c>
      <c r="P2" s="5" t="s">
        <v>11</v>
      </c>
      <c r="Q2" s="5" t="s">
        <v>12</v>
      </c>
      <c r="R2" s="5" t="s">
        <v>13</v>
      </c>
      <c r="S2" s="5" t="s">
        <v>14</v>
      </c>
      <c r="T2" s="26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5"/>
      <c r="AI2" s="23"/>
      <c r="AJ2" s="27"/>
    </row>
    <row r="3" spans="1:36" ht="11.25" customHeight="1" x14ac:dyDescent="0.25">
      <c r="A3" s="15"/>
      <c r="B3" s="47"/>
      <c r="C3" s="45"/>
      <c r="D3" s="46"/>
      <c r="E3" s="15"/>
      <c r="F3" s="28" t="s">
        <v>68</v>
      </c>
      <c r="G3" s="28" t="s">
        <v>16</v>
      </c>
      <c r="H3" s="28" t="s">
        <v>17</v>
      </c>
      <c r="I3" s="28" t="s">
        <v>69</v>
      </c>
      <c r="J3" s="28" t="s">
        <v>19</v>
      </c>
      <c r="K3" s="28" t="s">
        <v>20</v>
      </c>
      <c r="L3" s="28" t="s">
        <v>71</v>
      </c>
      <c r="M3" s="28" t="s">
        <v>72</v>
      </c>
      <c r="N3" s="28" t="s">
        <v>73</v>
      </c>
      <c r="O3" s="28" t="s">
        <v>74</v>
      </c>
      <c r="P3" s="28" t="s">
        <v>25</v>
      </c>
      <c r="Q3" s="29" t="s">
        <v>26</v>
      </c>
      <c r="R3" s="29" t="s">
        <v>75</v>
      </c>
      <c r="S3" s="29" t="s">
        <v>28</v>
      </c>
      <c r="T3" s="30"/>
      <c r="U3" s="28"/>
      <c r="V3" s="28"/>
      <c r="W3" s="31" t="s">
        <v>128</v>
      </c>
      <c r="X3" s="28"/>
      <c r="Y3" s="28"/>
      <c r="Z3" s="28"/>
      <c r="AA3" s="28"/>
      <c r="AB3" s="28"/>
      <c r="AC3" s="28"/>
      <c r="AD3" s="28"/>
      <c r="AE3" s="28"/>
      <c r="AF3" s="29"/>
      <c r="AG3" s="29"/>
      <c r="AH3" s="29"/>
      <c r="AI3" s="15"/>
      <c r="AJ3" s="15"/>
    </row>
    <row r="4" spans="1:36" ht="11.25" customHeight="1" x14ac:dyDescent="0.25">
      <c r="A4" s="23"/>
      <c r="B4" s="47"/>
      <c r="C4" s="45"/>
      <c r="D4" s="46"/>
      <c r="E4" s="11" t="s">
        <v>29</v>
      </c>
      <c r="F4" s="24">
        <v>0.05</v>
      </c>
      <c r="G4" s="24">
        <v>0.16</v>
      </c>
      <c r="H4" s="24">
        <v>0.05</v>
      </c>
      <c r="I4" s="24">
        <v>0.4</v>
      </c>
      <c r="J4" s="24">
        <v>0.38</v>
      </c>
      <c r="K4" s="32">
        <v>3.0000000000000001E-3</v>
      </c>
      <c r="L4" s="24">
        <v>1</v>
      </c>
      <c r="M4" s="24">
        <v>0.19</v>
      </c>
      <c r="N4" s="24">
        <v>10</v>
      </c>
      <c r="O4" s="24">
        <v>3.3</v>
      </c>
      <c r="P4" s="24">
        <v>4</v>
      </c>
      <c r="Q4" s="24">
        <v>96</v>
      </c>
      <c r="R4" s="24">
        <v>9</v>
      </c>
      <c r="S4" s="24">
        <v>85.7</v>
      </c>
      <c r="T4" s="23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3"/>
      <c r="AJ4" s="23"/>
    </row>
    <row r="5" spans="1:36" ht="11.25" customHeight="1" x14ac:dyDescent="0.25">
      <c r="A5" s="23"/>
      <c r="B5" s="48"/>
      <c r="C5" s="45"/>
      <c r="D5" s="46"/>
      <c r="E5" s="23" t="s">
        <v>30</v>
      </c>
      <c r="F5" s="33">
        <v>5</v>
      </c>
      <c r="G5" s="33">
        <v>10</v>
      </c>
      <c r="H5" s="33">
        <v>10</v>
      </c>
      <c r="I5" s="33">
        <v>20</v>
      </c>
      <c r="J5" s="33">
        <v>20</v>
      </c>
      <c r="K5" s="34">
        <v>10</v>
      </c>
      <c r="L5" s="33">
        <v>25</v>
      </c>
      <c r="M5" s="33">
        <v>20</v>
      </c>
      <c r="N5" s="33">
        <v>10</v>
      </c>
      <c r="O5" s="33">
        <v>100</v>
      </c>
      <c r="P5" s="25">
        <v>20</v>
      </c>
      <c r="Q5" s="33">
        <v>100</v>
      </c>
      <c r="R5" s="33">
        <v>5</v>
      </c>
      <c r="S5" s="33">
        <v>300</v>
      </c>
      <c r="T5" s="23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23"/>
      <c r="AJ5" s="23"/>
    </row>
    <row r="6" spans="1:36" ht="11.25" customHeight="1" x14ac:dyDescent="0.25">
      <c r="A6" s="23"/>
      <c r="B6" s="50">
        <f>TTEST(B9:B19,B20:B41,2,2)</f>
        <v>1.3302277348740575E-8</v>
      </c>
      <c r="C6" s="45"/>
      <c r="D6" s="46"/>
      <c r="E6" s="23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5"/>
      <c r="T6" s="23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23"/>
      <c r="AJ6" s="23"/>
    </row>
    <row r="7" spans="1:36" ht="11.25" customHeight="1" x14ac:dyDescent="0.25">
      <c r="A7" s="23"/>
      <c r="B7" s="47"/>
      <c r="C7" s="45"/>
      <c r="D7" s="46"/>
      <c r="E7" s="38" t="s">
        <v>129</v>
      </c>
      <c r="F7" s="25">
        <v>9.6500000000000006E-3</v>
      </c>
      <c r="G7" s="25">
        <v>0.1777</v>
      </c>
      <c r="H7" s="25">
        <v>5.5199999999999999E-2</v>
      </c>
      <c r="I7" s="25">
        <v>0.53610000000000002</v>
      </c>
      <c r="J7" s="25">
        <v>0.35</v>
      </c>
      <c r="K7" s="25">
        <v>4.8199999999999996E-3</v>
      </c>
      <c r="L7" s="25">
        <v>1</v>
      </c>
      <c r="M7" s="25">
        <v>0.375</v>
      </c>
      <c r="N7" s="25">
        <v>0.01</v>
      </c>
      <c r="O7" s="25">
        <v>2</v>
      </c>
      <c r="P7" s="25">
        <v>1.5</v>
      </c>
      <c r="Q7" s="25">
        <v>79.069999999999993</v>
      </c>
      <c r="R7" s="25">
        <v>0.33500000000000002</v>
      </c>
      <c r="S7" s="25">
        <v>85</v>
      </c>
      <c r="T7" s="23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23"/>
      <c r="AJ7" s="23"/>
    </row>
    <row r="8" spans="1:36" ht="11.25" customHeight="1" x14ac:dyDescent="0.25">
      <c r="A8" s="30"/>
      <c r="B8" s="51" t="s">
        <v>130</v>
      </c>
      <c r="C8" s="45"/>
      <c r="D8" s="46"/>
      <c r="E8" s="15"/>
      <c r="F8" s="40" t="str">
        <f t="shared" ref="F8:S8" si="0">F3</f>
        <v>HOXA7*</v>
      </c>
      <c r="G8" s="40" t="str">
        <f t="shared" si="0"/>
        <v>CENPA</v>
      </c>
      <c r="H8" s="40" t="str">
        <f t="shared" si="0"/>
        <v>NEK2</v>
      </c>
      <c r="I8" s="40" t="str">
        <f t="shared" si="0"/>
        <v>DNMT1*</v>
      </c>
      <c r="J8" s="40" t="str">
        <f t="shared" si="0"/>
        <v>INHBA</v>
      </c>
      <c r="K8" s="40" t="str">
        <f t="shared" si="0"/>
        <v>FOXB</v>
      </c>
      <c r="L8" s="40" t="str">
        <f t="shared" si="0"/>
        <v>TOP2A*</v>
      </c>
      <c r="M8" s="40" t="str">
        <f t="shared" si="0"/>
        <v>BIRC5*</v>
      </c>
      <c r="N8" s="40" t="str">
        <f t="shared" si="0"/>
        <v>MMP13*</v>
      </c>
      <c r="O8" s="40" t="str">
        <f t="shared" si="0"/>
        <v>IL8</v>
      </c>
      <c r="P8" s="40" t="str">
        <f t="shared" si="0"/>
        <v>NR3C1</v>
      </c>
      <c r="Q8" s="41" t="str">
        <f t="shared" si="0"/>
        <v>IVL</v>
      </c>
      <c r="R8" s="41" t="str">
        <f t="shared" si="0"/>
        <v>CBX7*</v>
      </c>
      <c r="S8" s="5" t="str">
        <f t="shared" si="0"/>
        <v>S100A16</v>
      </c>
      <c r="T8" s="15"/>
      <c r="U8" s="13" t="str">
        <f t="shared" ref="U8:AH8" si="1">F8</f>
        <v>HOXA7*</v>
      </c>
      <c r="V8" s="13" t="str">
        <f t="shared" si="1"/>
        <v>CENPA</v>
      </c>
      <c r="W8" s="13" t="str">
        <f t="shared" si="1"/>
        <v>NEK2</v>
      </c>
      <c r="X8" s="13" t="str">
        <f t="shared" si="1"/>
        <v>DNMT1*</v>
      </c>
      <c r="Y8" s="13" t="str">
        <f t="shared" si="1"/>
        <v>INHBA</v>
      </c>
      <c r="Z8" s="13" t="str">
        <f t="shared" si="1"/>
        <v>FOXB</v>
      </c>
      <c r="AA8" s="13" t="str">
        <f t="shared" si="1"/>
        <v>TOP2A*</v>
      </c>
      <c r="AB8" s="13" t="str">
        <f t="shared" si="1"/>
        <v>BIRC5*</v>
      </c>
      <c r="AC8" s="13" t="str">
        <f t="shared" si="1"/>
        <v>MMP13*</v>
      </c>
      <c r="AD8" s="13" t="str">
        <f t="shared" si="1"/>
        <v>IL8</v>
      </c>
      <c r="AE8" s="13" t="str">
        <f t="shared" si="1"/>
        <v>NR3C1</v>
      </c>
      <c r="AF8" s="13" t="str">
        <f t="shared" si="1"/>
        <v>IVL</v>
      </c>
      <c r="AG8" s="13" t="str">
        <f t="shared" si="1"/>
        <v>CBX7*</v>
      </c>
      <c r="AH8" s="13" t="str">
        <f t="shared" si="1"/>
        <v>S100A16</v>
      </c>
      <c r="AI8" s="30"/>
      <c r="AJ8" s="15" t="s">
        <v>131</v>
      </c>
    </row>
    <row r="9" spans="1:36" ht="11.25" customHeight="1" x14ac:dyDescent="0.25">
      <c r="A9" s="23">
        <v>1</v>
      </c>
      <c r="B9" s="47">
        <f t="shared" ref="B9:B41" si="2">IF(OR(SUM(F9:S9)&lt;0.5,COUNTIF(F9:S9,"&lt;0.000001")&gt;4,SUM(F9:S9)&gt;100000),"",IF(((SUM(U9:AH9)*LOG((QUARTILE((U9:AH9),4)-QUARTILE((U9:AH9),0))*QUARTILE((U9:AH9),4),2))*AVERAGE(AVERAGE(U9:AH9),MEDIAN(U9:AH9)))&lt;26,ABS(((SUM(U9:AH9)*LOG((QUARTILE((U9:AH9),4)-QUARTILE((U9:AH9),0))*QUARTILE((U9:AH9),4),2))*AVERAGE(AVERAGE(U9:AH9),MEDIAN(U9:AH9))/1000*20^2/AJ9)),((SUM(U9:AH9)*LOG((QUARTILE((U9:AH9),4)-QUARTILE((U9:AH9),0))*QUARTILE((U9:AH9),4),2)/100)*8+1*AVERAGE(AVERAGE(U9:AH9),MEDIAN(U9:AH9)))))</f>
        <v>5.9266251990292904</v>
      </c>
      <c r="C9" s="45">
        <v>1</v>
      </c>
      <c r="D9" s="24">
        <v>21.258698408721202</v>
      </c>
      <c r="E9" s="42" t="s">
        <v>132</v>
      </c>
      <c r="F9" s="5">
        <v>5.9199999999999997E-4</v>
      </c>
      <c r="G9" s="5">
        <v>2.6700000000000002E-2</v>
      </c>
      <c r="H9" s="5">
        <v>0.1164</v>
      </c>
      <c r="I9" s="5">
        <v>1.3660000000000001</v>
      </c>
      <c r="J9" s="5">
        <v>0.19020000000000001</v>
      </c>
      <c r="K9" s="5"/>
      <c r="L9" s="5">
        <v>0.25390000000000001</v>
      </c>
      <c r="M9" s="5">
        <v>2.87E-2</v>
      </c>
      <c r="N9" s="5">
        <v>3.028</v>
      </c>
      <c r="O9" s="5">
        <v>2.6800000000000001E-2</v>
      </c>
      <c r="P9" s="5">
        <v>4.6199999999999998E-2</v>
      </c>
      <c r="Q9" s="5">
        <v>0.33679999999999999</v>
      </c>
      <c r="R9" s="5">
        <v>0.2586</v>
      </c>
      <c r="S9" s="5">
        <v>2.8380000000000001</v>
      </c>
      <c r="T9" s="43" t="str">
        <f t="shared" ref="T9:T41" si="3">E9</f>
        <v>N1</v>
      </c>
      <c r="U9" s="39">
        <f t="shared" ref="U9:AH9" si="4">IF(OR(F9=0,F9&lt;0.00000000001,F9&gt;100000),"",IF((IF(F9&gt;F$5,ABS(LOG(((F$5/SUM($F9:$S9))/(F$4/SUM($F$4:$S$4)))*4+2,2)),ABS(LOG(((F9/SUM($F9:$S9))/(F$4/SUM($F$4:$S$4)))*4+2,2)))-3)&gt;8,(IF(F9&gt;F$5,ABS(LOG(((F$5/SUM($F9:$S9))/(F$4/SUM($F$4:$S$4)))*4+2,2)),ABS(LOG(((F9/SUM($F9:$S9))/(F$4/SUM($F$4:$S$4)))*4+2,2)))-3)/7,IF(F9&gt;F$5,ABS(LOG(((F$5/SUM($F9:$S9))/(F$4/SUM($F$4:$S$4)))*4+2,2)),ABS(LOG(((F9/SUM($F9:$S9))/(F$4/SUM($F$4:$S$4)))*4+2,2)))-3))</f>
        <v>-1.3359515936534183</v>
      </c>
      <c r="V9" s="39">
        <f t="shared" si="4"/>
        <v>1.2076375247605871</v>
      </c>
      <c r="W9" s="39">
        <f t="shared" si="4"/>
        <v>4.8571078763524964</v>
      </c>
      <c r="X9" s="39">
        <f t="shared" si="4"/>
        <v>5.4059358267192898</v>
      </c>
      <c r="Y9" s="39">
        <f t="shared" si="4"/>
        <v>2.684270200724769</v>
      </c>
      <c r="Z9" s="39" t="str">
        <f t="shared" si="4"/>
        <v/>
      </c>
      <c r="AA9" s="39">
        <f t="shared" si="4"/>
        <v>1.7585863900078618</v>
      </c>
      <c r="AB9" s="39">
        <f t="shared" si="4"/>
        <v>1.0801866815653973</v>
      </c>
      <c r="AC9" s="39">
        <f t="shared" si="4"/>
        <v>1.9953737395622548</v>
      </c>
      <c r="AD9" s="39">
        <f t="shared" si="4"/>
        <v>-1.5136131866675404</v>
      </c>
      <c r="AE9" s="39">
        <f t="shared" si="4"/>
        <v>-1.3490462238670287</v>
      </c>
      <c r="AF9" s="39">
        <f t="shared" si="4"/>
        <v>-1.7695496970512028</v>
      </c>
      <c r="AG9" s="39">
        <f t="shared" si="4"/>
        <v>-0.72587496490610715</v>
      </c>
      <c r="AH9" s="39">
        <f t="shared" si="4"/>
        <v>-0.60227215776525034</v>
      </c>
      <c r="AI9" s="18" t="str">
        <f t="shared" ref="AI9:AI41" si="5">E9</f>
        <v>N1</v>
      </c>
      <c r="AJ9" s="44">
        <f t="shared" ref="AJ9:AJ41" si="6">IF(D9&lt;26,1,IF(D9&lt;32,2+(D9-26)^1/10,8-((D9-32)*3000)^0.19))</f>
        <v>1</v>
      </c>
    </row>
    <row r="10" spans="1:36" ht="11.25" customHeight="1" x14ac:dyDescent="0.25">
      <c r="A10" s="23">
        <v>2</v>
      </c>
      <c r="B10" s="47">
        <f t="shared" si="2"/>
        <v>2.064785720871781</v>
      </c>
      <c r="C10" s="45">
        <v>1</v>
      </c>
      <c r="D10" s="24">
        <v>29.044051168156098</v>
      </c>
      <c r="E10" s="42" t="s">
        <v>133</v>
      </c>
      <c r="F10" s="5">
        <v>4.3000000000000003E-6</v>
      </c>
      <c r="G10" s="5">
        <v>8.8700000000000001E-5</v>
      </c>
      <c r="H10" s="5">
        <v>3.5910000000000002</v>
      </c>
      <c r="I10" s="5">
        <v>7.3659999999999997</v>
      </c>
      <c r="J10" s="5">
        <v>5.8040000000000003</v>
      </c>
      <c r="K10" s="5"/>
      <c r="L10" s="5">
        <v>23.5</v>
      </c>
      <c r="M10" s="5">
        <v>3.46</v>
      </c>
      <c r="N10" s="5">
        <v>0.84199999999999997</v>
      </c>
      <c r="O10" s="5">
        <v>3.4099999999999999E-4</v>
      </c>
      <c r="P10" s="5">
        <v>1.88E-5</v>
      </c>
      <c r="Q10" s="5">
        <v>7.7619999999999996</v>
      </c>
      <c r="R10" s="5">
        <v>0.1681</v>
      </c>
      <c r="S10" s="5">
        <v>5.2610000000000001</v>
      </c>
      <c r="T10" s="43" t="str">
        <f t="shared" si="3"/>
        <v>N10</v>
      </c>
      <c r="U10" s="39">
        <f t="shared" ref="U10:AH10" si="7">IF(OR(F10=0,F10&lt;0.00000000001,F10&gt;100000),"",IF((IF(F10&gt;F$5,ABS(LOG(((F$5/SUM($F10:$S10))/(F$4/SUM($F$4:$S$4)))*4+2,2)),ABS(LOG(((F10/SUM($F10:$S10))/(F$4/SUM($F$4:$S$4)))*4+2,2)))-3)&gt;8,(IF(F10&gt;F$5,ABS(LOG(((F$5/SUM($F10:$S10))/(F$4/SUM($F$4:$S$4)))*4+2,2)),ABS(LOG(((F10/SUM($F10:$S10))/(F$4/SUM($F$4:$S$4)))*4+2,2)))-3)/7,IF(F10&gt;F$5,ABS(LOG(((F$5/SUM($F10:$S10))/(F$4/SUM($F$4:$S$4)))*4+2,2)),ABS(LOG(((F10/SUM($F10:$S10))/(F$4/SUM($F$4:$S$4)))*4+2,2)))-3))</f>
        <v>-1.999097012521954</v>
      </c>
      <c r="V10" s="39">
        <f t="shared" si="7"/>
        <v>-1.9941890397610669</v>
      </c>
      <c r="W10" s="39">
        <f t="shared" si="7"/>
        <v>7.0330528820033749</v>
      </c>
      <c r="X10" s="39">
        <f t="shared" si="7"/>
        <v>5.077513254632688</v>
      </c>
      <c r="Y10" s="39">
        <f t="shared" si="7"/>
        <v>4.8098751279301224</v>
      </c>
      <c r="Z10" s="39" t="str">
        <f t="shared" si="7"/>
        <v/>
      </c>
      <c r="AA10" s="39">
        <f t="shared" si="7"/>
        <v>5.4269794739368198</v>
      </c>
      <c r="AB10" s="39">
        <f t="shared" si="7"/>
        <v>5.061524406643894</v>
      </c>
      <c r="AC10" s="39">
        <f t="shared" si="7"/>
        <v>-1.3102582642510601</v>
      </c>
      <c r="AD10" s="39">
        <f t="shared" si="7"/>
        <v>-1.9989150834617193</v>
      </c>
      <c r="AE10" s="39">
        <f t="shared" si="7"/>
        <v>-1.9999506360817079</v>
      </c>
      <c r="AF10" s="39">
        <f t="shared" si="7"/>
        <v>-1.3322110980558486</v>
      </c>
      <c r="AG10" s="39">
        <f t="shared" si="7"/>
        <v>-1.8160646227011634</v>
      </c>
      <c r="AH10" s="39">
        <f t="shared" si="7"/>
        <v>-1.4670124334132975</v>
      </c>
      <c r="AI10" s="18" t="str">
        <f t="shared" si="5"/>
        <v>N10</v>
      </c>
      <c r="AJ10" s="44">
        <f t="shared" si="6"/>
        <v>2.3044051168156097</v>
      </c>
    </row>
    <row r="11" spans="1:36" ht="11.25" customHeight="1" x14ac:dyDescent="0.25">
      <c r="A11" s="23">
        <v>3</v>
      </c>
      <c r="B11" s="47">
        <f t="shared" si="2"/>
        <v>0.11352267190273331</v>
      </c>
      <c r="C11" s="45">
        <v>1</v>
      </c>
      <c r="D11" s="24">
        <v>20.736944912821201</v>
      </c>
      <c r="E11" s="42" t="s">
        <v>134</v>
      </c>
      <c r="F11" s="5">
        <v>1.0145E-4</v>
      </c>
      <c r="G11" s="5">
        <v>5.4149999999999997E-2</v>
      </c>
      <c r="H11" s="5">
        <v>0.12575</v>
      </c>
      <c r="I11" s="5">
        <v>0.89870000000000005</v>
      </c>
      <c r="J11" s="5">
        <v>3.6249999999999998E-2</v>
      </c>
      <c r="K11" s="5">
        <v>7.0550000000000005E-3</v>
      </c>
      <c r="L11" s="5">
        <v>0.37175000000000002</v>
      </c>
      <c r="M11" s="5">
        <v>5.1249999999999997E-2</v>
      </c>
      <c r="N11" s="5">
        <v>1.4565E-2</v>
      </c>
      <c r="O11" s="5">
        <v>4.9750000000000003E-3</v>
      </c>
      <c r="P11" s="5">
        <v>2.3709999999999998E-2</v>
      </c>
      <c r="Q11" s="5">
        <v>8.9175000000000004</v>
      </c>
      <c r="R11" s="5">
        <v>0.1152</v>
      </c>
      <c r="S11" s="5">
        <v>16.920000000000002</v>
      </c>
      <c r="T11" s="43" t="str">
        <f t="shared" si="3"/>
        <v>N11</v>
      </c>
      <c r="U11" s="39">
        <f t="shared" ref="U11:AH11" si="8">IF(OR(F11=0,F11&lt;0.00000000001,F11&gt;100000),"",IF((IF(F11&gt;F$5,ABS(LOG(((F$5/SUM($F11:$S11))/(F$4/SUM($F$4:$S$4)))*4+2,2)),ABS(LOG(((F11/SUM($F11:$S11))/(F$4/SUM($F$4:$S$4)))*4+2,2)))-3)&gt;8,(IF(F11&gt;F$5,ABS(LOG(((F$5/SUM($F11:$S11))/(F$4/SUM($F$4:$S$4)))*4+2,2)),ABS(LOG(((F11/SUM($F11:$S11))/(F$4/SUM($F$4:$S$4)))*4+2,2)))-3)/7,IF(F11&gt;F$5,ABS(LOG(((F$5/SUM($F11:$S11))/(F$4/SUM($F$4:$S$4)))*4+2,2)),ABS(LOG(((F11/SUM($F11:$S11))/(F$4/SUM($F$4:$S$4)))*4+2,2)))-3))</f>
        <v>-1.9559883952829062</v>
      </c>
      <c r="V11" s="39">
        <f t="shared" si="8"/>
        <v>0.62454625074666881</v>
      </c>
      <c r="W11" s="39">
        <f t="shared" si="8"/>
        <v>3.2999897842270789</v>
      </c>
      <c r="X11" s="39">
        <f t="shared" si="8"/>
        <v>3.1416366106340066</v>
      </c>
      <c r="Y11" s="39">
        <f t="shared" si="8"/>
        <v>-0.70346314038991853</v>
      </c>
      <c r="Z11" s="39">
        <f t="shared" si="8"/>
        <v>3.2056561447113694</v>
      </c>
      <c r="AA11" s="39">
        <f t="shared" si="8"/>
        <v>0.73887226788265359</v>
      </c>
      <c r="AB11" s="39">
        <f t="shared" si="8"/>
        <v>0.35559562688510882</v>
      </c>
      <c r="AC11" s="39">
        <f t="shared" si="8"/>
        <v>-1.9682712843349057</v>
      </c>
      <c r="AD11" s="39">
        <f t="shared" si="8"/>
        <v>-1.9671712041639025</v>
      </c>
      <c r="AE11" s="39">
        <f t="shared" si="8"/>
        <v>-1.8750171637812993</v>
      </c>
      <c r="AF11" s="39">
        <f t="shared" si="8"/>
        <v>-0.72609318181064442</v>
      </c>
      <c r="AG11" s="39">
        <f t="shared" si="8"/>
        <v>-1.7424863109228885</v>
      </c>
      <c r="AH11" s="39">
        <f t="shared" si="8"/>
        <v>5.1108421532135573E-3</v>
      </c>
      <c r="AI11" s="18" t="str">
        <f t="shared" si="5"/>
        <v>N11</v>
      </c>
      <c r="AJ11" s="44">
        <f t="shared" si="6"/>
        <v>1</v>
      </c>
    </row>
    <row r="12" spans="1:36" ht="11.25" customHeight="1" x14ac:dyDescent="0.25">
      <c r="A12" s="23">
        <v>4</v>
      </c>
      <c r="B12" s="47">
        <f t="shared" si="2"/>
        <v>1.2134574191359375</v>
      </c>
      <c r="C12" s="45">
        <v>1</v>
      </c>
      <c r="D12" s="24">
        <v>29.96759633164535</v>
      </c>
      <c r="E12" s="42" t="s">
        <v>135</v>
      </c>
      <c r="F12" s="5">
        <v>7.7364001487500005</v>
      </c>
      <c r="G12" s="5">
        <v>9.3959075E-3</v>
      </c>
      <c r="H12" s="5">
        <v>1584.9023333333334</v>
      </c>
      <c r="I12" s="5">
        <v>445.91475000000003</v>
      </c>
      <c r="J12" s="5">
        <v>1249.5777250000001</v>
      </c>
      <c r="K12" s="5">
        <v>10.443737499999999</v>
      </c>
      <c r="L12" s="5">
        <v>0.42198000000000002</v>
      </c>
      <c r="M12" s="5">
        <v>53.442749999999997</v>
      </c>
      <c r="N12" s="5">
        <v>1.5766333333333333</v>
      </c>
      <c r="O12" s="5">
        <v>0.12990251584999998</v>
      </c>
      <c r="P12" s="5">
        <v>8.150265000000001</v>
      </c>
      <c r="Q12" s="5">
        <v>301.39052499999997</v>
      </c>
      <c r="R12" s="5">
        <v>1.3671957800000002E-2</v>
      </c>
      <c r="S12" s="5">
        <v>4.5095168250000004</v>
      </c>
      <c r="T12" s="43" t="str">
        <f t="shared" si="3"/>
        <v>N12</v>
      </c>
      <c r="U12" s="39">
        <f t="shared" ref="U12:AH12" si="9">IF(OR(F12=0,F12&lt;0.00000000001,F12&gt;100000),"",IF((IF(F12&gt;F$5,ABS(LOG(((F$5/SUM($F12:$S12))/(F$4/SUM($F$4:$S$4)))*4+2,2)),ABS(LOG(((F12/SUM($F12:$S12))/(F$4/SUM($F$4:$S$4)))*4+2,2)))-3)&gt;8,(IF(F12&gt;F$5,ABS(LOG(((F$5/SUM($F12:$S12))/(F$4/SUM($F$4:$S$4)))*4+2,2)),ABS(LOG(((F12/SUM($F12:$S12))/(F$4/SUM($F$4:$S$4)))*4+2,2)))-3)/7,IF(F12&gt;F$5,ABS(LOG(((F$5/SUM($F12:$S12))/(F$4/SUM($F$4:$S$4)))*4+2,2)),ABS(LOG(((F12/SUM($F12:$S12))/(F$4/SUM($F$4:$S$4)))*4+2,2)))-3))</f>
        <v>1.6395100172249872</v>
      </c>
      <c r="V12" s="39">
        <f t="shared" si="9"/>
        <v>-1.9903214285114317</v>
      </c>
      <c r="W12" s="39">
        <f t="shared" si="9"/>
        <v>2.5804349532027109</v>
      </c>
      <c r="X12" s="39">
        <f t="shared" si="9"/>
        <v>0.7508637177111197</v>
      </c>
      <c r="Y12" s="39">
        <f t="shared" si="9"/>
        <v>0.81410782209180965</v>
      </c>
      <c r="Z12" s="39">
        <f t="shared" si="9"/>
        <v>6.5815018902273614</v>
      </c>
      <c r="AA12" s="39">
        <f t="shared" si="9"/>
        <v>-1.9318533521275318</v>
      </c>
      <c r="AB12" s="39">
        <f t="shared" si="9"/>
        <v>1.7077107651430206</v>
      </c>
      <c r="AC12" s="39">
        <f t="shared" si="9"/>
        <v>-1.974160402218371</v>
      </c>
      <c r="AD12" s="39">
        <f t="shared" si="9"/>
        <v>-1.9935050507019954</v>
      </c>
      <c r="AE12" s="39">
        <f t="shared" si="9"/>
        <v>-1.6971791360607815</v>
      </c>
      <c r="AF12" s="39">
        <f t="shared" si="9"/>
        <v>-1.8372743478438418</v>
      </c>
      <c r="AG12" s="39">
        <f t="shared" si="9"/>
        <v>-1.9997488110743844</v>
      </c>
      <c r="AH12" s="39">
        <f t="shared" si="9"/>
        <v>-1.9913245333556331</v>
      </c>
      <c r="AI12" s="18" t="str">
        <f t="shared" si="5"/>
        <v>N12</v>
      </c>
      <c r="AJ12" s="44">
        <f t="shared" si="6"/>
        <v>2.3967596331645349</v>
      </c>
    </row>
    <row r="13" spans="1:36" ht="11.25" customHeight="1" x14ac:dyDescent="0.25">
      <c r="A13" s="23">
        <v>5</v>
      </c>
      <c r="B13" s="47">
        <f t="shared" si="2"/>
        <v>2.0946149266192369</v>
      </c>
      <c r="C13" s="45">
        <v>1</v>
      </c>
      <c r="D13" s="24">
        <v>27.996233649308465</v>
      </c>
      <c r="E13" s="42" t="s">
        <v>136</v>
      </c>
      <c r="F13" s="5">
        <v>2.6167646666666669E-2</v>
      </c>
      <c r="G13" s="5">
        <v>2.1329399999999999E-5</v>
      </c>
      <c r="H13" s="5">
        <v>29.2697</v>
      </c>
      <c r="I13" s="5">
        <v>222.33186666666666</v>
      </c>
      <c r="J13" s="5">
        <v>51.239466666666658</v>
      </c>
      <c r="K13" s="5">
        <v>0.10749333333333333</v>
      </c>
      <c r="L13" s="5">
        <v>0.26850174666666665</v>
      </c>
      <c r="M13" s="5">
        <v>1.709966969333333</v>
      </c>
      <c r="N13" s="5">
        <v>0.69507666666666668</v>
      </c>
      <c r="O13" s="5">
        <v>3.7100000000000001E-2</v>
      </c>
      <c r="P13" s="5">
        <v>1.3988148666666667E-2</v>
      </c>
      <c r="Q13" s="5">
        <v>28.793999999999997</v>
      </c>
      <c r="R13" s="5">
        <v>0.85506666666666664</v>
      </c>
      <c r="S13" s="5">
        <v>2.5223</v>
      </c>
      <c r="T13" s="43" t="str">
        <f t="shared" si="3"/>
        <v>N2</v>
      </c>
      <c r="U13" s="39">
        <f t="shared" ref="U13:AH13" si="10">IF(OR(F13=0,F13&lt;0.00000000001,F13&gt;100000),"",IF((IF(F13&gt;F$5,ABS(LOG(((F$5/SUM($F13:$S13))/(F$4/SUM($F$4:$S$4)))*4+2,2)),ABS(LOG(((F13/SUM($F13:$S13))/(F$4/SUM($F$4:$S$4)))*4+2,2)))-3)&gt;8,(IF(F13&gt;F$5,ABS(LOG(((F$5/SUM($F13:$S13))/(F$4/SUM($F$4:$S$4)))*4+2,2)),ABS(LOG(((F13/SUM($F13:$S13))/(F$4/SUM($F$4:$S$4)))*4+2,2)))-3)/7,IF(F13&gt;F$5,ABS(LOG(((F$5/SUM($F13:$S13))/(F$4/SUM($F$4:$S$4)))*4+2,2)),ABS(LOG(((F13/SUM($F13:$S13))/(F$4/SUM($F$4:$S$4)))*4+2,2)))-3))</f>
        <v>-1.2764057257320072</v>
      </c>
      <c r="V13" s="39">
        <f t="shared" si="10"/>
        <v>-1.9997606808206587</v>
      </c>
      <c r="W13" s="39">
        <f t="shared" si="10"/>
        <v>5.9651588859128708</v>
      </c>
      <c r="X13" s="39">
        <f t="shared" si="10"/>
        <v>3.9823755933290537</v>
      </c>
      <c r="Y13" s="39">
        <f t="shared" si="10"/>
        <v>4.0552347643541422</v>
      </c>
      <c r="Z13" s="39">
        <f t="shared" si="10"/>
        <v>3.5106556891263905</v>
      </c>
      <c r="AA13" s="39">
        <f t="shared" si="10"/>
        <v>-1.5840907841351788</v>
      </c>
      <c r="AB13" s="39">
        <f t="shared" si="10"/>
        <v>1.6087983529767582</v>
      </c>
      <c r="AC13" s="39">
        <f t="shared" si="10"/>
        <v>-1.8803126364301155</v>
      </c>
      <c r="AD13" s="39">
        <f t="shared" si="10"/>
        <v>-1.9799555402597258</v>
      </c>
      <c r="AE13" s="39">
        <f t="shared" si="10"/>
        <v>-1.993735133501656</v>
      </c>
      <c r="AF13" s="39">
        <f t="shared" si="10"/>
        <v>-1.5423955212542666</v>
      </c>
      <c r="AG13" s="39">
        <f t="shared" si="10"/>
        <v>-1.8387794940679107</v>
      </c>
      <c r="AH13" s="39">
        <f t="shared" si="10"/>
        <v>-1.9481037227146505</v>
      </c>
      <c r="AI13" s="18" t="str">
        <f t="shared" si="5"/>
        <v>N2</v>
      </c>
      <c r="AJ13" s="44">
        <f t="shared" si="6"/>
        <v>2.1996233649308463</v>
      </c>
    </row>
    <row r="14" spans="1:36" ht="11.25" customHeight="1" x14ac:dyDescent="0.25">
      <c r="A14" s="23">
        <v>6</v>
      </c>
      <c r="B14" s="47">
        <f t="shared" si="2"/>
        <v>5.6436690004596661E-2</v>
      </c>
      <c r="C14" s="45">
        <v>1</v>
      </c>
      <c r="D14" s="24">
        <v>24.493309431825359</v>
      </c>
      <c r="E14" s="42" t="s">
        <v>137</v>
      </c>
      <c r="F14" s="5">
        <v>1.23287398E-2</v>
      </c>
      <c r="G14" s="5">
        <v>1.9160045600000002E-2</v>
      </c>
      <c r="H14" s="5">
        <v>0.3085</v>
      </c>
      <c r="I14" s="5">
        <v>4.8184000000000005</v>
      </c>
      <c r="J14" s="5">
        <v>6.04284</v>
      </c>
      <c r="K14" s="5">
        <v>0.97726360000000001</v>
      </c>
      <c r="L14" s="5">
        <v>0.16343480000000002</v>
      </c>
      <c r="M14" s="5">
        <v>3.4232999999999998E-3</v>
      </c>
      <c r="N14" s="5">
        <v>0.40018000000000004</v>
      </c>
      <c r="O14" s="5">
        <v>2.6063219999999998E-2</v>
      </c>
      <c r="P14" s="5">
        <v>1.1050000000000001E-2</v>
      </c>
      <c r="Q14" s="5">
        <v>7.6078000000000001</v>
      </c>
      <c r="R14" s="5">
        <v>8.6600228000000001E-2</v>
      </c>
      <c r="S14" s="5">
        <v>3.6447314</v>
      </c>
      <c r="T14" s="43" t="str">
        <f t="shared" si="3"/>
        <v>N3</v>
      </c>
      <c r="U14" s="39">
        <f t="shared" ref="U14:AH14" si="11">IF(OR(F14=0,F14&lt;0.00000000001,F14&gt;100000),"",IF((IF(F14&gt;F$5,ABS(LOG(((F$5/SUM($F14:$S14))/(F$4/SUM($F$4:$S$4)))*4+2,2)),ABS(LOG(((F14/SUM($F14:$S14))/(F$4/SUM($F$4:$S$4)))*4+2,2)))-3)&gt;8,(IF(F14&gt;F$5,ABS(LOG(((F$5/SUM($F14:$S14))/(F$4/SUM($F$4:$S$4)))*4+2,2)),ABS(LOG(((F14/SUM($F14:$S14))/(F$4/SUM($F$4:$S$4)))*4+2,2)))-3)/7,IF(F14&gt;F$5,ABS(LOG(((F$5/SUM($F14:$S14))/(F$4/SUM($F$4:$S$4)))*4+2,2)),ABS(LOG(((F14/SUM($F14:$S14))/(F$4/SUM($F$4:$S$4)))*4+2,2)))-3))</f>
        <v>0.40545831746120875</v>
      </c>
      <c r="V14" s="39">
        <f t="shared" si="11"/>
        <v>-0.37362445433148217</v>
      </c>
      <c r="W14" s="39">
        <f t="shared" si="11"/>
        <v>4.7622039499972448</v>
      </c>
      <c r="X14" s="39">
        <f t="shared" si="11"/>
        <v>5.7209179412720967</v>
      </c>
      <c r="Y14" s="39">
        <f t="shared" si="11"/>
        <v>6.1199318988382583</v>
      </c>
      <c r="Z14" s="39">
        <f t="shared" si="11"/>
        <v>1.4959252352785115</v>
      </c>
      <c r="AA14" s="39">
        <f t="shared" si="11"/>
        <v>-5.5580992016535991E-2</v>
      </c>
      <c r="AB14" s="39">
        <f t="shared" si="11"/>
        <v>-1.6059685731156854</v>
      </c>
      <c r="AC14" s="39">
        <f t="shared" si="11"/>
        <v>-1.2365436764347539</v>
      </c>
      <c r="AD14" s="39">
        <f t="shared" si="11"/>
        <v>-1.813919293203061</v>
      </c>
      <c r="AE14" s="39">
        <f t="shared" si="11"/>
        <v>-1.9321505917342587</v>
      </c>
      <c r="AF14" s="39">
        <f t="shared" si="11"/>
        <v>-0.74820926793532783</v>
      </c>
      <c r="AG14" s="39">
        <f t="shared" si="11"/>
        <v>-1.7762992788958478</v>
      </c>
      <c r="AH14" s="39">
        <f t="shared" si="11"/>
        <v>-1.1998177956750753</v>
      </c>
      <c r="AI14" s="18" t="str">
        <f t="shared" si="5"/>
        <v>N3</v>
      </c>
      <c r="AJ14" s="44">
        <f t="shared" si="6"/>
        <v>1</v>
      </c>
    </row>
    <row r="15" spans="1:36" ht="11.25" customHeight="1" x14ac:dyDescent="0.25">
      <c r="A15" s="23">
        <v>7</v>
      </c>
      <c r="B15" s="47">
        <f t="shared" si="2"/>
        <v>0.15603615919652275</v>
      </c>
      <c r="C15" s="45">
        <v>1</v>
      </c>
      <c r="D15" s="24">
        <v>20.472562308925148</v>
      </c>
      <c r="E15" s="42" t="s">
        <v>138</v>
      </c>
      <c r="F15" s="5">
        <v>1.8850000000000001E-5</v>
      </c>
      <c r="G15" s="5">
        <v>7.2599999999999998E-2</v>
      </c>
      <c r="H15" s="5">
        <v>5.935E-2</v>
      </c>
      <c r="I15" s="5">
        <v>1.1493500000000001</v>
      </c>
      <c r="J15" s="5">
        <v>4.2549999999999998E-2</v>
      </c>
      <c r="K15" s="5">
        <v>1.4550000000000001E-3</v>
      </c>
      <c r="L15" s="5">
        <v>0.27780000000000005</v>
      </c>
      <c r="M15" s="5">
        <v>4.795E-2</v>
      </c>
      <c r="N15" s="5">
        <v>1.97565E-4</v>
      </c>
      <c r="O15" s="5">
        <v>1.3615000000000001E-3</v>
      </c>
      <c r="P15" s="5">
        <v>2.1974999999999998E-2</v>
      </c>
      <c r="Q15" s="5">
        <v>9.8125</v>
      </c>
      <c r="R15" s="5">
        <v>0.11215</v>
      </c>
      <c r="S15" s="5">
        <v>7.4824999999999999</v>
      </c>
      <c r="T15" s="43" t="str">
        <f t="shared" si="3"/>
        <v>N4</v>
      </c>
      <c r="U15" s="39">
        <f t="shared" ref="U15:AH15" si="12">IF(OR(F15=0,F15&lt;0.00000000001,F15&gt;100000),"",IF((IF(F15&gt;F$5,ABS(LOG(((F$5/SUM($F15:$S15))/(F$4/SUM($F$4:$S$4)))*4+2,2)),ABS(LOG(((F15/SUM($F15:$S15))/(F$4/SUM($F$4:$S$4)))*4+2,2)))-3)&gt;8,(IF(F15&gt;F$5,ABS(LOG(((F$5/SUM($F15:$S15))/(F$4/SUM($F$4:$S$4)))*4+2,2)),ABS(LOG(((F15/SUM($F15:$S15))/(F$4/SUM($F$4:$S$4)))*4+2,2)))-3)/7,IF(F15&gt;F$5,ABS(LOG(((F$5/SUM($F15:$S15))/(F$4/SUM($F$4:$S$4)))*4+2,2)),ABS(LOG(((F15/SUM($F15:$S15))/(F$4/SUM($F$4:$S$4)))*4+2,2)))-3))</f>
        <v>-1.9880647719548674</v>
      </c>
      <c r="V15" s="39">
        <f t="shared" si="12"/>
        <v>1.4592176264982832</v>
      </c>
      <c r="W15" s="39">
        <f t="shared" si="12"/>
        <v>2.763173142449884</v>
      </c>
      <c r="X15" s="39">
        <f t="shared" si="12"/>
        <v>4.0070774581139617</v>
      </c>
      <c r="Y15" s="39">
        <f t="shared" si="12"/>
        <v>-0.20617194202636613</v>
      </c>
      <c r="Z15" s="39">
        <f t="shared" si="12"/>
        <v>1.5468279722079172</v>
      </c>
      <c r="AA15" s="39">
        <f t="shared" si="12"/>
        <v>0.83214371025440714</v>
      </c>
      <c r="AB15" s="39">
        <f t="shared" si="12"/>
        <v>0.71390056481115316</v>
      </c>
      <c r="AC15" s="39">
        <f t="shared" si="12"/>
        <v>-1.9993720825752621</v>
      </c>
      <c r="AD15" s="39">
        <f t="shared" si="12"/>
        <v>-1.9869435810426577</v>
      </c>
      <c r="AE15" s="39">
        <f t="shared" si="12"/>
        <v>-1.835143420137801</v>
      </c>
      <c r="AF15" s="39">
        <f t="shared" si="12"/>
        <v>-0.29855184815821634</v>
      </c>
      <c r="AG15" s="39">
        <f t="shared" si="12"/>
        <v>-1.649977807596287</v>
      </c>
      <c r="AH15" s="39">
        <f t="shared" si="12"/>
        <v>-0.45211496808588469</v>
      </c>
      <c r="AI15" s="18" t="str">
        <f t="shared" si="5"/>
        <v>N4</v>
      </c>
      <c r="AJ15" s="44">
        <f t="shared" si="6"/>
        <v>1</v>
      </c>
    </row>
    <row r="16" spans="1:36" ht="11.25" customHeight="1" x14ac:dyDescent="0.25">
      <c r="A16" s="23">
        <v>8</v>
      </c>
      <c r="B16" s="47">
        <f t="shared" si="2"/>
        <v>0.98713279643000718</v>
      </c>
      <c r="C16" s="45">
        <v>1</v>
      </c>
      <c r="D16" s="24">
        <v>21.668423190979148</v>
      </c>
      <c r="E16" s="42" t="s">
        <v>139</v>
      </c>
      <c r="F16" s="5">
        <v>3.1349999999999998E-4</v>
      </c>
      <c r="G16" s="5">
        <v>0.16539999999999999</v>
      </c>
      <c r="H16" s="5">
        <v>0.15720000000000001</v>
      </c>
      <c r="I16" s="5">
        <v>0.98665000000000003</v>
      </c>
      <c r="J16" s="5">
        <v>6.4250000000000002E-2</v>
      </c>
      <c r="K16" s="5">
        <v>6.7949999999999998E-3</v>
      </c>
      <c r="L16" s="5">
        <v>0.309</v>
      </c>
      <c r="M16" s="5">
        <v>8.6400000000000005E-2</v>
      </c>
      <c r="N16" s="5">
        <v>1.6418999999999999E-6</v>
      </c>
      <c r="O16" s="5">
        <v>1.2019999999999999E-3</v>
      </c>
      <c r="P16" s="5">
        <v>3.1850000000000003E-2</v>
      </c>
      <c r="Q16" s="5">
        <v>10.454499999999999</v>
      </c>
      <c r="R16" s="5">
        <v>0.24249999999999999</v>
      </c>
      <c r="S16" s="5">
        <v>11.285</v>
      </c>
      <c r="T16" s="43" t="str">
        <f t="shared" si="3"/>
        <v>N5</v>
      </c>
      <c r="U16" s="39">
        <f t="shared" ref="U16:AH16" si="13">IF(OR(F16=0,F16&lt;0.00000000001,F16&gt;100000),"",IF((IF(F16&gt;F$5,ABS(LOG(((F$5/SUM($F16:$S16))/(F$4/SUM($F$4:$S$4)))*4+2,2)),ABS(LOG(((F16/SUM($F16:$S16))/(F$4/SUM($F$4:$S$4)))*4+2,2)))-3)&gt;8,(IF(F16&gt;F$5,ABS(LOG(((F$5/SUM($F16:$S16))/(F$4/SUM($F$4:$S$4)))*4+2,2)),ABS(LOG(((F16/SUM($F16:$S16))/(F$4/SUM($F$4:$S$4)))*4+2,2)))-3)/7,IF(F16&gt;F$5,ABS(LOG(((F$5/SUM($F16:$S16))/(F$4/SUM($F$4:$S$4)))*4+2,2)),ABS(LOG(((F16/SUM($F16:$S16))/(F$4/SUM($F$4:$S$4)))*4+2,2)))-3))</f>
        <v>-1.8483860615733818</v>
      </c>
      <c r="V16" s="39">
        <f t="shared" si="13"/>
        <v>2.2682658549282912</v>
      </c>
      <c r="W16" s="39">
        <f t="shared" si="13"/>
        <v>3.8218321029249465</v>
      </c>
      <c r="X16" s="39">
        <f t="shared" si="13"/>
        <v>3.4787564725181168</v>
      </c>
      <c r="Y16" s="39">
        <f t="shared" si="13"/>
        <v>-4.2698915251833114E-3</v>
      </c>
      <c r="Z16" s="39">
        <f t="shared" si="13"/>
        <v>3.3586061738506512</v>
      </c>
      <c r="AA16" s="39">
        <f t="shared" si="13"/>
        <v>0.69176689477975861</v>
      </c>
      <c r="AB16" s="39">
        <f t="shared" si="13"/>
        <v>1.1757943643528241</v>
      </c>
      <c r="AC16" s="39">
        <f t="shared" si="13"/>
        <v>-1.999995813629478</v>
      </c>
      <c r="AD16" s="39">
        <f t="shared" si="13"/>
        <v>-1.9907426219556013</v>
      </c>
      <c r="AE16" s="39">
        <f t="shared" si="13"/>
        <v>-1.8100509144909533</v>
      </c>
      <c r="AF16" s="39">
        <f t="shared" si="13"/>
        <v>-0.45174187044730907</v>
      </c>
      <c r="AG16" s="39">
        <f t="shared" si="13"/>
        <v>-1.4381151326645416</v>
      </c>
      <c r="AH16" s="39">
        <f t="shared" si="13"/>
        <v>-0.26568191779699246</v>
      </c>
      <c r="AI16" s="18" t="str">
        <f t="shared" si="5"/>
        <v>N5</v>
      </c>
      <c r="AJ16" s="44">
        <f t="shared" si="6"/>
        <v>1</v>
      </c>
    </row>
    <row r="17" spans="1:36" ht="11.25" customHeight="1" x14ac:dyDescent="0.25">
      <c r="A17" s="23">
        <v>9</v>
      </c>
      <c r="B17" s="47">
        <f t="shared" si="2"/>
        <v>2.301649353313385</v>
      </c>
      <c r="C17" s="45">
        <v>1</v>
      </c>
      <c r="D17" s="24">
        <v>26.7455517787429</v>
      </c>
      <c r="E17" s="42" t="s">
        <v>140</v>
      </c>
      <c r="F17" s="5"/>
      <c r="G17" s="5"/>
      <c r="H17" s="5">
        <v>1.4</v>
      </c>
      <c r="I17" s="5">
        <v>7.3280000000000003</v>
      </c>
      <c r="J17" s="5">
        <v>2.3400000000000001E-2</v>
      </c>
      <c r="K17" s="5">
        <v>7.9699999999999997E-3</v>
      </c>
      <c r="L17" s="5">
        <v>0.75409999999999999</v>
      </c>
      <c r="M17" s="5">
        <v>0.2447</v>
      </c>
      <c r="N17" s="5">
        <v>9.1899999999999996E-2</v>
      </c>
      <c r="O17" s="5">
        <v>4.1100000000000002E-4</v>
      </c>
      <c r="P17" s="5">
        <v>3.59E-4</v>
      </c>
      <c r="Q17" s="5">
        <v>4.5179999999999998</v>
      </c>
      <c r="R17" s="5">
        <v>0.35360000000000003</v>
      </c>
      <c r="S17" s="5">
        <v>3.762</v>
      </c>
      <c r="T17" s="43" t="str">
        <f t="shared" si="3"/>
        <v>N7</v>
      </c>
      <c r="U17" s="39" t="str">
        <f t="shared" ref="U17:AH17" si="14">IF(OR(F17=0,F17&lt;0.00000000001,F17&gt;100000),"",IF((IF(F17&gt;F$5,ABS(LOG(((F$5/SUM($F17:$S17))/(F$4/SUM($F$4:$S$4)))*4+2,2)),ABS(LOG(((F17/SUM($F17:$S17))/(F$4/SUM($F$4:$S$4)))*4+2,2)))-3)&gt;8,(IF(F17&gt;F$5,ABS(LOG(((F$5/SUM($F17:$S17))/(F$4/SUM($F$4:$S$4)))*4+2,2)),ABS(LOG(((F17/SUM($F17:$S17))/(F$4/SUM($F$4:$S$4)))*4+2,2)))-3)/7,IF(F17&gt;F$5,ABS(LOG(((F$5/SUM($F17:$S17))/(F$4/SUM($F$4:$S$4)))*4+2,2)),ABS(LOG(((F17/SUM($F17:$S17))/(F$4/SUM($F$4:$S$4)))*4+2,2)))-3))</f>
        <v/>
      </c>
      <c r="V17" s="39" t="str">
        <f t="shared" si="14"/>
        <v/>
      </c>
      <c r="W17" s="39">
        <f t="shared" si="14"/>
        <v>7.317224172677502</v>
      </c>
      <c r="X17" s="39">
        <f t="shared" si="14"/>
        <v>6.7064113338704825</v>
      </c>
      <c r="Y17" s="39">
        <f t="shared" si="14"/>
        <v>-0.73652215823182399</v>
      </c>
      <c r="Z17" s="39">
        <f t="shared" si="14"/>
        <v>3.9409010782068163</v>
      </c>
      <c r="AA17" s="39">
        <f t="shared" si="14"/>
        <v>2.1821782685574673</v>
      </c>
      <c r="AB17" s="39">
        <f t="shared" si="14"/>
        <v>2.9210445860667171</v>
      </c>
      <c r="AC17" s="39">
        <f t="shared" si="14"/>
        <v>-1.7261318786116018</v>
      </c>
      <c r="AD17" s="39">
        <f t="shared" si="14"/>
        <v>-1.9959185681903306</v>
      </c>
      <c r="AE17" s="39">
        <f t="shared" si="14"/>
        <v>-1.9970576749961859</v>
      </c>
      <c r="AF17" s="39">
        <f t="shared" si="14"/>
        <v>-0.94999862837194815</v>
      </c>
      <c r="AG17" s="39">
        <f t="shared" si="14"/>
        <v>-1.0787881667805539</v>
      </c>
      <c r="AH17" s="39">
        <f t="shared" si="14"/>
        <v>-1.0010583850395125</v>
      </c>
      <c r="AI17" s="18" t="str">
        <f t="shared" si="5"/>
        <v>N7</v>
      </c>
      <c r="AJ17" s="44">
        <f t="shared" si="6"/>
        <v>2.0745551778742901</v>
      </c>
    </row>
    <row r="18" spans="1:36" ht="11.25" customHeight="1" x14ac:dyDescent="0.25">
      <c r="A18" s="23">
        <v>10</v>
      </c>
      <c r="B18" s="47">
        <f t="shared" si="2"/>
        <v>3.6096944683835632</v>
      </c>
      <c r="C18" s="45">
        <v>1</v>
      </c>
      <c r="D18" s="24">
        <v>26.167251254207201</v>
      </c>
      <c r="E18" s="42" t="s">
        <v>141</v>
      </c>
      <c r="F18" s="5"/>
      <c r="G18" s="5">
        <v>6.5999999999999995E-8</v>
      </c>
      <c r="H18" s="5">
        <v>4.3499999999999997E-2</v>
      </c>
      <c r="I18" s="5">
        <v>1.956</v>
      </c>
      <c r="J18" s="5">
        <v>1.0089999999999999</v>
      </c>
      <c r="K18" s="5">
        <v>0.15110000000000001</v>
      </c>
      <c r="L18" s="5">
        <v>1.6000000000000001E-4</v>
      </c>
      <c r="M18" s="5">
        <v>5.2200000000000004E-7</v>
      </c>
      <c r="N18" s="5">
        <v>1.44E-4</v>
      </c>
      <c r="O18" s="5">
        <v>6.7699999999999998E-4</v>
      </c>
      <c r="P18" s="5">
        <v>8.8500000000000002E-3</v>
      </c>
      <c r="Q18" s="5">
        <v>13.74</v>
      </c>
      <c r="R18" s="5">
        <v>3.0400000000000002E-7</v>
      </c>
      <c r="S18" s="5">
        <v>4.6829999999999998</v>
      </c>
      <c r="T18" s="43" t="str">
        <f t="shared" si="3"/>
        <v>N8</v>
      </c>
      <c r="U18" s="39" t="str">
        <f t="shared" ref="U18:AH18" si="15">IF(OR(F18=0,F18&lt;0.00000000001,F18&gt;100000),"",IF((IF(F18&gt;F$5,ABS(LOG(((F$5/SUM($F18:$S18))/(F$4/SUM($F$4:$S$4)))*4+2,2)),ABS(LOG(((F18/SUM($F18:$S18))/(F$4/SUM($F$4:$S$4)))*4+2,2)))-3)&gt;8,(IF(F18&gt;F$5,ABS(LOG(((F$5/SUM($F18:$S18))/(F$4/SUM($F$4:$S$4)))*4+2,2)),ABS(LOG(((F18/SUM($F18:$S18))/(F$4/SUM($F$4:$S$4)))*4+2,2)))-3)/7,IF(F18&gt;F$5,ABS(LOG(((F$5/SUM($F18:$S18))/(F$4/SUM($F$4:$S$4)))*4+2,2)),ABS(LOG(((F18/SUM($F18:$S18))/(F$4/SUM($F$4:$S$4)))*4+2,2)))-3))</f>
        <v/>
      </c>
      <c r="V18" s="39">
        <f t="shared" si="15"/>
        <v>-1.9999884115307542</v>
      </c>
      <c r="W18" s="39">
        <f t="shared" si="15"/>
        <v>2.165218310151392</v>
      </c>
      <c r="X18" s="39">
        <f t="shared" si="15"/>
        <v>4.588297791143825</v>
      </c>
      <c r="Y18" s="39">
        <f t="shared" si="15"/>
        <v>3.7198821114187259</v>
      </c>
      <c r="Z18" s="39">
        <f t="shared" si="15"/>
        <v>7.9392590649568984</v>
      </c>
      <c r="AA18" s="39">
        <f t="shared" si="15"/>
        <v>-1.9955120483714661</v>
      </c>
      <c r="AB18" s="39">
        <f t="shared" si="15"/>
        <v>-1.9999228192225347</v>
      </c>
      <c r="AC18" s="39">
        <f t="shared" si="15"/>
        <v>-1.9995955121571933</v>
      </c>
      <c r="AD18" s="39">
        <f t="shared" si="15"/>
        <v>-1.994248083730511</v>
      </c>
      <c r="AE18" s="39">
        <f t="shared" si="15"/>
        <v>-1.9391451248997444</v>
      </c>
      <c r="AF18" s="39">
        <f t="shared" si="15"/>
        <v>-7.892537308620895E-2</v>
      </c>
      <c r="AG18" s="39">
        <f t="shared" si="15"/>
        <v>-1.9999990510686489</v>
      </c>
      <c r="AH18" s="39">
        <f t="shared" si="15"/>
        <v>-0.95450388559573618</v>
      </c>
      <c r="AI18" s="18" t="str">
        <f t="shared" si="5"/>
        <v>N8</v>
      </c>
      <c r="AJ18" s="44">
        <f t="shared" si="6"/>
        <v>2.0167251254207201</v>
      </c>
    </row>
    <row r="19" spans="1:36" ht="11.25" customHeight="1" x14ac:dyDescent="0.25">
      <c r="A19" s="23">
        <v>11</v>
      </c>
      <c r="B19" s="47">
        <f t="shared" si="2"/>
        <v>0.47275379177845422</v>
      </c>
      <c r="C19" s="45">
        <v>1</v>
      </c>
      <c r="D19" s="24">
        <v>23.414085980790102</v>
      </c>
      <c r="E19" s="42" t="s">
        <v>142</v>
      </c>
      <c r="F19" s="5">
        <v>2.0100000000000001E-7</v>
      </c>
      <c r="G19" s="5">
        <v>6.2799999999999995E-2</v>
      </c>
      <c r="H19" s="5">
        <v>0.20780000000000001</v>
      </c>
      <c r="I19" s="5">
        <v>1.748</v>
      </c>
      <c r="J19" s="5">
        <v>0.12379999999999999</v>
      </c>
      <c r="K19" s="5">
        <v>3.14E-3</v>
      </c>
      <c r="L19" s="5">
        <v>0.46789999999999998</v>
      </c>
      <c r="M19" s="5">
        <v>9.5700000000000004E-3</v>
      </c>
      <c r="N19" s="5">
        <v>3.6300000000000001E-5</v>
      </c>
      <c r="O19" s="5">
        <v>1.0699999999999999E-2</v>
      </c>
      <c r="P19" s="5">
        <v>6.0400000000000004E-4</v>
      </c>
      <c r="Q19" s="5">
        <v>8.8650000000000002</v>
      </c>
      <c r="R19" s="5">
        <v>0.21640000000000001</v>
      </c>
      <c r="S19" s="5">
        <v>6.3250000000000002</v>
      </c>
      <c r="T19" s="43" t="str">
        <f t="shared" si="3"/>
        <v>N9</v>
      </c>
      <c r="U19" s="39">
        <f t="shared" ref="U19:AH19" si="16">IF(OR(F19=0,F19&lt;0.00000000001,F19&gt;100000),"",IF((IF(F19&gt;F$5,ABS(LOG(((F$5/SUM($F19:$S19))/(F$4/SUM($F$4:$S$4)))*4+2,2)),ABS(LOG(((F19/SUM($F19:$S19))/(F$4/SUM($F$4:$S$4)))*4+2,2)))-3)&gt;8,(IF(F19&gt;F$5,ABS(LOG(((F$5/SUM($F19:$S19))/(F$4/SUM($F$4:$S$4)))*4+2,2)),ABS(LOG(((F19/SUM($F19:$S19))/(F$4/SUM($F$4:$S$4)))*4+2,2)))-3)/7,IF(F19&gt;F$5,ABS(LOG(((F$5/SUM($F19:$S19))/(F$4/SUM($F$4:$S$4)))*4+2,2)),ABS(LOG(((F19/SUM($F19:$S19))/(F$4/SUM($F$4:$S$4)))*4+2,2)))-3))</f>
        <v>-1.9998648374020085</v>
      </c>
      <c r="V19" s="39">
        <f t="shared" si="16"/>
        <v>1.3430929391487094</v>
      </c>
      <c r="W19" s="39">
        <f t="shared" si="16"/>
        <v>4.6126715678373085</v>
      </c>
      <c r="X19" s="39">
        <f t="shared" si="16"/>
        <v>4.6843870838091677</v>
      </c>
      <c r="Y19" s="39">
        <f t="shared" si="16"/>
        <v>1.1031616929293051</v>
      </c>
      <c r="Z19" s="39">
        <f t="shared" si="16"/>
        <v>2.6664210447087848</v>
      </c>
      <c r="AA19" s="39">
        <f t="shared" si="16"/>
        <v>1.5735068471643761</v>
      </c>
      <c r="AB19" s="39">
        <f t="shared" si="16"/>
        <v>-0.87970811323984321</v>
      </c>
      <c r="AC19" s="39">
        <f t="shared" si="16"/>
        <v>-1.9998779496367189</v>
      </c>
      <c r="AD19" s="39">
        <f t="shared" si="16"/>
        <v>-1.8948993495884552</v>
      </c>
      <c r="AE19" s="39">
        <f t="shared" si="16"/>
        <v>-1.9949316723057724</v>
      </c>
      <c r="AF19" s="39">
        <f t="shared" si="16"/>
        <v>-0.3436382891894123</v>
      </c>
      <c r="AG19" s="39">
        <f t="shared" si="16"/>
        <v>-1.3580925630101199</v>
      </c>
      <c r="AH19" s="39">
        <f t="shared" si="16"/>
        <v>-0.55633548808699373</v>
      </c>
      <c r="AI19" s="18" t="str">
        <f t="shared" si="5"/>
        <v>N9</v>
      </c>
      <c r="AJ19" s="44">
        <f t="shared" si="6"/>
        <v>1</v>
      </c>
    </row>
    <row r="20" spans="1:36" ht="11.25" customHeight="1" x14ac:dyDescent="0.25">
      <c r="A20" s="23">
        <v>12</v>
      </c>
      <c r="B20" s="47">
        <f t="shared" si="2"/>
        <v>8.3899196915251455</v>
      </c>
      <c r="C20" s="45">
        <v>2</v>
      </c>
      <c r="D20" s="24">
        <v>23.7934272242207</v>
      </c>
      <c r="E20" s="42" t="s">
        <v>143</v>
      </c>
      <c r="F20" s="5">
        <v>2.9455000000000002E-2</v>
      </c>
      <c r="G20" s="5">
        <v>4.8369999999999996E-2</v>
      </c>
      <c r="H20" s="5">
        <v>0.31769999999999998</v>
      </c>
      <c r="I20" s="5">
        <v>6.1705000000000005</v>
      </c>
      <c r="J20" s="5">
        <v>0.50780000000000003</v>
      </c>
      <c r="K20" s="5">
        <v>0.47299999999999998</v>
      </c>
      <c r="L20" s="5">
        <v>0.88834999999999997</v>
      </c>
      <c r="M20" s="5">
        <v>5.1916999999999998E-2</v>
      </c>
      <c r="N20" s="5">
        <v>1.0840000000000001</v>
      </c>
      <c r="O20" s="5">
        <v>1.3734999999999999E-2</v>
      </c>
      <c r="P20" s="5">
        <v>2.8700000000000002E-3</v>
      </c>
      <c r="Q20" s="5">
        <v>5.5830000000000002</v>
      </c>
      <c r="R20" s="5">
        <v>0.40059999999999996</v>
      </c>
      <c r="S20" s="5">
        <v>1.5629999999999999</v>
      </c>
      <c r="T20" s="43" t="str">
        <f t="shared" si="3"/>
        <v>EISCC1</v>
      </c>
      <c r="U20" s="39">
        <f t="shared" ref="U20:AH20" si="17">IF(OR(F20=0,F20&lt;0.00000000001,F20&gt;100000),"",IF((IF(F20&gt;F$5,ABS(LOG(((F$5/SUM($F20:$S20))/(F$4/SUM($F$4:$S$4)))*4+2,2)),ABS(LOG(((F20/SUM($F20:$S20))/(F$4/SUM($F$4:$S$4)))*4+2,2)))-3)&gt;8,(IF(F20&gt;F$5,ABS(LOG(((F$5/SUM($F20:$S20))/(F$4/SUM($F$4:$S$4)))*4+2,2)),ABS(LOG(((F20/SUM($F20:$S20))/(F$4/SUM($F$4:$S$4)))*4+2,2)))-3)/7,IF(F20&gt;F$5,ABS(LOG(((F$5/SUM($F20:$S20))/(F$4/SUM($F$4:$S$4)))*4+2,2)),ABS(LOG(((F20/SUM($F20:$S20))/(F$4/SUM($F$4:$S$4)))*4+2,2)))-3))</f>
        <v>1.950112108075599</v>
      </c>
      <c r="V20" s="39">
        <f t="shared" si="17"/>
        <v>1.0735766537355413</v>
      </c>
      <c r="W20" s="39">
        <f t="shared" si="17"/>
        <v>5.2939183625881192</v>
      </c>
      <c r="X20" s="39">
        <f t="shared" si="17"/>
        <v>6.568151798892778</v>
      </c>
      <c r="Y20" s="39">
        <f t="shared" si="17"/>
        <v>3.0786284911513304</v>
      </c>
      <c r="Z20" s="39">
        <f t="shared" si="17"/>
        <v>1.4168767063142444</v>
      </c>
      <c r="AA20" s="39">
        <f t="shared" si="17"/>
        <v>2.5109371633761519</v>
      </c>
      <c r="AB20" s="39">
        <f t="shared" si="17"/>
        <v>0.94585797231029778</v>
      </c>
      <c r="AC20" s="39">
        <f t="shared" si="17"/>
        <v>-0.12812680429625356</v>
      </c>
      <c r="AD20" s="39">
        <f t="shared" si="17"/>
        <v>-1.8596975961367042</v>
      </c>
      <c r="AE20" s="39">
        <f t="shared" si="17"/>
        <v>-1.9748194349219186</v>
      </c>
      <c r="AF20" s="39">
        <f t="shared" si="17"/>
        <v>-0.72075359389936988</v>
      </c>
      <c r="AG20" s="39">
        <f t="shared" si="17"/>
        <v>-0.93492571968308669</v>
      </c>
      <c r="AH20" s="39">
        <f t="shared" si="17"/>
        <v>-1.4663855990441355</v>
      </c>
      <c r="AI20" s="18" t="str">
        <f t="shared" si="5"/>
        <v>EISCC1</v>
      </c>
      <c r="AJ20" s="44">
        <f t="shared" si="6"/>
        <v>1</v>
      </c>
    </row>
    <row r="21" spans="1:36" ht="11.25" customHeight="1" x14ac:dyDescent="0.25">
      <c r="A21" s="23">
        <v>13</v>
      </c>
      <c r="B21" s="47">
        <f t="shared" si="2"/>
        <v>7.5889598742134909</v>
      </c>
      <c r="C21" s="45">
        <v>2</v>
      </c>
      <c r="D21" s="24">
        <v>23.689601354612449</v>
      </c>
      <c r="E21" s="42" t="s">
        <v>144</v>
      </c>
      <c r="F21" s="5"/>
      <c r="G21" s="5">
        <v>6.59E-2</v>
      </c>
      <c r="H21" s="5">
        <v>0.10385</v>
      </c>
      <c r="I21" s="5">
        <v>4.2934999999999999</v>
      </c>
      <c r="J21" s="5">
        <v>0.20824999999999999</v>
      </c>
      <c r="K21" s="5">
        <v>0.60870000000000002</v>
      </c>
      <c r="L21" s="5">
        <v>0.2094</v>
      </c>
      <c r="M21" s="5">
        <v>0.20300000000000001</v>
      </c>
      <c r="N21" s="5">
        <v>2.8250000000000001E-2</v>
      </c>
      <c r="O21" s="5">
        <v>1.6149999999999999E-3</v>
      </c>
      <c r="P21" s="5">
        <v>6.4650000000000003E-3</v>
      </c>
      <c r="Q21" s="5">
        <v>13.46</v>
      </c>
      <c r="R21" s="5">
        <v>0.43229999999999996</v>
      </c>
      <c r="S21" s="5">
        <v>1.9910000000000001</v>
      </c>
      <c r="T21" s="43" t="str">
        <f t="shared" si="3"/>
        <v>EISCC10</v>
      </c>
      <c r="U21" s="39" t="str">
        <f t="shared" ref="U21:AH21" si="18">IF(OR(F21=0,F21&lt;0.00000000001,F21&gt;100000),"",IF((IF(F21&gt;F$5,ABS(LOG(((F$5/SUM($F21:$S21))/(F$4/SUM($F$4:$S$4)))*4+2,2)),ABS(LOG(((F21/SUM($F21:$S21))/(F$4/SUM($F$4:$S$4)))*4+2,2)))-3)&gt;8,(IF(F21&gt;F$5,ABS(LOG(((F$5/SUM($F21:$S21))/(F$4/SUM($F$4:$S$4)))*4+2,2)),ABS(LOG(((F21/SUM($F21:$S21))/(F$4/SUM($F$4:$S$4)))*4+2,2)))-3)/7,IF(F21&gt;F$5,ABS(LOG(((F$5/SUM($F21:$S21))/(F$4/SUM($F$4:$S$4)))*4+2,2)),ABS(LOG(((F21/SUM($F21:$S21))/(F$4/SUM($F$4:$S$4)))*4+2,2)))-3))</f>
        <v/>
      </c>
      <c r="V21" s="39">
        <f t="shared" si="18"/>
        <v>1.1720120919549011</v>
      </c>
      <c r="W21" s="39">
        <f t="shared" si="18"/>
        <v>3.3718390555766193</v>
      </c>
      <c r="X21" s="39">
        <f t="shared" si="18"/>
        <v>5.713043724287127</v>
      </c>
      <c r="Y21" s="39">
        <f t="shared" si="18"/>
        <v>1.5437252154489354</v>
      </c>
      <c r="Z21" s="39">
        <f t="shared" si="18"/>
        <v>1.4210085408524697</v>
      </c>
      <c r="AA21" s="39">
        <f t="shared" si="18"/>
        <v>0.34308872631107246</v>
      </c>
      <c r="AB21" s="39">
        <f t="shared" si="18"/>
        <v>2.4453383580841077</v>
      </c>
      <c r="AC21" s="39">
        <f t="shared" si="18"/>
        <v>-1.9228111769353027</v>
      </c>
      <c r="AD21" s="39">
        <f t="shared" si="18"/>
        <v>-1.9863288486862567</v>
      </c>
      <c r="AE21" s="39">
        <f t="shared" si="18"/>
        <v>-1.9553342967259133</v>
      </c>
      <c r="AF21" s="39">
        <f t="shared" si="18"/>
        <v>-0.1016935170070945</v>
      </c>
      <c r="AG21" s="39">
        <f t="shared" si="18"/>
        <v>-1.0480477392999326</v>
      </c>
      <c r="AH21" s="39">
        <f t="shared" si="18"/>
        <v>-1.4619758097541358</v>
      </c>
      <c r="AI21" s="18" t="str">
        <f t="shared" si="5"/>
        <v>EISCC10</v>
      </c>
      <c r="AJ21" s="44">
        <f t="shared" si="6"/>
        <v>1</v>
      </c>
    </row>
    <row r="22" spans="1:36" ht="11.25" customHeight="1" x14ac:dyDescent="0.25">
      <c r="A22" s="23">
        <v>14</v>
      </c>
      <c r="B22" s="47">
        <f t="shared" si="2"/>
        <v>9.6731372521918999</v>
      </c>
      <c r="C22" s="45">
        <v>2</v>
      </c>
      <c r="D22" s="24">
        <v>25.6629689997566</v>
      </c>
      <c r="E22" s="42" t="s">
        <v>145</v>
      </c>
      <c r="F22" s="5"/>
      <c r="G22" s="5">
        <v>0.23830000000000001</v>
      </c>
      <c r="H22" s="5">
        <v>1.08395</v>
      </c>
      <c r="I22" s="5">
        <v>4.0095000000000001</v>
      </c>
      <c r="J22" s="5">
        <v>1.2591999999999999</v>
      </c>
      <c r="K22" s="5">
        <v>1.34395</v>
      </c>
      <c r="L22" s="5">
        <v>1.0126999999999999</v>
      </c>
      <c r="M22" s="5">
        <v>0.14449999999999999</v>
      </c>
      <c r="N22" s="5">
        <v>2.7549999999999997E-4</v>
      </c>
      <c r="O22" s="5">
        <v>6.0449999999999997E-2</v>
      </c>
      <c r="P22" s="5">
        <v>9.1199999999999996E-3</v>
      </c>
      <c r="Q22" s="5">
        <v>9.8535000000000004</v>
      </c>
      <c r="R22" s="5">
        <v>0.74544999999999995</v>
      </c>
      <c r="S22" s="5">
        <v>1.0874999999999999</v>
      </c>
      <c r="T22" s="43" t="str">
        <f t="shared" si="3"/>
        <v>EISCC11</v>
      </c>
      <c r="U22" s="39" t="str">
        <f t="shared" ref="U22:AH22" si="19">IF(OR(F22=0,F22&lt;0.00000000001,F22&gt;100000),"",IF((IF(F22&gt;F$5,ABS(LOG(((F$5/SUM($F22:$S22))/(F$4/SUM($F$4:$S$4)))*4+2,2)),ABS(LOG(((F22/SUM($F22:$S22))/(F$4/SUM($F$4:$S$4)))*4+2,2)))-3)&gt;8,(IF(F22&gt;F$5,ABS(LOG(((F$5/SUM($F22:$S22))/(F$4/SUM($F$4:$S$4)))*4+2,2)),ABS(LOG(((F22/SUM($F22:$S22))/(F$4/SUM($F$4:$S$4)))*4+2,2)))-3)/7,IF(F22&gt;F$5,ABS(LOG(((F$5/SUM($F22:$S22))/(F$4/SUM($F$4:$S$4)))*4+2,2)),ABS(LOG(((F22/SUM($F22:$S22))/(F$4/SUM($F$4:$S$4)))*4+2,2)))-3))</f>
        <v/>
      </c>
      <c r="V22" s="39">
        <f t="shared" si="19"/>
        <v>2.9559356999518487</v>
      </c>
      <c r="W22" s="39">
        <f t="shared" si="19"/>
        <v>6.7755031392609233</v>
      </c>
      <c r="X22" s="39">
        <f t="shared" si="19"/>
        <v>5.6664502356441382</v>
      </c>
      <c r="Y22" s="39">
        <f t="shared" si="19"/>
        <v>4.0838447258972668</v>
      </c>
      <c r="Z22" s="39">
        <f t="shared" si="19"/>
        <v>1.5916345434685084</v>
      </c>
      <c r="AA22" s="39">
        <f t="shared" si="19"/>
        <v>2.4211504325474955</v>
      </c>
      <c r="AB22" s="39">
        <f t="shared" si="19"/>
        <v>2.0301712056700048</v>
      </c>
      <c r="AC22" s="39">
        <f t="shared" si="19"/>
        <v>-1.9991986287375445</v>
      </c>
      <c r="AD22" s="39">
        <f t="shared" si="19"/>
        <v>-1.5464169031166994</v>
      </c>
      <c r="AE22" s="39">
        <f t="shared" si="19"/>
        <v>-1.9351412104672603</v>
      </c>
      <c r="AF22" s="39">
        <f t="shared" si="19"/>
        <v>-0.38174524277345956</v>
      </c>
      <c r="AG22" s="39">
        <f t="shared" si="19"/>
        <v>-0.58291551728267343</v>
      </c>
      <c r="AH22" s="39">
        <f t="shared" si="19"/>
        <v>-1.6712537629724826</v>
      </c>
      <c r="AI22" s="18" t="str">
        <f t="shared" si="5"/>
        <v>EISCC11</v>
      </c>
      <c r="AJ22" s="44">
        <f t="shared" si="6"/>
        <v>1</v>
      </c>
    </row>
    <row r="23" spans="1:36" ht="11.25" customHeight="1" x14ac:dyDescent="0.25">
      <c r="A23" s="23">
        <v>15</v>
      </c>
      <c r="B23" s="47">
        <f t="shared" si="2"/>
        <v>10.917139331614509</v>
      </c>
      <c r="C23" s="45">
        <v>2</v>
      </c>
      <c r="D23" s="24">
        <v>25.1253067834148</v>
      </c>
      <c r="E23" s="42" t="s">
        <v>146</v>
      </c>
      <c r="F23" s="5">
        <v>0.2087</v>
      </c>
      <c r="G23" s="5">
        <v>0.25495000000000001</v>
      </c>
      <c r="H23" s="5">
        <v>1.7256</v>
      </c>
      <c r="I23" s="5">
        <v>7.1735000000000007</v>
      </c>
      <c r="J23" s="5">
        <v>3.1871499999999999</v>
      </c>
      <c r="K23" s="5">
        <v>3.1147</v>
      </c>
      <c r="L23" s="5">
        <v>1.2419499999999999</v>
      </c>
      <c r="M23" s="5">
        <v>6.7650505E-2</v>
      </c>
      <c r="N23" s="5">
        <v>0.14029999999999998</v>
      </c>
      <c r="O23" s="5">
        <v>0.14360000000000001</v>
      </c>
      <c r="P23" s="5">
        <v>5.47E-3</v>
      </c>
      <c r="Q23" s="5">
        <v>8.3665000000000003</v>
      </c>
      <c r="R23" s="5">
        <v>0.35624999999999996</v>
      </c>
      <c r="S23" s="5">
        <v>3.87</v>
      </c>
      <c r="T23" s="43" t="str">
        <f t="shared" si="3"/>
        <v>EISCC2</v>
      </c>
      <c r="U23" s="39">
        <f t="shared" ref="U23:AH23" si="20">IF(OR(F23=0,F23&lt;0.00000000001,F23&gt;100000),"",IF((IF(F23&gt;F$5,ABS(LOG(((F$5/SUM($F23:$S23))/(F$4/SUM($F$4:$S$4)))*4+2,2)),ABS(LOG(((F23/SUM($F23:$S23))/(F$4/SUM($F$4:$S$4)))*4+2,2)))-3)&gt;8,(IF(F23&gt;F$5,ABS(LOG(((F$5/SUM($F23:$S23))/(F$4/SUM($F$4:$S$4)))*4+2,2)),ABS(LOG(((F23/SUM($F23:$S23))/(F$4/SUM($F$4:$S$4)))*4+2,2)))-3)/7,IF(F23&gt;F$5,ABS(LOG(((F$5/SUM($F23:$S23))/(F$4/SUM($F$4:$S$4)))*4+2,2)),ABS(LOG(((F23/SUM($F23:$S23))/(F$4/SUM($F$4:$S$4)))*4+2,2)))-3))</f>
        <v>3.9016480295183937</v>
      </c>
      <c r="V23" s="39">
        <f t="shared" si="20"/>
        <v>2.5509222271125243</v>
      </c>
      <c r="W23" s="39">
        <f t="shared" si="20"/>
        <v>6.92787230219772</v>
      </c>
      <c r="X23" s="39">
        <f t="shared" si="20"/>
        <v>5.9861871401440254</v>
      </c>
      <c r="Y23" s="39">
        <f t="shared" si="20"/>
        <v>4.8962391317960074</v>
      </c>
      <c r="Z23" s="39">
        <f t="shared" si="20"/>
        <v>1.6908420750112563</v>
      </c>
      <c r="AA23" s="39">
        <f t="shared" si="20"/>
        <v>2.2087012904624483</v>
      </c>
      <c r="AB23" s="39">
        <f t="shared" si="20"/>
        <v>0.58840161690334369</v>
      </c>
      <c r="AC23" s="39">
        <f t="shared" si="20"/>
        <v>-1.7398728757738522</v>
      </c>
      <c r="AD23" s="39">
        <f t="shared" si="20"/>
        <v>-1.3104118282348232</v>
      </c>
      <c r="AE23" s="39">
        <f t="shared" si="20"/>
        <v>-1.9724800447935238</v>
      </c>
      <c r="AF23" s="39">
        <f t="shared" si="20"/>
        <v>-0.84467400250458891</v>
      </c>
      <c r="AG23" s="39">
        <f t="shared" si="20"/>
        <v>-1.3608129119053063</v>
      </c>
      <c r="AH23" s="39">
        <f t="shared" si="20"/>
        <v>-1.2898690581057539</v>
      </c>
      <c r="AI23" s="18" t="str">
        <f t="shared" si="5"/>
        <v>EISCC2</v>
      </c>
      <c r="AJ23" s="44">
        <f t="shared" si="6"/>
        <v>1</v>
      </c>
    </row>
    <row r="24" spans="1:36" ht="11.25" customHeight="1" x14ac:dyDescent="0.25">
      <c r="A24" s="23">
        <v>16</v>
      </c>
      <c r="B24" s="47">
        <f t="shared" si="2"/>
        <v>6.3435240750025974</v>
      </c>
      <c r="C24" s="45">
        <v>2</v>
      </c>
      <c r="D24" s="24">
        <v>20.6163282083265</v>
      </c>
      <c r="E24" s="42" t="s">
        <v>147</v>
      </c>
      <c r="F24" s="5">
        <v>9.8619999999999992E-3</v>
      </c>
      <c r="G24" s="5">
        <v>6.4299999999999996E-2</v>
      </c>
      <c r="H24" s="5">
        <v>0.14934999999999998</v>
      </c>
      <c r="I24" s="5">
        <v>5.1315</v>
      </c>
      <c r="J24" s="5">
        <v>7.4449999999999988E-2</v>
      </c>
      <c r="K24" s="5">
        <v>4.0149999999999998E-2</v>
      </c>
      <c r="L24" s="5">
        <v>0.63355000000000006</v>
      </c>
      <c r="M24" s="5">
        <v>2.095E-2</v>
      </c>
      <c r="N24" s="5">
        <v>0.23594999999999999</v>
      </c>
      <c r="O24" s="5">
        <v>1.0620000000000001E-2</v>
      </c>
      <c r="P24" s="5">
        <v>6.6550000000000003E-3</v>
      </c>
      <c r="Q24" s="5">
        <v>10.969999999999999</v>
      </c>
      <c r="R24" s="5">
        <v>9.8849999999999993E-2</v>
      </c>
      <c r="S24" s="5">
        <v>6.0759999999999996</v>
      </c>
      <c r="T24" s="43" t="str">
        <f t="shared" si="3"/>
        <v>EISCC3</v>
      </c>
      <c r="U24" s="39">
        <f t="shared" ref="U24:AH24" si="21">IF(OR(F24=0,F24&lt;0.00000000001,F24&gt;100000),"",IF((IF(F24&gt;F$5,ABS(LOG(((F$5/SUM($F24:$S24))/(F$4/SUM($F$4:$S$4)))*4+2,2)),ABS(LOG(((F24/SUM($F24:$S24))/(F$4/SUM($F$4:$S$4)))*4+2,2)))-3)&gt;8,(IF(F24&gt;F$5,ABS(LOG(((F$5/SUM($F24:$S24))/(F$4/SUM($F$4:$S$4)))*4+2,2)),ABS(LOG(((F24/SUM($F24:$S24))/(F$4/SUM($F$4:$S$4)))*4+2,2)))-3)/7,IF(F24&gt;F$5,ABS(LOG(((F$5/SUM($F24:$S24))/(F$4/SUM($F$4:$S$4)))*4+2,2)),ABS(LOG(((F24/SUM($F24:$S24))/(F$4/SUM($F$4:$S$4)))*4+2,2)))-3))</f>
        <v>0.17814826073459722</v>
      </c>
      <c r="V24" s="39">
        <f t="shared" si="21"/>
        <v>1.0327415603015933</v>
      </c>
      <c r="W24" s="39">
        <f t="shared" si="21"/>
        <v>3.7653624120702185</v>
      </c>
      <c r="X24" s="39">
        <f t="shared" si="21"/>
        <v>5.8474813105576491</v>
      </c>
      <c r="Y24" s="39">
        <f t="shared" si="21"/>
        <v>0.17061295442212154</v>
      </c>
      <c r="Z24" s="39">
        <f t="shared" si="21"/>
        <v>5.9082786022104639</v>
      </c>
      <c r="AA24" s="39">
        <f t="shared" si="21"/>
        <v>1.6235031340063237</v>
      </c>
      <c r="AB24" s="39">
        <f t="shared" si="21"/>
        <v>-0.42905803456924074</v>
      </c>
      <c r="AC24" s="39">
        <f t="shared" si="21"/>
        <v>-1.4923143834632939</v>
      </c>
      <c r="AD24" s="39">
        <f t="shared" si="21"/>
        <v>-1.9193069415645128</v>
      </c>
      <c r="AE24" s="39">
        <f t="shared" si="21"/>
        <v>-1.9577198562473106</v>
      </c>
      <c r="AF24" s="39">
        <f t="shared" si="21"/>
        <v>-0.39468360703946814</v>
      </c>
      <c r="AG24" s="39">
        <f t="shared" si="21"/>
        <v>-1.7413842251557494</v>
      </c>
      <c r="AH24" s="39">
        <f t="shared" si="21"/>
        <v>-0.81900484914272997</v>
      </c>
      <c r="AI24" s="18" t="str">
        <f t="shared" si="5"/>
        <v>EISCC3</v>
      </c>
      <c r="AJ24" s="44">
        <f t="shared" si="6"/>
        <v>1</v>
      </c>
    </row>
    <row r="25" spans="1:36" ht="11.25" customHeight="1" x14ac:dyDescent="0.25">
      <c r="A25" s="23">
        <v>17</v>
      </c>
      <c r="B25" s="47">
        <f t="shared" si="2"/>
        <v>5.0283240749964548</v>
      </c>
      <c r="C25" s="45">
        <v>2</v>
      </c>
      <c r="D25" s="24">
        <v>23.048605751151499</v>
      </c>
      <c r="E25" s="42" t="s">
        <v>148</v>
      </c>
      <c r="F25" s="5"/>
      <c r="G25" s="5"/>
      <c r="H25" s="5">
        <v>0.21754999999999999</v>
      </c>
      <c r="I25" s="5">
        <v>6.0309999999999997</v>
      </c>
      <c r="J25" s="5">
        <v>0.2409</v>
      </c>
      <c r="K25" s="5">
        <v>0.3402</v>
      </c>
      <c r="L25" s="5">
        <v>0.72110000000000007</v>
      </c>
      <c r="M25" s="5">
        <v>8.6899999999999991E-2</v>
      </c>
      <c r="N25" s="5">
        <v>1.1769999999999999E-2</v>
      </c>
      <c r="O25" s="5">
        <v>3.85E-2</v>
      </c>
      <c r="P25" s="5">
        <v>1.1370000000000002E-2</v>
      </c>
      <c r="Q25" s="5">
        <v>7.8580000000000005</v>
      </c>
      <c r="R25" s="5">
        <v>0.28690000000000004</v>
      </c>
      <c r="S25" s="5">
        <v>2.4379999999999997</v>
      </c>
      <c r="T25" s="43" t="str">
        <f t="shared" si="3"/>
        <v>EISCC4</v>
      </c>
      <c r="U25" s="39" t="str">
        <f t="shared" ref="U25:AH25" si="22">IF(OR(F25=0,F25&lt;0.00000000001,F25&gt;100000),"",IF((IF(F25&gt;F$5,ABS(LOG(((F$5/SUM($F25:$S25))/(F$4/SUM($F$4:$S$4)))*4+2,2)),ABS(LOG(((F25/SUM($F25:$S25))/(F$4/SUM($F$4:$S$4)))*4+2,2)))-3)&gt;8,(IF(F25&gt;F$5,ABS(LOG(((F$5/SUM($F25:$S25))/(F$4/SUM($F$4:$S$4)))*4+2,2)),ABS(LOG(((F25/SUM($F25:$S25))/(F$4/SUM($F$4:$S$4)))*4+2,2)))-3)/7,IF(F25&gt;F$5,ABS(LOG(((F$5/SUM($F25:$S25))/(F$4/SUM($F$4:$S$4)))*4+2,2)),ABS(LOG(((F25/SUM($F25:$S25))/(F$4/SUM($F$4:$S$4)))*4+2,2)))-3))</f>
        <v/>
      </c>
      <c r="V25" s="39" t="str">
        <f t="shared" si="22"/>
        <v/>
      </c>
      <c r="W25" s="39">
        <f t="shared" si="22"/>
        <v>4.659171057920136</v>
      </c>
      <c r="X25" s="39">
        <f t="shared" si="22"/>
        <v>6.4419581545227818</v>
      </c>
      <c r="Y25" s="39">
        <f t="shared" si="22"/>
        <v>1.9616181822979808</v>
      </c>
      <c r="Z25" s="39">
        <f t="shared" si="22"/>
        <v>1.3356154621257399</v>
      </c>
      <c r="AA25" s="39">
        <f t="shared" si="22"/>
        <v>2.1362191815266707</v>
      </c>
      <c r="AB25" s="39">
        <f t="shared" si="22"/>
        <v>1.5259265409068385</v>
      </c>
      <c r="AC25" s="39">
        <f t="shared" si="22"/>
        <v>-1.9614662872109916</v>
      </c>
      <c r="AD25" s="39">
        <f t="shared" si="22"/>
        <v>-1.6570837365875761</v>
      </c>
      <c r="AE25" s="39">
        <f t="shared" si="22"/>
        <v>-1.9086404133105106</v>
      </c>
      <c r="AF25" s="39">
        <f t="shared" si="22"/>
        <v>-0.47266101260938154</v>
      </c>
      <c r="AG25" s="39">
        <f t="shared" si="22"/>
        <v>-1.2066064782249242</v>
      </c>
      <c r="AH25" s="39">
        <f t="shared" si="22"/>
        <v>-1.273807199873914</v>
      </c>
      <c r="AI25" s="18" t="str">
        <f t="shared" si="5"/>
        <v>EISCC4</v>
      </c>
      <c r="AJ25" s="44">
        <f t="shared" si="6"/>
        <v>1</v>
      </c>
    </row>
    <row r="26" spans="1:36" ht="11.25" customHeight="1" x14ac:dyDescent="0.25">
      <c r="A26" s="23">
        <v>18</v>
      </c>
      <c r="B26" s="47">
        <f t="shared" si="2"/>
        <v>7.2834932571474296</v>
      </c>
      <c r="C26" s="45">
        <v>2</v>
      </c>
      <c r="D26" s="24">
        <v>23.287940160642798</v>
      </c>
      <c r="E26" s="42" t="s">
        <v>149</v>
      </c>
      <c r="F26" s="5">
        <v>1.465E-2</v>
      </c>
      <c r="G26" s="5">
        <v>5.1499999999999997E-2</v>
      </c>
      <c r="H26" s="5">
        <v>0.28305000000000002</v>
      </c>
      <c r="I26" s="5">
        <v>3.2044999999999999</v>
      </c>
      <c r="J26" s="5">
        <v>0.31190000000000001</v>
      </c>
      <c r="K26" s="5">
        <v>0.47945000000000004</v>
      </c>
      <c r="L26" s="5">
        <v>0.72820000000000007</v>
      </c>
      <c r="M26" s="5">
        <v>0.11384</v>
      </c>
      <c r="N26" s="5">
        <v>4.8213399999999997E-2</v>
      </c>
      <c r="O26" s="5">
        <v>9.5500000000000002E-2</v>
      </c>
      <c r="P26" s="5">
        <v>7.4099999999999999E-3</v>
      </c>
      <c r="Q26" s="5">
        <v>7.9879999999999995</v>
      </c>
      <c r="R26" s="5">
        <v>0.1837</v>
      </c>
      <c r="S26" s="5">
        <v>1.9765000000000001</v>
      </c>
      <c r="T26" s="43" t="str">
        <f t="shared" si="3"/>
        <v>EISCC5</v>
      </c>
      <c r="U26" s="39">
        <f t="shared" ref="U26:AH26" si="23">IF(OR(F26=0,F26&lt;0.00000000001,F26&gt;100000),"",IF((IF(F26&gt;F$5,ABS(LOG(((F$5/SUM($F26:$S26))/(F$4/SUM($F$4:$S$4)))*4+2,2)),ABS(LOG(((F26/SUM($F26:$S26))/(F$4/SUM($F$4:$S$4)))*4+2,2)))-3)&gt;8,(IF(F26&gt;F$5,ABS(LOG(((F$5/SUM($F26:$S26))/(F$4/SUM($F$4:$S$4)))*4+2,2)),ABS(LOG(((F26/SUM($F26:$S26))/(F$4/SUM($F$4:$S$4)))*4+2,2)))-3)/7,IF(F26&gt;F$5,ABS(LOG(((F$5/SUM($F26:$S26))/(F$4/SUM($F$4:$S$4)))*4+2,2)),ABS(LOG(((F26/SUM($F26:$S26))/(F$4/SUM($F$4:$S$4)))*4+2,2)))-3))</f>
        <v>1.162715480166888</v>
      </c>
      <c r="V26" s="39">
        <f t="shared" si="23"/>
        <v>1.2837901641026583</v>
      </c>
      <c r="W26" s="39">
        <f t="shared" si="23"/>
        <v>5.2733271502800356</v>
      </c>
      <c r="X26" s="39">
        <f t="shared" si="23"/>
        <v>5.7715591036720326</v>
      </c>
      <c r="Y26" s="39">
        <f t="shared" si="23"/>
        <v>2.5413263534073511</v>
      </c>
      <c r="Z26" s="39">
        <f t="shared" si="23"/>
        <v>1.4405029551871142</v>
      </c>
      <c r="AA26" s="39">
        <f t="shared" si="23"/>
        <v>2.3765053264434988</v>
      </c>
      <c r="AB26" s="39">
        <f t="shared" si="23"/>
        <v>2.1099889013524198</v>
      </c>
      <c r="AC26" s="39">
        <f t="shared" si="23"/>
        <v>-1.8225255027766187</v>
      </c>
      <c r="AD26" s="39">
        <f t="shared" si="23"/>
        <v>-1.1634916911014039</v>
      </c>
      <c r="AE26" s="39">
        <f t="shared" si="23"/>
        <v>-1.9292032625468156</v>
      </c>
      <c r="AF26" s="39">
        <f t="shared" si="23"/>
        <v>-0.29550012418719351</v>
      </c>
      <c r="AG26" s="39">
        <f t="shared" si="23"/>
        <v>-1.3638513335445046</v>
      </c>
      <c r="AH26" s="39">
        <f t="shared" si="23"/>
        <v>-1.2985170861813267</v>
      </c>
      <c r="AI26" s="18" t="str">
        <f t="shared" si="5"/>
        <v>EISCC5</v>
      </c>
      <c r="AJ26" s="44">
        <f t="shared" si="6"/>
        <v>1</v>
      </c>
    </row>
    <row r="27" spans="1:36" ht="11.25" customHeight="1" x14ac:dyDescent="0.25">
      <c r="A27" s="23">
        <v>19</v>
      </c>
      <c r="B27" s="47">
        <f t="shared" si="2"/>
        <v>8.8444546669347428</v>
      </c>
      <c r="C27" s="45">
        <v>2</v>
      </c>
      <c r="D27" s="24">
        <v>26.70934500847715</v>
      </c>
      <c r="E27" s="42" t="s">
        <v>150</v>
      </c>
      <c r="F27" s="5"/>
      <c r="G27" s="5"/>
      <c r="H27" s="5">
        <v>1.67455</v>
      </c>
      <c r="I27" s="5">
        <v>4.6055000000000001</v>
      </c>
      <c r="J27" s="5">
        <v>2.1905000000000001</v>
      </c>
      <c r="K27" s="5">
        <v>6.3985000000000003</v>
      </c>
      <c r="L27" s="5">
        <v>1.7675000000000001</v>
      </c>
      <c r="M27" s="5">
        <v>0.38664999999999999</v>
      </c>
      <c r="N27" s="5">
        <v>3.1E-4</v>
      </c>
      <c r="O27" s="5">
        <v>0.12072255</v>
      </c>
      <c r="P27" s="5">
        <v>5.8649999999999996E-3</v>
      </c>
      <c r="Q27" s="5">
        <v>4.9960000000000004</v>
      </c>
      <c r="R27" s="5">
        <v>0.33036500000000002</v>
      </c>
      <c r="S27" s="5">
        <v>1.3976500000000001</v>
      </c>
      <c r="T27" s="43" t="str">
        <f t="shared" si="3"/>
        <v>EISCC6</v>
      </c>
      <c r="U27" s="39" t="str">
        <f t="shared" ref="U27:AH27" si="24">IF(OR(F27=0,F27&lt;0.00000000001,F27&gt;100000),"",IF((IF(F27&gt;F$5,ABS(LOG(((F$5/SUM($F27:$S27))/(F$4/SUM($F$4:$S$4)))*4+2,2)),ABS(LOG(((F27/SUM($F27:$S27))/(F$4/SUM($F$4:$S$4)))*4+2,2)))-3)&gt;8,(IF(F27&gt;F$5,ABS(LOG(((F$5/SUM($F27:$S27))/(F$4/SUM($F$4:$S$4)))*4+2,2)),ABS(LOG(((F27/SUM($F27:$S27))/(F$4/SUM($F$4:$S$4)))*4+2,2)))-3)/7,IF(F27&gt;F$5,ABS(LOG(((F$5/SUM($F27:$S27))/(F$4/SUM($F$4:$S$4)))*4+2,2)),ABS(LOG(((F27/SUM($F27:$S27))/(F$4/SUM($F$4:$S$4)))*4+2,2)))-3))</f>
        <v/>
      </c>
      <c r="V27" s="39" t="str">
        <f t="shared" si="24"/>
        <v/>
      </c>
      <c r="W27" s="39">
        <f t="shared" si="24"/>
        <v>7.206615534329643</v>
      </c>
      <c r="X27" s="39">
        <f t="shared" si="24"/>
        <v>5.6708531944386102</v>
      </c>
      <c r="Y27" s="39">
        <f t="shared" si="24"/>
        <v>4.6798000551210004</v>
      </c>
      <c r="Z27" s="39">
        <f t="shared" si="24"/>
        <v>1.8852948654723198</v>
      </c>
      <c r="AA27" s="39">
        <f t="shared" si="24"/>
        <v>3.0057974123939593</v>
      </c>
      <c r="AB27" s="39">
        <f t="shared" si="24"/>
        <v>3.2032013469345095</v>
      </c>
      <c r="AC27" s="39">
        <f t="shared" si="24"/>
        <v>-1.999212552966545</v>
      </c>
      <c r="AD27" s="39">
        <f t="shared" si="24"/>
        <v>-1.2825395077753863</v>
      </c>
      <c r="AE27" s="39">
        <f t="shared" si="24"/>
        <v>-1.9632177603785568</v>
      </c>
      <c r="AF27" s="39">
        <f t="shared" si="24"/>
        <v>-1.0614904584595068</v>
      </c>
      <c r="AG27" s="39">
        <f t="shared" si="24"/>
        <v>-1.2806149164886209</v>
      </c>
      <c r="AH27" s="39">
        <f t="shared" si="24"/>
        <v>-1.6357364790240667</v>
      </c>
      <c r="AI27" s="18" t="str">
        <f t="shared" si="5"/>
        <v>EISCC6</v>
      </c>
      <c r="AJ27" s="44">
        <f t="shared" si="6"/>
        <v>2.0709345008477151</v>
      </c>
    </row>
    <row r="28" spans="1:36" ht="11.25" customHeight="1" x14ac:dyDescent="0.25">
      <c r="A28" s="23">
        <v>20</v>
      </c>
      <c r="B28" s="47">
        <f t="shared" si="2"/>
        <v>4.6026229439626229</v>
      </c>
      <c r="C28" s="45">
        <v>2</v>
      </c>
      <c r="D28" s="24">
        <v>23.64793361760875</v>
      </c>
      <c r="E28" s="42" t="s">
        <v>151</v>
      </c>
      <c r="F28" s="5">
        <v>2.2250064E-2</v>
      </c>
      <c r="G28" s="5"/>
      <c r="H28" s="5">
        <v>0.45265</v>
      </c>
      <c r="I28" s="5">
        <v>4.2204999999999995</v>
      </c>
      <c r="J28" s="5">
        <v>0.43559999999999999</v>
      </c>
      <c r="K28" s="5">
        <v>0.56525000000000003</v>
      </c>
      <c r="L28" s="5">
        <v>0.82869999999999999</v>
      </c>
      <c r="M28" s="5">
        <v>6.6400000000000001E-3</v>
      </c>
      <c r="N28" s="5">
        <v>9.7455E-2</v>
      </c>
      <c r="O28" s="5">
        <v>5.1650000000000002E-5</v>
      </c>
      <c r="P28" s="5">
        <v>1.6709999999999999E-2</v>
      </c>
      <c r="Q28" s="5">
        <v>6.4085000000000001</v>
      </c>
      <c r="R28" s="5">
        <v>0.21124999999999999</v>
      </c>
      <c r="S28" s="5">
        <v>2.2160000000000002</v>
      </c>
      <c r="T28" s="43" t="str">
        <f t="shared" si="3"/>
        <v>EISCC7</v>
      </c>
      <c r="U28" s="39">
        <f t="shared" ref="U28:AH28" si="25">IF(OR(F28=0,F28&lt;0.00000000001,F28&gt;100000),"",IF((IF(F28&gt;F$5,ABS(LOG(((F$5/SUM($F28:$S28))/(F$4/SUM($F$4:$S$4)))*4+2,2)),ABS(LOG(((F28/SUM($F28:$S28))/(F$4/SUM($F$4:$S$4)))*4+2,2)))-3)&gt;8,(IF(F28&gt;F$5,ABS(LOG(((F$5/SUM($F28:$S28))/(F$4/SUM($F$4:$S$4)))*4+2,2)),ABS(LOG(((F28/SUM($F28:$S28))/(F$4/SUM($F$4:$S$4)))*4+2,2)))-3)/7,IF(F28&gt;F$5,ABS(LOG(((F$5/SUM($F28:$S28))/(F$4/SUM($F$4:$S$4)))*4+2,2)),ABS(LOG(((F28/SUM($F28:$S28))/(F$4/SUM($F$4:$S$4)))*4+2,2)))-3))</f>
        <v>1.7099367019067264</v>
      </c>
      <c r="V28" s="39" t="str">
        <f t="shared" si="25"/>
        <v/>
      </c>
      <c r="W28" s="39">
        <f t="shared" si="25"/>
        <v>5.9476184194963668</v>
      </c>
      <c r="X28" s="39">
        <f t="shared" si="25"/>
        <v>6.1677344264845271</v>
      </c>
      <c r="Y28" s="39">
        <f t="shared" si="25"/>
        <v>3.005982352515737</v>
      </c>
      <c r="Z28" s="39">
        <f t="shared" si="25"/>
        <v>1.4744901958696552</v>
      </c>
      <c r="AA28" s="39">
        <f t="shared" si="25"/>
        <v>2.5550057506951127</v>
      </c>
      <c r="AB28" s="39">
        <f t="shared" si="25"/>
        <v>-1.0371615422111353</v>
      </c>
      <c r="AC28" s="39">
        <f t="shared" si="25"/>
        <v>-1.6612281296351397</v>
      </c>
      <c r="AD28" s="39">
        <f t="shared" si="25"/>
        <v>-1.9993868667178381</v>
      </c>
      <c r="AE28" s="39">
        <f t="shared" si="25"/>
        <v>-1.8449536754982971</v>
      </c>
      <c r="AF28" s="39">
        <f t="shared" si="25"/>
        <v>-0.50788272516841637</v>
      </c>
      <c r="AG28" s="39">
        <f t="shared" si="25"/>
        <v>-1.2885176711524469</v>
      </c>
      <c r="AH28" s="39">
        <f t="shared" si="25"/>
        <v>-1.232538645887377</v>
      </c>
      <c r="AI28" s="18" t="str">
        <f t="shared" si="5"/>
        <v>EISCC7</v>
      </c>
      <c r="AJ28" s="44">
        <f t="shared" si="6"/>
        <v>1</v>
      </c>
    </row>
    <row r="29" spans="1:36" ht="11.25" customHeight="1" x14ac:dyDescent="0.25">
      <c r="A29" s="23">
        <v>21</v>
      </c>
      <c r="B29" s="47">
        <f t="shared" si="2"/>
        <v>15.083419410191084</v>
      </c>
      <c r="C29" s="45">
        <v>2</v>
      </c>
      <c r="D29" s="24">
        <v>27.646221597499</v>
      </c>
      <c r="E29" s="42" t="s">
        <v>152</v>
      </c>
      <c r="F29" s="5"/>
      <c r="G29" s="5"/>
      <c r="H29" s="5">
        <v>1.99</v>
      </c>
      <c r="I29" s="5">
        <v>2.9430000000000001</v>
      </c>
      <c r="J29" s="5">
        <v>1.7761499999999999</v>
      </c>
      <c r="K29" s="5">
        <v>3.5059999999999998</v>
      </c>
      <c r="L29" s="5">
        <v>2.4895</v>
      </c>
      <c r="M29" s="5">
        <v>0.35699999999999998</v>
      </c>
      <c r="N29" s="5"/>
      <c r="O29" s="5"/>
      <c r="P29" s="5">
        <v>1.5250000000000001E-3</v>
      </c>
      <c r="Q29" s="5">
        <v>4.4124999999999996</v>
      </c>
      <c r="R29" s="5">
        <v>1.16405</v>
      </c>
      <c r="S29" s="5"/>
      <c r="T29" s="43" t="str">
        <f t="shared" si="3"/>
        <v>EISCC8</v>
      </c>
      <c r="U29" s="39" t="str">
        <f t="shared" ref="U29:AH29" si="26">IF(OR(F29=0,F29&lt;0.00000000001,F29&gt;100000),"",IF((IF(F29&gt;F$5,ABS(LOG(((F$5/SUM($F29:$S29))/(F$4/SUM($F$4:$S$4)))*4+2,2)),ABS(LOG(((F29/SUM($F29:$S29))/(F$4/SUM($F$4:$S$4)))*4+2,2)))-3)&gt;8,(IF(F29&gt;F$5,ABS(LOG(((F$5/SUM($F29:$S29))/(F$4/SUM($F$4:$S$4)))*4+2,2)),ABS(LOG(((F29/SUM($F29:$S29))/(F$4/SUM($F$4:$S$4)))*4+2,2)))-3)/7,IF(F29&gt;F$5,ABS(LOG(((F$5/SUM($F29:$S29))/(F$4/SUM($F$4:$S$4)))*4+2,2)),ABS(LOG(((F29/SUM($F29:$S29))/(F$4/SUM($F$4:$S$4)))*4+2,2)))-3))</f>
        <v/>
      </c>
      <c r="V29" s="39" t="str">
        <f t="shared" si="26"/>
        <v/>
      </c>
      <c r="W29" s="39">
        <f t="shared" si="26"/>
        <v>7.8118392374250227</v>
      </c>
      <c r="X29" s="39">
        <f t="shared" si="26"/>
        <v>5.383418882285854</v>
      </c>
      <c r="Y29" s="39">
        <f t="shared" si="26"/>
        <v>4.7338374674927612</v>
      </c>
      <c r="Z29" s="39">
        <f t="shared" si="26"/>
        <v>1.8123198813331207</v>
      </c>
      <c r="AA29" s="39">
        <f t="shared" si="26"/>
        <v>3.8368570314402817</v>
      </c>
      <c r="AB29" s="39">
        <f t="shared" si="26"/>
        <v>3.4391043361962694</v>
      </c>
      <c r="AC29" s="39" t="str">
        <f t="shared" si="26"/>
        <v/>
      </c>
      <c r="AD29" s="39" t="str">
        <f t="shared" si="26"/>
        <v/>
      </c>
      <c r="AE29" s="39">
        <f t="shared" si="26"/>
        <v>-1.9876457907428164</v>
      </c>
      <c r="AF29" s="39">
        <f t="shared" si="26"/>
        <v>-0.97367896967145473</v>
      </c>
      <c r="AG29" s="39">
        <f t="shared" si="26"/>
        <v>-3.0042867300840825E-2</v>
      </c>
      <c r="AH29" s="39" t="str">
        <f t="shared" si="26"/>
        <v/>
      </c>
      <c r="AI29" s="18" t="str">
        <f t="shared" si="5"/>
        <v>EISCC8</v>
      </c>
      <c r="AJ29" s="44">
        <f t="shared" si="6"/>
        <v>2.1646221597499</v>
      </c>
    </row>
    <row r="30" spans="1:36" ht="11.25" customHeight="1" x14ac:dyDescent="0.25">
      <c r="A30" s="23">
        <v>22</v>
      </c>
      <c r="B30" s="47">
        <f t="shared" si="2"/>
        <v>7.1701768274645135</v>
      </c>
      <c r="C30" s="45">
        <v>2</v>
      </c>
      <c r="D30" s="24">
        <v>25.485466162385102</v>
      </c>
      <c r="E30" s="42" t="s">
        <v>153</v>
      </c>
      <c r="F30" s="5"/>
      <c r="G30" s="5">
        <v>0.16669999999999999</v>
      </c>
      <c r="H30" s="5">
        <v>0.74604999999999999</v>
      </c>
      <c r="I30" s="5">
        <v>13.272500000000001</v>
      </c>
      <c r="J30" s="5">
        <v>0.51500000000000001</v>
      </c>
      <c r="K30" s="5">
        <v>0.85640000000000005</v>
      </c>
      <c r="L30" s="5">
        <v>1.9351500000000001</v>
      </c>
      <c r="M30" s="5">
        <v>0.94820000000000004</v>
      </c>
      <c r="N30" s="5">
        <v>0.56735000000000002</v>
      </c>
      <c r="O30" s="5"/>
      <c r="P30" s="5">
        <v>1.8045000000000002E-2</v>
      </c>
      <c r="Q30" s="5">
        <v>31.7255</v>
      </c>
      <c r="R30" s="5">
        <v>4.9849999999999998E-2</v>
      </c>
      <c r="S30" s="5">
        <v>0.42730000000000001</v>
      </c>
      <c r="T30" s="43" t="str">
        <f t="shared" si="3"/>
        <v>EISCC9</v>
      </c>
      <c r="U30" s="39" t="str">
        <f t="shared" ref="U30:AH30" si="27">IF(OR(F30=0,F30&lt;0.00000000001,F30&gt;100000),"",IF((IF(F30&gt;F$5,ABS(LOG(((F$5/SUM($F30:$S30))/(F$4/SUM($F$4:$S$4)))*4+2,2)),ABS(LOG(((F30/SUM($F30:$S30))/(F$4/SUM($F$4:$S$4)))*4+2,2)))-3)&gt;8,(IF(F30&gt;F$5,ABS(LOG(((F$5/SUM($F30:$S30))/(F$4/SUM($F$4:$S$4)))*4+2,2)),ABS(LOG(((F30/SUM($F30:$S30))/(F$4/SUM($F$4:$S$4)))*4+2,2)))-3)/7,IF(F30&gt;F$5,ABS(LOG(((F$5/SUM($F30:$S30))/(F$4/SUM($F$4:$S$4)))*4+2,2)),ABS(LOG(((F30/SUM($F30:$S30))/(F$4/SUM($F$4:$S$4)))*4+2,2)))-3))</f>
        <v/>
      </c>
      <c r="V30" s="39">
        <f t="shared" si="27"/>
        <v>1.2557166636468891</v>
      </c>
      <c r="W30" s="39">
        <f t="shared" si="27"/>
        <v>4.9479881146460336</v>
      </c>
      <c r="X30" s="39">
        <f t="shared" si="27"/>
        <v>6.0945673839929828</v>
      </c>
      <c r="Y30" s="39">
        <f t="shared" si="27"/>
        <v>1.5997504289978828</v>
      </c>
      <c r="Z30" s="39">
        <f t="shared" si="27"/>
        <v>1.3135396422471286</v>
      </c>
      <c r="AA30" s="39">
        <f t="shared" si="27"/>
        <v>2.0775156282583653</v>
      </c>
      <c r="AB30" s="39">
        <f t="shared" si="27"/>
        <v>3.3909735889497501</v>
      </c>
      <c r="AC30" s="39">
        <f t="shared" si="27"/>
        <v>-1.4484440143103487</v>
      </c>
      <c r="AD30" s="39" t="str">
        <f t="shared" si="27"/>
        <v/>
      </c>
      <c r="AE30" s="39">
        <f t="shared" si="27"/>
        <v>-1.947546369046818</v>
      </c>
      <c r="AF30" s="39">
        <f t="shared" si="27"/>
        <v>-0.10763179759029162</v>
      </c>
      <c r="AG30" s="39">
        <f t="shared" si="27"/>
        <v>-1.935859777650683</v>
      </c>
      <c r="AH30" s="39">
        <f t="shared" si="27"/>
        <v>-1.9421356409264212</v>
      </c>
      <c r="AI30" s="18" t="str">
        <f t="shared" si="5"/>
        <v>EISCC9</v>
      </c>
      <c r="AJ30" s="44">
        <f t="shared" si="6"/>
        <v>1</v>
      </c>
    </row>
    <row r="31" spans="1:36" ht="11.25" customHeight="1" x14ac:dyDescent="0.25">
      <c r="A31" s="23">
        <v>23</v>
      </c>
      <c r="B31" s="47">
        <f t="shared" si="2"/>
        <v>10.261670466113541</v>
      </c>
      <c r="C31" s="45">
        <v>2</v>
      </c>
      <c r="D31" s="24">
        <v>25.677935298238733</v>
      </c>
      <c r="E31" s="42" t="s">
        <v>154</v>
      </c>
      <c r="F31" s="5">
        <v>1.9749103999999997</v>
      </c>
      <c r="G31" s="5">
        <v>3.8815000000000002E-2</v>
      </c>
      <c r="H31" s="5">
        <v>1.682566666666667</v>
      </c>
      <c r="I31" s="5">
        <v>3.6646666666666667</v>
      </c>
      <c r="J31" s="5">
        <v>15.772233333333332</v>
      </c>
      <c r="K31" s="5">
        <v>1.9125533333333333</v>
      </c>
      <c r="L31" s="5">
        <v>0.37001066666666671</v>
      </c>
      <c r="M31" s="5">
        <v>1.3235723000000001</v>
      </c>
      <c r="N31" s="5">
        <v>0.93623333333333336</v>
      </c>
      <c r="O31" s="5">
        <v>1.4841333333333333E-2</v>
      </c>
      <c r="P31" s="5">
        <v>1.79461E-2</v>
      </c>
      <c r="Q31" s="5">
        <v>15.256333333333336</v>
      </c>
      <c r="R31" s="5">
        <v>0.58060333333333336</v>
      </c>
      <c r="S31" s="5">
        <v>1.3277033333333332</v>
      </c>
      <c r="T31" s="43" t="str">
        <f t="shared" si="3"/>
        <v>C1</v>
      </c>
      <c r="U31" s="39">
        <f t="shared" ref="U31:AH31" si="28">IF(OR(F31=0,F31&lt;0.00000000001,F31&gt;100000),"",IF((IF(F31&gt;F$5,ABS(LOG(((F$5/SUM($F31:$S31))/(F$4/SUM($F$4:$S$4)))*4+2,2)),ABS(LOG(((F31/SUM($F31:$S31))/(F$4/SUM($F$4:$S$4)))*4+2,2)))-3)&gt;8,(IF(F31&gt;F$5,ABS(LOG(((F$5/SUM($F31:$S31))/(F$4/SUM($F$4:$S$4)))*4+2,2)),ABS(LOG(((F31/SUM($F31:$S31))/(F$4/SUM($F$4:$S$4)))*4+2,2)))-3)/7,IF(F31&gt;F$5,ABS(LOG(((F$5/SUM($F31:$S31))/(F$4/SUM($F$4:$S$4)))*4+2,2)),ABS(LOG(((F31/SUM($F31:$S31))/(F$4/SUM($F$4:$S$4)))*4+2,2)))-3))</f>
        <v>6.5356780738809785</v>
      </c>
      <c r="V31" s="39">
        <f t="shared" si="28"/>
        <v>-0.28932628821132145</v>
      </c>
      <c r="W31" s="39">
        <f t="shared" si="28"/>
        <v>6.3052298453020139</v>
      </c>
      <c r="X31" s="39">
        <f t="shared" si="28"/>
        <v>4.4403885007398198</v>
      </c>
      <c r="Y31" s="39">
        <f t="shared" si="28"/>
        <v>6.6070184507968559</v>
      </c>
      <c r="Z31" s="39">
        <f t="shared" si="28"/>
        <v>1.5063761719794695</v>
      </c>
      <c r="AA31" s="39">
        <f t="shared" si="28"/>
        <v>0.15932246046613052</v>
      </c>
      <c r="AB31" s="39">
        <f t="shared" si="28"/>
        <v>4.0503701904113276</v>
      </c>
      <c r="AC31" s="39">
        <f t="shared" si="28"/>
        <v>-1.0913689537205844</v>
      </c>
      <c r="AD31" s="39">
        <f t="shared" si="28"/>
        <v>-1.9404495114426408</v>
      </c>
      <c r="AE31" s="39">
        <f t="shared" si="28"/>
        <v>-1.9405902439148435</v>
      </c>
      <c r="AF31" s="39">
        <f t="shared" si="28"/>
        <v>-0.68437390927782271</v>
      </c>
      <c r="AG31" s="39">
        <f t="shared" si="28"/>
        <v>-1.3178929892916409</v>
      </c>
      <c r="AH31" s="39">
        <f t="shared" si="28"/>
        <v>-1.8044427536568548</v>
      </c>
      <c r="AI31" s="18" t="str">
        <f t="shared" si="5"/>
        <v>C1</v>
      </c>
      <c r="AJ31" s="44">
        <f t="shared" si="6"/>
        <v>1</v>
      </c>
    </row>
    <row r="32" spans="1:36" ht="11.25" customHeight="1" x14ac:dyDescent="0.25">
      <c r="A32" s="23">
        <v>24</v>
      </c>
      <c r="B32" s="47">
        <f t="shared" si="2"/>
        <v>5.2588072065497062</v>
      </c>
      <c r="C32" s="45">
        <v>2</v>
      </c>
      <c r="D32" s="24">
        <v>19.162102189592549</v>
      </c>
      <c r="E32" s="42" t="s">
        <v>155</v>
      </c>
      <c r="F32" s="5"/>
      <c r="G32" s="5">
        <v>8.5949999999999999E-2</v>
      </c>
      <c r="H32" s="5">
        <v>0.1651</v>
      </c>
      <c r="I32" s="5">
        <v>1.6124999999999998</v>
      </c>
      <c r="J32" s="5">
        <v>0.15145</v>
      </c>
      <c r="K32" s="5">
        <v>4.3449999999999999E-3</v>
      </c>
      <c r="L32" s="5">
        <v>0.86765000000000003</v>
      </c>
      <c r="M32" s="5">
        <v>0.11935</v>
      </c>
      <c r="N32" s="5">
        <v>2.46E-2</v>
      </c>
      <c r="O32" s="5">
        <v>8.115E-2</v>
      </c>
      <c r="P32" s="5">
        <v>1.8735999999999999E-2</v>
      </c>
      <c r="Q32" s="5">
        <v>9.410499999999999</v>
      </c>
      <c r="R32" s="5">
        <v>3.6049999999999999E-2</v>
      </c>
      <c r="S32" s="5">
        <v>6.7264999999999997</v>
      </c>
      <c r="T32" s="43" t="str">
        <f t="shared" si="3"/>
        <v>C10</v>
      </c>
      <c r="U32" s="39" t="str">
        <f t="shared" ref="U32:AH32" si="29">IF(OR(F32=0,F32&lt;0.00000000001,F32&gt;100000),"",IF((IF(F32&gt;F$5,ABS(LOG(((F$5/SUM($F32:$S32))/(F$4/SUM($F$4:$S$4)))*4+2,2)),ABS(LOG(((F32/SUM($F32:$S32))/(F$4/SUM($F$4:$S$4)))*4+2,2)))-3)&gt;8,(IF(F32&gt;F$5,ABS(LOG(((F$5/SUM($F32:$S32))/(F$4/SUM($F$4:$S$4)))*4+2,2)),ABS(LOG(((F32/SUM($F32:$S32))/(F$4/SUM($F$4:$S$4)))*4+2,2)))-3)/7,IF(F32&gt;F$5,ABS(LOG(((F$5/SUM($F32:$S32))/(F$4/SUM($F$4:$S$4)))*4+2,2)),ABS(LOG(((F32/SUM($F32:$S32))/(F$4/SUM($F$4:$S$4)))*4+2,2)))-3))</f>
        <v/>
      </c>
      <c r="V32" s="39">
        <f t="shared" si="29"/>
        <v>1.6668370436917792</v>
      </c>
      <c r="W32" s="39">
        <f t="shared" si="29"/>
        <v>4.188287352133532</v>
      </c>
      <c r="X32" s="39">
        <f t="shared" si="29"/>
        <v>4.4725911279144972</v>
      </c>
      <c r="Y32" s="39">
        <f t="shared" si="29"/>
        <v>1.2751625618936062</v>
      </c>
      <c r="Z32" s="39">
        <f t="shared" si="29"/>
        <v>3.0244420778023775</v>
      </c>
      <c r="AA32" s="39">
        <f t="shared" si="29"/>
        <v>2.3145987796620453</v>
      </c>
      <c r="AB32" s="39">
        <f t="shared" si="29"/>
        <v>1.8759935911003778</v>
      </c>
      <c r="AC32" s="39">
        <f t="shared" si="29"/>
        <v>-1.9246969849033981</v>
      </c>
      <c r="AD32" s="39">
        <f t="shared" si="29"/>
        <v>-1.3811740512479407</v>
      </c>
      <c r="AE32" s="39">
        <f t="shared" si="29"/>
        <v>-1.8598441131917804</v>
      </c>
      <c r="AF32" s="39">
        <f t="shared" si="29"/>
        <v>-0.35146705297293668</v>
      </c>
      <c r="AG32" s="39">
        <f t="shared" si="29"/>
        <v>-1.8793206695097664</v>
      </c>
      <c r="AH32" s="39">
        <f t="shared" si="29"/>
        <v>-0.56191996736693817</v>
      </c>
      <c r="AI32" s="18" t="str">
        <f t="shared" si="5"/>
        <v>C10</v>
      </c>
      <c r="AJ32" s="44">
        <f t="shared" si="6"/>
        <v>1</v>
      </c>
    </row>
    <row r="33" spans="1:36" ht="11.25" customHeight="1" x14ac:dyDescent="0.25">
      <c r="A33" s="23">
        <v>25</v>
      </c>
      <c r="B33" s="47">
        <f t="shared" si="2"/>
        <v>5.779373547169671</v>
      </c>
      <c r="C33" s="45">
        <v>2</v>
      </c>
      <c r="D33" s="24">
        <v>19.9029515501311</v>
      </c>
      <c r="E33" s="42" t="s">
        <v>156</v>
      </c>
      <c r="F33" s="5">
        <v>2.16E-3</v>
      </c>
      <c r="G33" s="5">
        <v>0.11585000000000001</v>
      </c>
      <c r="H33" s="5">
        <v>0.17954999999999999</v>
      </c>
      <c r="I33" s="5">
        <v>1.4175</v>
      </c>
      <c r="J33" s="5">
        <v>3.5529999999999999</v>
      </c>
      <c r="K33" s="5">
        <v>3.8349999999999999E-3</v>
      </c>
      <c r="L33" s="5">
        <v>0.58584999999999998</v>
      </c>
      <c r="M33" s="5">
        <v>0.12609999999999999</v>
      </c>
      <c r="N33" s="5">
        <v>16.594999999999999</v>
      </c>
      <c r="O33" s="5">
        <v>0.45424999999999999</v>
      </c>
      <c r="P33" s="5">
        <v>7.3999999999999996E-2</v>
      </c>
      <c r="Q33" s="5">
        <v>4.2690000000000001</v>
      </c>
      <c r="R33" s="5">
        <v>8.5949999999999999E-2</v>
      </c>
      <c r="S33" s="5">
        <v>5.0440000000000005</v>
      </c>
      <c r="T33" s="43" t="str">
        <f t="shared" si="3"/>
        <v>C11</v>
      </c>
      <c r="U33" s="39">
        <f t="shared" ref="U33:AH33" si="30">IF(OR(F33=0,F33&lt;0.00000000001,F33&gt;100000),"",IF((IF(F33&gt;F$5,ABS(LOG(((F$5/SUM($F33:$S33))/(F$4/SUM($F$4:$S$4)))*4+2,2)),ABS(LOG(((F33/SUM($F33:$S33))/(F$4/SUM($F$4:$S$4)))*4+2,2)))-3)&gt;8,(IF(F33&gt;F$5,ABS(LOG(((F$5/SUM($F33:$S33))/(F$4/SUM($F$4:$S$4)))*4+2,2)),ABS(LOG(((F33/SUM($F33:$S33))/(F$4/SUM($F$4:$S$4)))*4+2,2)))-3)/7,IF(F33&gt;F$5,ABS(LOG(((F$5/SUM($F33:$S33))/(F$4/SUM($F$4:$S$4)))*4+2,2)),ABS(LOG(((F33/SUM($F33:$S33))/(F$4/SUM($F$4:$S$4)))*4+2,2)))-3))</f>
        <v>-1.3595711887825421</v>
      </c>
      <c r="V33" s="39">
        <f t="shared" si="30"/>
        <v>1.3737533365373489</v>
      </c>
      <c r="W33" s="39">
        <f t="shared" si="30"/>
        <v>3.5683245984779557</v>
      </c>
      <c r="X33" s="39">
        <f t="shared" si="30"/>
        <v>3.5496211155969668</v>
      </c>
      <c r="Y33" s="39">
        <f t="shared" si="30"/>
        <v>4.9300553086912586</v>
      </c>
      <c r="Z33" s="39">
        <f t="shared" si="30"/>
        <v>2.1321864048003762</v>
      </c>
      <c r="AA33" s="39">
        <f t="shared" si="30"/>
        <v>1.100637161730849</v>
      </c>
      <c r="AB33" s="39">
        <f t="shared" si="30"/>
        <v>1.2607425409484101</v>
      </c>
      <c r="AC33" s="39">
        <f t="shared" si="30"/>
        <v>1.8006420780563195</v>
      </c>
      <c r="AD33" s="39">
        <f t="shared" si="30"/>
        <v>-0.52464339056495346</v>
      </c>
      <c r="AE33" s="39">
        <f t="shared" si="30"/>
        <v>-1.6904772402673658</v>
      </c>
      <c r="AF33" s="39">
        <f t="shared" si="30"/>
        <v>-1.3444615926078562</v>
      </c>
      <c r="AG33" s="39">
        <f t="shared" si="30"/>
        <v>-1.8319621996550997</v>
      </c>
      <c r="AH33" s="39">
        <f t="shared" si="30"/>
        <v>-1.1833519035817246</v>
      </c>
      <c r="AI33" s="18" t="str">
        <f t="shared" si="5"/>
        <v>C11</v>
      </c>
      <c r="AJ33" s="44">
        <f t="shared" si="6"/>
        <v>1</v>
      </c>
    </row>
    <row r="34" spans="1:36" ht="11.25" customHeight="1" x14ac:dyDescent="0.25">
      <c r="A34" s="23">
        <v>26</v>
      </c>
      <c r="B34" s="47">
        <f t="shared" si="2"/>
        <v>11.583763000288748</v>
      </c>
      <c r="C34" s="45">
        <v>2</v>
      </c>
      <c r="D34" s="24">
        <v>22.912981433732401</v>
      </c>
      <c r="E34" s="42" t="s">
        <v>157</v>
      </c>
      <c r="F34" s="5">
        <v>1.2555E-2</v>
      </c>
      <c r="G34" s="5">
        <v>0.1749</v>
      </c>
      <c r="H34" s="5">
        <v>0.34279999999999999</v>
      </c>
      <c r="I34" s="5">
        <v>1.8940000000000001</v>
      </c>
      <c r="J34" s="5">
        <v>0.35865000000000002</v>
      </c>
      <c r="K34" s="5">
        <v>5.5649999999999998E-2</v>
      </c>
      <c r="L34" s="5">
        <v>0.67514999999999992</v>
      </c>
      <c r="M34" s="5">
        <v>0.18830000000000002</v>
      </c>
      <c r="N34" s="5">
        <v>0.27984999999999999</v>
      </c>
      <c r="O34" s="5">
        <v>4.2849999999999999E-2</v>
      </c>
      <c r="P34" s="5">
        <v>3.81955E-2</v>
      </c>
      <c r="Q34" s="5">
        <v>3.6419999999999999</v>
      </c>
      <c r="R34" s="5">
        <v>0.13020000000000001</v>
      </c>
      <c r="S34" s="5">
        <v>8.6344999999999992</v>
      </c>
      <c r="T34" s="43" t="str">
        <f t="shared" si="3"/>
        <v>C12</v>
      </c>
      <c r="U34" s="39">
        <f t="shared" ref="U34:AH34" si="31">IF(OR(F34=0,F34&lt;0.00000000001,F34&gt;100000),"",IF((IF(F34&gt;F$5,ABS(LOG(((F$5/SUM($F34:$S34))/(F$4/SUM($F$4:$S$4)))*4+2,2)),ABS(LOG(((F34/SUM($F34:$S34))/(F$4/SUM($F$4:$S$4)))*4+2,2)))-3)&gt;8,(IF(F34&gt;F$5,ABS(LOG(((F$5/SUM($F34:$S34))/(F$4/SUM($F$4:$S$4)))*4+2,2)),ABS(LOG(((F34/SUM($F34:$S34))/(F$4/SUM($F$4:$S$4)))*4+2,2)))-3)/7,IF(F34&gt;F$5,ABS(LOG(((F$5/SUM($F34:$S34))/(F$4/SUM($F$4:$S$4)))*4+2,2)),ABS(LOG(((F34/SUM($F34:$S34))/(F$4/SUM($F$4:$S$4)))*4+2,2)))-3))</f>
        <v>0.88957843572098039</v>
      </c>
      <c r="V34" s="39">
        <f t="shared" si="31"/>
        <v>2.8533613963963518</v>
      </c>
      <c r="W34" s="39">
        <f t="shared" si="31"/>
        <v>5.4596977751186362</v>
      </c>
      <c r="X34" s="39">
        <f t="shared" si="31"/>
        <v>4.9293615809553621</v>
      </c>
      <c r="Y34" s="39">
        <f t="shared" si="31"/>
        <v>2.6493539611132224</v>
      </c>
      <c r="Z34" s="39">
        <f t="shared" si="31"/>
        <v>6.890502120634368</v>
      </c>
      <c r="AA34" s="39">
        <f t="shared" si="31"/>
        <v>2.1887538469096484</v>
      </c>
      <c r="AB34" s="39">
        <f t="shared" si="31"/>
        <v>2.7170676421850395</v>
      </c>
      <c r="AC34" s="39">
        <f t="shared" si="31"/>
        <v>-1.2222523848454172</v>
      </c>
      <c r="AD34" s="39">
        <f t="shared" si="31"/>
        <v>-1.5869466019075211</v>
      </c>
      <c r="AE34" s="39">
        <f t="shared" si="31"/>
        <v>-1.6852674037397395</v>
      </c>
      <c r="AF34" s="39">
        <f t="shared" si="31"/>
        <v>-1.0228756628307787</v>
      </c>
      <c r="AG34" s="39">
        <f t="shared" si="31"/>
        <v>-1.5465283011826612</v>
      </c>
      <c r="AH34" s="39">
        <f t="shared" si="31"/>
        <v>-0.16318844344261763</v>
      </c>
      <c r="AI34" s="18" t="str">
        <f t="shared" si="5"/>
        <v>C12</v>
      </c>
      <c r="AJ34" s="44">
        <f t="shared" si="6"/>
        <v>1</v>
      </c>
    </row>
    <row r="35" spans="1:36" ht="11.25" customHeight="1" x14ac:dyDescent="0.25">
      <c r="A35" s="23">
        <v>27</v>
      </c>
      <c r="B35" s="47">
        <f t="shared" si="2"/>
        <v>9.9949565896117019</v>
      </c>
      <c r="C35" s="45">
        <v>2</v>
      </c>
      <c r="D35" s="24">
        <v>27.032401435456002</v>
      </c>
      <c r="E35" s="42" t="s">
        <v>158</v>
      </c>
      <c r="F35" s="5">
        <v>0.98059300520000003</v>
      </c>
      <c r="G35" s="5">
        <v>0.15502105618000001</v>
      </c>
      <c r="H35" s="5">
        <v>0.72019600000000006</v>
      </c>
      <c r="I35" s="5">
        <v>16.1447</v>
      </c>
      <c r="J35" s="5">
        <v>3.6669400000000003</v>
      </c>
      <c r="K35" s="5">
        <v>0.95580654600000003</v>
      </c>
      <c r="L35" s="5">
        <v>9.1240524399999995E-2</v>
      </c>
      <c r="M35" s="5">
        <v>3.1203400399999999E-3</v>
      </c>
      <c r="N35" s="5">
        <v>8.0760898000000023E-4</v>
      </c>
      <c r="O35" s="5">
        <v>0.16431298</v>
      </c>
      <c r="P35" s="5">
        <v>0.58779999999999999</v>
      </c>
      <c r="Q35" s="5">
        <v>0.62544609999999989</v>
      </c>
      <c r="R35" s="5">
        <v>4.3042201202200001</v>
      </c>
      <c r="S35" s="5">
        <v>6.5906000000000003E-3</v>
      </c>
      <c r="T35" s="43" t="str">
        <f t="shared" si="3"/>
        <v>C2</v>
      </c>
      <c r="U35" s="39">
        <f t="shared" ref="U35:AH35" si="32">IF(OR(F35=0,F35&lt;0.00000000001,F35&gt;100000),"",IF((IF(F35&gt;F$5,ABS(LOG(((F$5/SUM($F35:$S35))/(F$4/SUM($F$4:$S$4)))*4+2,2)),ABS(LOG(((F35/SUM($F35:$S35))/(F$4/SUM($F$4:$S$4)))*4+2,2)))-3)&gt;8,(IF(F35&gt;F$5,ABS(LOG(((F$5/SUM($F35:$S35))/(F$4/SUM($F$4:$S$4)))*4+2,2)),ABS(LOG(((F35/SUM($F35:$S35))/(F$4/SUM($F$4:$S$4)))*4+2,2)))-3)/7,IF(F35&gt;F$5,ABS(LOG(((F$5/SUM($F35:$S35))/(F$4/SUM($F$4:$S$4)))*4+2,2)),ABS(LOG(((F35/SUM($F35:$S35))/(F$4/SUM($F$4:$S$4)))*4+2,2)))-3))</f>
        <v>6.1862970011193656</v>
      </c>
      <c r="V35" s="39">
        <f t="shared" si="32"/>
        <v>1.9393203773014216</v>
      </c>
      <c r="W35" s="39">
        <f t="shared" si="32"/>
        <v>5.7428217729287123</v>
      </c>
      <c r="X35" s="39">
        <f t="shared" si="32"/>
        <v>7.2250108634751378</v>
      </c>
      <c r="Y35" s="39">
        <f t="shared" si="32"/>
        <v>5.1682518856997959</v>
      </c>
      <c r="Z35" s="39">
        <f t="shared" si="32"/>
        <v>1.4576570584006896</v>
      </c>
      <c r="AA35" s="39">
        <f t="shared" si="32"/>
        <v>-0.76702882249524462</v>
      </c>
      <c r="AB35" s="39">
        <f t="shared" si="32"/>
        <v>-1.6860758240927787</v>
      </c>
      <c r="AC35" s="39">
        <f t="shared" si="32"/>
        <v>-1.9982764460592524</v>
      </c>
      <c r="AD35" s="39">
        <f t="shared" si="32"/>
        <v>-1.2034035251861046</v>
      </c>
      <c r="AE35" s="39">
        <f t="shared" si="32"/>
        <v>-0.33320022250096137</v>
      </c>
      <c r="AF35" s="39">
        <f t="shared" si="32"/>
        <v>-1.8671818693385849</v>
      </c>
      <c r="AG35" s="39">
        <f t="shared" si="32"/>
        <v>1.0141438377831378</v>
      </c>
      <c r="AH35" s="39">
        <f t="shared" si="32"/>
        <v>-1.9983587291366447</v>
      </c>
      <c r="AI35" s="18" t="str">
        <f t="shared" si="5"/>
        <v>C2</v>
      </c>
      <c r="AJ35" s="44">
        <f t="shared" si="6"/>
        <v>2.1032401435456003</v>
      </c>
    </row>
    <row r="36" spans="1:36" ht="11.25" customHeight="1" x14ac:dyDescent="0.25">
      <c r="A36" s="23">
        <v>28</v>
      </c>
      <c r="B36" s="47">
        <f t="shared" si="2"/>
        <v>13.859184287723902</v>
      </c>
      <c r="C36" s="45">
        <v>2</v>
      </c>
      <c r="D36" s="24">
        <v>25.371948941346599</v>
      </c>
      <c r="E36" s="42" t="s">
        <v>159</v>
      </c>
      <c r="F36" s="5">
        <v>0.88161699999999998</v>
      </c>
      <c r="G36" s="5">
        <v>0.23906671099999999</v>
      </c>
      <c r="H36" s="5">
        <v>0.12256666666666667</v>
      </c>
      <c r="I36" s="5">
        <v>4.1500000000000004</v>
      </c>
      <c r="J36" s="5">
        <v>2.5104333333333337</v>
      </c>
      <c r="K36" s="5">
        <v>0.96287333333333336</v>
      </c>
      <c r="L36" s="5">
        <v>0.99369999999999992</v>
      </c>
      <c r="M36" s="5">
        <v>7.4001973333333346E-2</v>
      </c>
      <c r="N36" s="5">
        <v>0.13697133333333333</v>
      </c>
      <c r="O36" s="5">
        <v>4.6275099999999993E-2</v>
      </c>
      <c r="P36" s="5">
        <v>0.44753333333333334</v>
      </c>
      <c r="Q36" s="5">
        <v>2.05436</v>
      </c>
      <c r="R36" s="5">
        <v>7.0566666666666666E-2</v>
      </c>
      <c r="S36" s="5">
        <v>1.4777333333333333</v>
      </c>
      <c r="T36" s="43" t="str">
        <f t="shared" si="3"/>
        <v>C3</v>
      </c>
      <c r="U36" s="39">
        <f t="shared" ref="U36:AH36" si="33">IF(OR(F36=0,F36&lt;0.00000000001,F36&gt;100000),"",IF((IF(F36&gt;F$5,ABS(LOG(((F$5/SUM($F36:$S36))/(F$4/SUM($F$4:$S$4)))*4+2,2)),ABS(LOG(((F36/SUM($F36:$S36))/(F$4/SUM($F$4:$S$4)))*4+2,2)))-3)&gt;8,(IF(F36&gt;F$5,ABS(LOG(((F$5/SUM($F36:$S36))/(F$4/SUM($F$4:$S$4)))*4+2,2)),ABS(LOG(((F36/SUM($F36:$S36))/(F$4/SUM($F$4:$S$4)))*4+2,2)))-3)/7,IF(F36&gt;F$5,ABS(LOG(((F$5/SUM($F36:$S36))/(F$4/SUM($F$4:$S$4)))*4+2,2)),ABS(LOG(((F36/SUM($F36:$S36))/(F$4/SUM($F$4:$S$4)))*4+2,2)))-3))</f>
        <v>7.0342181837391795</v>
      </c>
      <c r="V36" s="39">
        <f t="shared" si="33"/>
        <v>3.502826201412196</v>
      </c>
      <c r="W36" s="39">
        <f t="shared" si="33"/>
        <v>4.2045742298956768</v>
      </c>
      <c r="X36" s="39">
        <f t="shared" si="33"/>
        <v>6.2710291227011314</v>
      </c>
      <c r="Y36" s="39">
        <f t="shared" si="33"/>
        <v>5.6225164899724849</v>
      </c>
      <c r="Z36" s="39">
        <f t="shared" si="33"/>
        <v>1.6025289940351695</v>
      </c>
      <c r="AA36" s="39">
        <f t="shared" si="33"/>
        <v>2.9303030764961573</v>
      </c>
      <c r="AB36" s="39">
        <f t="shared" si="33"/>
        <v>1.6506527616602114</v>
      </c>
      <c r="AC36" s="39">
        <f t="shared" si="33"/>
        <v>-1.5078897734312693</v>
      </c>
      <c r="AD36" s="39">
        <f t="shared" si="33"/>
        <v>-1.4980111786018537</v>
      </c>
      <c r="AE36" s="39">
        <f t="shared" si="33"/>
        <v>0.11118163726333963</v>
      </c>
      <c r="AF36" s="39">
        <f t="shared" si="33"/>
        <v>-1.2906278729188552</v>
      </c>
      <c r="AG36" s="39">
        <f t="shared" si="33"/>
        <v>-1.6981831053435097</v>
      </c>
      <c r="AH36" s="39">
        <f t="shared" si="33"/>
        <v>-1.4037928299315985</v>
      </c>
      <c r="AI36" s="18" t="str">
        <f t="shared" si="5"/>
        <v>C3</v>
      </c>
      <c r="AJ36" s="44">
        <f t="shared" si="6"/>
        <v>1</v>
      </c>
    </row>
    <row r="37" spans="1:36" ht="11.25" customHeight="1" x14ac:dyDescent="0.25">
      <c r="A37" s="23">
        <v>29</v>
      </c>
      <c r="B37" s="47">
        <f t="shared" si="2"/>
        <v>9.391040601460201</v>
      </c>
      <c r="C37" s="45">
        <v>2</v>
      </c>
      <c r="D37" s="24">
        <v>24.940078420989799</v>
      </c>
      <c r="E37" s="42" t="s">
        <v>160</v>
      </c>
      <c r="F37" s="5">
        <v>1.44E-2</v>
      </c>
      <c r="G37" s="5">
        <v>0.65559999999999996</v>
      </c>
      <c r="H37" s="5">
        <v>0.82789999999999997</v>
      </c>
      <c r="I37" s="5">
        <v>4.992</v>
      </c>
      <c r="J37" s="5">
        <v>0.56189999999999996</v>
      </c>
      <c r="K37" s="5">
        <v>1.98E-3</v>
      </c>
      <c r="L37" s="5">
        <v>0.87619999999999998</v>
      </c>
      <c r="M37" s="5">
        <v>0.53580000000000005</v>
      </c>
      <c r="N37" s="5">
        <v>16.690000000000001</v>
      </c>
      <c r="O37" s="5">
        <v>0.14119999999999999</v>
      </c>
      <c r="P37" s="5">
        <v>4.3400000000000001E-2</v>
      </c>
      <c r="Q37" s="5">
        <v>1.9490000000000001</v>
      </c>
      <c r="R37" s="5">
        <v>0.14630000000000001</v>
      </c>
      <c r="S37" s="5">
        <v>3.052</v>
      </c>
      <c r="T37" s="43" t="str">
        <f t="shared" si="3"/>
        <v>C5</v>
      </c>
      <c r="U37" s="39">
        <f t="shared" ref="U37:AH37" si="34">IF(OR(F37=0,F37&lt;0.00000000001,F37&gt;100000),"",IF((IF(F37&gt;F$5,ABS(LOG(((F$5/SUM($F37:$S37))/(F$4/SUM($F$4:$S$4)))*4+2,2)),ABS(LOG(((F37/SUM($F37:$S37))/(F$4/SUM($F$4:$S$4)))*4+2,2)))-3)&gt;8,(IF(F37&gt;F$5,ABS(LOG(((F$5/SUM($F37:$S37))/(F$4/SUM($F$4:$S$4)))*4+2,2)),ABS(LOG(((F37/SUM($F37:$S37))/(F$4/SUM($F$4:$S$4)))*4+2,2)))-3)/7,IF(F37&gt;F$5,ABS(LOG(((F$5/SUM($F37:$S37))/(F$4/SUM($F$4:$S$4)))*4+2,2)),ABS(LOG(((F37/SUM($F37:$S37))/(F$4/SUM($F$4:$S$4)))*4+2,2)))-3))</f>
        <v>0.31379910525802357</v>
      </c>
      <c r="V37" s="39">
        <f t="shared" si="34"/>
        <v>3.8457414577405737</v>
      </c>
      <c r="W37" s="39">
        <f t="shared" si="34"/>
        <v>5.8414513119200997</v>
      </c>
      <c r="X37" s="39">
        <f t="shared" si="34"/>
        <v>5.4355947537470559</v>
      </c>
      <c r="Y37" s="39">
        <f t="shared" si="34"/>
        <v>2.4190695082556566</v>
      </c>
      <c r="Z37" s="39">
        <f t="shared" si="34"/>
        <v>1.3366097786861486</v>
      </c>
      <c r="AA37" s="39">
        <f t="shared" si="34"/>
        <v>1.7097288084992428</v>
      </c>
      <c r="AB37" s="39">
        <f t="shared" si="34"/>
        <v>3.3180124488758675</v>
      </c>
      <c r="AC37" s="39">
        <f t="shared" si="34"/>
        <v>1.8866809778673428</v>
      </c>
      <c r="AD37" s="39">
        <f t="shared" si="34"/>
        <v>-1.3308804699946692</v>
      </c>
      <c r="AE37" s="39">
        <f t="shared" si="34"/>
        <v>-1.7988227889608981</v>
      </c>
      <c r="AF37" s="39">
        <f t="shared" si="34"/>
        <v>-1.6438641244676759</v>
      </c>
      <c r="AG37" s="39">
        <f t="shared" si="34"/>
        <v>-1.7081773262994431</v>
      </c>
      <c r="AH37" s="39">
        <f t="shared" si="34"/>
        <v>-1.4235789149616243</v>
      </c>
      <c r="AI37" s="18" t="str">
        <f t="shared" si="5"/>
        <v>C5</v>
      </c>
      <c r="AJ37" s="44">
        <f t="shared" si="6"/>
        <v>1</v>
      </c>
    </row>
    <row r="38" spans="1:36" ht="11.25" customHeight="1" x14ac:dyDescent="0.25">
      <c r="A38" s="23">
        <v>30</v>
      </c>
      <c r="B38" s="47">
        <f t="shared" si="2"/>
        <v>11.448457476982508</v>
      </c>
      <c r="C38" s="45">
        <v>2</v>
      </c>
      <c r="D38" s="24">
        <v>23.753884064674622</v>
      </c>
      <c r="E38" s="42" t="s">
        <v>161</v>
      </c>
      <c r="F38" s="5">
        <v>0.14464250000000001</v>
      </c>
      <c r="G38" s="5">
        <v>6.2175449999999993E-2</v>
      </c>
      <c r="H38" s="5">
        <v>0.28952500000000003</v>
      </c>
      <c r="I38" s="5">
        <v>1.4446250000000003</v>
      </c>
      <c r="J38" s="5">
        <v>0.40907499999999997</v>
      </c>
      <c r="K38" s="5">
        <v>0.13893333333333333</v>
      </c>
      <c r="L38" s="5">
        <v>0.43409999999999993</v>
      </c>
      <c r="M38" s="5">
        <v>0.19521966666666668</v>
      </c>
      <c r="N38" s="5">
        <v>0.29337795</v>
      </c>
      <c r="O38" s="5">
        <v>2.622155E-4</v>
      </c>
      <c r="P38" s="5">
        <v>2.0029999999999999E-2</v>
      </c>
      <c r="Q38" s="5">
        <v>2.5724999999999998</v>
      </c>
      <c r="R38" s="5">
        <v>9.7075080999999994E-2</v>
      </c>
      <c r="S38" s="5">
        <v>3.4176666666666669</v>
      </c>
      <c r="T38" s="43" t="str">
        <f t="shared" si="3"/>
        <v>C6</v>
      </c>
      <c r="U38" s="39">
        <f t="shared" ref="U38:AH38" si="35">IF(OR(F38=0,F38&lt;0.00000000001,F38&gt;100000),"",IF((IF(F38&gt;F$5,ABS(LOG(((F$5/SUM($F38:$S38))/(F$4/SUM($F$4:$S$4)))*4+2,2)),ABS(LOG(((F38/SUM($F38:$S38))/(F$4/SUM($F$4:$S$4)))*4+2,2)))-3)&gt;8,(IF(F38&gt;F$5,ABS(LOG(((F$5/SUM($F38:$S38))/(F$4/SUM($F$4:$S$4)))*4+2,2)),ABS(LOG(((F38/SUM($F38:$S38))/(F$4/SUM($F$4:$S$4)))*4+2,2)))-3)/7,IF(F38&gt;F$5,ABS(LOG(((F$5/SUM($F38:$S38))/(F$4/SUM($F$4:$S$4)))*4+2,2)),ABS(LOG(((F38/SUM($F38:$S38))/(F$4/SUM($F$4:$S$4)))*4+2,2)))-3))</f>
        <v>5.0087420163662504</v>
      </c>
      <c r="V38" s="39">
        <f t="shared" si="35"/>
        <v>2.1830430650635959</v>
      </c>
      <c r="W38" s="39">
        <f t="shared" si="35"/>
        <v>6.0043213794454076</v>
      </c>
      <c r="X38" s="39">
        <f t="shared" si="35"/>
        <v>5.3266424847806864</v>
      </c>
      <c r="Y38" s="39">
        <f t="shared" si="35"/>
        <v>3.6013957929912737</v>
      </c>
      <c r="Z38" s="39">
        <f t="shared" si="35"/>
        <v>1.285570768487128</v>
      </c>
      <c r="AA38" s="39">
        <f t="shared" si="35"/>
        <v>2.3344477874757104</v>
      </c>
      <c r="AB38" s="39">
        <f t="shared" si="35"/>
        <v>3.5355464550733684</v>
      </c>
      <c r="AC38" s="39">
        <f t="shared" si="35"/>
        <v>-0.80096634575619774</v>
      </c>
      <c r="AD38" s="39">
        <f t="shared" si="35"/>
        <v>-1.994945385780434</v>
      </c>
      <c r="AE38" s="39">
        <f t="shared" si="35"/>
        <v>-1.7117210179897784</v>
      </c>
      <c r="AF38" s="39">
        <f t="shared" si="35"/>
        <v>-0.87327471138439527</v>
      </c>
      <c r="AG38" s="39">
        <f t="shared" si="35"/>
        <v>-1.4378910893332963</v>
      </c>
      <c r="AH38" s="39">
        <f t="shared" si="35"/>
        <v>-0.53455569946822568</v>
      </c>
      <c r="AI38" s="18" t="str">
        <f t="shared" si="5"/>
        <v>C6</v>
      </c>
      <c r="AJ38" s="44">
        <f t="shared" si="6"/>
        <v>1</v>
      </c>
    </row>
    <row r="39" spans="1:36" ht="11.25" customHeight="1" x14ac:dyDescent="0.25">
      <c r="A39" s="23">
        <v>31</v>
      </c>
      <c r="B39" s="47">
        <f t="shared" si="2"/>
        <v>8.9239404605820809</v>
      </c>
      <c r="C39" s="45">
        <v>2</v>
      </c>
      <c r="D39" s="24">
        <v>21.221600935109574</v>
      </c>
      <c r="E39" s="42" t="s">
        <v>162</v>
      </c>
      <c r="F39" s="5">
        <v>5.5994249999999999E-3</v>
      </c>
      <c r="G39" s="5">
        <v>8.7575E-2</v>
      </c>
      <c r="H39" s="5">
        <v>0.11860000000000001</v>
      </c>
      <c r="I39" s="5">
        <v>2.2950000000000004</v>
      </c>
      <c r="J39" s="5">
        <v>0.32835000000000003</v>
      </c>
      <c r="K39" s="5">
        <v>1.8272500000000001E-2</v>
      </c>
      <c r="L39" s="5">
        <v>0.82272500000000004</v>
      </c>
      <c r="M39" s="5">
        <v>5.5324999999999999E-2</v>
      </c>
      <c r="N39" s="5">
        <v>3.9295000000000004</v>
      </c>
      <c r="O39" s="5">
        <v>5.4984999999999999E-3</v>
      </c>
      <c r="P39" s="5">
        <v>3.1917500000000001E-2</v>
      </c>
      <c r="Q39" s="5">
        <v>4.2930000000000001</v>
      </c>
      <c r="R39" s="5">
        <v>0.24957499999999999</v>
      </c>
      <c r="S39" s="5">
        <v>3.1742499999999998</v>
      </c>
      <c r="T39" s="43" t="str">
        <f t="shared" si="3"/>
        <v>C7</v>
      </c>
      <c r="U39" s="39">
        <f t="shared" ref="U39:AH39" si="36">IF(OR(F39=0,F39&lt;0.00000000001,F39&gt;100000),"",IF((IF(F39&gt;F$5,ABS(LOG(((F$5/SUM($F39:$S39))/(F$4/SUM($F$4:$S$4)))*4+2,2)),ABS(LOG(((F39/SUM($F39:$S39))/(F$4/SUM($F$4:$S$4)))*4+2,2)))-3)&gt;8,(IF(F39&gt;F$5,ABS(LOG(((F$5/SUM($F39:$S39))/(F$4/SUM($F$4:$S$4)))*4+2,2)),ABS(LOG(((F39/SUM($F39:$S39))/(F$4/SUM($F$4:$S$4)))*4+2,2)))-3)/7,IF(F39&gt;F$5,ABS(LOG(((F$5/SUM($F39:$S39))/(F$4/SUM($F$4:$S$4)))*4+2,2)),ABS(LOG(((F39/SUM($F39:$S39))/(F$4/SUM($F$4:$S$4)))*4+2,2)))-3))</f>
        <v>1.9562447801162897E-2</v>
      </c>
      <c r="V39" s="39">
        <f t="shared" si="36"/>
        <v>1.9936196140711306</v>
      </c>
      <c r="W39" s="39">
        <f t="shared" si="36"/>
        <v>4.0377968118821554</v>
      </c>
      <c r="X39" s="39">
        <f t="shared" si="36"/>
        <v>5.2991763847363096</v>
      </c>
      <c r="Y39" s="39">
        <f t="shared" si="36"/>
        <v>2.6187491567115311</v>
      </c>
      <c r="Z39" s="39">
        <f t="shared" si="36"/>
        <v>5.3848622784852029</v>
      </c>
      <c r="AA39" s="39">
        <f t="shared" si="36"/>
        <v>2.5509448745359959</v>
      </c>
      <c r="AB39" s="39">
        <f t="shared" si="36"/>
        <v>1.1606565509015168</v>
      </c>
      <c r="AC39" s="39">
        <f t="shared" si="36"/>
        <v>1.5506714658584322</v>
      </c>
      <c r="AD39" s="39">
        <f t="shared" si="36"/>
        <v>-1.9358790456126396</v>
      </c>
      <c r="AE39" s="39">
        <f t="shared" si="36"/>
        <v>-1.7159050873034238</v>
      </c>
      <c r="AF39" s="39">
        <f t="shared" si="36"/>
        <v>-0.84960117642744581</v>
      </c>
      <c r="AG39" s="39">
        <f t="shared" si="36"/>
        <v>-1.1873941395725673</v>
      </c>
      <c r="AH39" s="39">
        <f t="shared" si="36"/>
        <v>-0.99260252080757061</v>
      </c>
      <c r="AI39" s="18" t="str">
        <f t="shared" si="5"/>
        <v>C7</v>
      </c>
      <c r="AJ39" s="44">
        <f t="shared" si="6"/>
        <v>1</v>
      </c>
    </row>
    <row r="40" spans="1:36" ht="11.25" customHeight="1" x14ac:dyDescent="0.25">
      <c r="A40" s="23">
        <v>32</v>
      </c>
      <c r="B40" s="47">
        <f t="shared" si="2"/>
        <v>12.57961706489367</v>
      </c>
      <c r="C40" s="45">
        <v>2</v>
      </c>
      <c r="D40" s="24">
        <v>24.051925795523552</v>
      </c>
      <c r="E40" s="42" t="s">
        <v>163</v>
      </c>
      <c r="F40" s="5">
        <v>2.6439999999999998E-2</v>
      </c>
      <c r="G40" s="5">
        <v>0.11085</v>
      </c>
      <c r="H40" s="5">
        <v>0.45724999999999999</v>
      </c>
      <c r="I40" s="5">
        <v>2.5785</v>
      </c>
      <c r="J40" s="5">
        <v>0.37245</v>
      </c>
      <c r="K40" s="5">
        <v>1.8200000000000001E-2</v>
      </c>
      <c r="L40" s="5">
        <v>0.58774999999999999</v>
      </c>
      <c r="M40" s="5">
        <v>0.11515</v>
      </c>
      <c r="N40" s="5">
        <v>1.3865000000000001</v>
      </c>
      <c r="O40" s="5">
        <v>4.7479999999999999E-4</v>
      </c>
      <c r="P40" s="5">
        <v>4.8257499999999995E-2</v>
      </c>
      <c r="Q40" s="5">
        <v>4.3205</v>
      </c>
      <c r="R40" s="5">
        <v>0.29810000000000003</v>
      </c>
      <c r="S40" s="5">
        <v>3.4464999999999999</v>
      </c>
      <c r="T40" s="43" t="str">
        <f t="shared" si="3"/>
        <v>C9</v>
      </c>
      <c r="U40" s="39">
        <f t="shared" ref="U40:AH40" si="37">IF(OR(F40=0,F40&lt;0.00000000001,F40&gt;100000),"",IF((IF(F40&gt;F$5,ABS(LOG(((F$5/SUM($F40:$S40))/(F$4/SUM($F$4:$S$4)))*4+2,2)),ABS(LOG(((F40/SUM($F40:$S40))/(F$4/SUM($F$4:$S$4)))*4+2,2)))-3)&gt;8,(IF(F40&gt;F$5,ABS(LOG(((F$5/SUM($F40:$S40))/(F$4/SUM($F$4:$S$4)))*4+2,2)),ABS(LOG(((F40/SUM($F40:$S40))/(F$4/SUM($F$4:$S$4)))*4+2,2)))-3)/7,IF(F40&gt;F$5,ABS(LOG(((F$5/SUM($F40:$S40))/(F$4/SUM($F$4:$S$4)))*4+2,2)),ABS(LOG(((F40/SUM($F40:$S40))/(F$4/SUM($F$4:$S$4)))*4+2,2)))-3))</f>
        <v>2.1001771564844125</v>
      </c>
      <c r="V40" s="39">
        <f t="shared" si="37"/>
        <v>2.4698671772881093</v>
      </c>
      <c r="W40" s="39">
        <f t="shared" si="37"/>
        <v>6.130850430016805</v>
      </c>
      <c r="X40" s="39">
        <f t="shared" si="37"/>
        <v>5.6284805592477518</v>
      </c>
      <c r="Y40" s="39">
        <f t="shared" si="37"/>
        <v>2.9511653694048698</v>
      </c>
      <c r="Z40" s="39">
        <f t="shared" si="37"/>
        <v>5.5413805648282022</v>
      </c>
      <c r="AA40" s="39">
        <f t="shared" si="37"/>
        <v>2.2441958203965324</v>
      </c>
      <c r="AB40" s="39">
        <f t="shared" si="37"/>
        <v>2.2861353951055463</v>
      </c>
      <c r="AC40" s="39">
        <f t="shared" si="37"/>
        <v>0.38808333687161323</v>
      </c>
      <c r="AD40" s="39">
        <f t="shared" si="37"/>
        <v>-1.9936742378044843</v>
      </c>
      <c r="AE40" s="39">
        <f t="shared" si="37"/>
        <v>-1.5474391297442451</v>
      </c>
      <c r="AF40" s="39">
        <f t="shared" si="37"/>
        <v>-0.75235306409306935</v>
      </c>
      <c r="AG40" s="39">
        <f t="shared" si="37"/>
        <v>-0.99164874338015752</v>
      </c>
      <c r="AH40" s="39">
        <f t="shared" si="37"/>
        <v>-0.84408026927785063</v>
      </c>
      <c r="AI40" s="18" t="str">
        <f t="shared" si="5"/>
        <v>C9</v>
      </c>
      <c r="AJ40" s="44">
        <f t="shared" si="6"/>
        <v>1</v>
      </c>
    </row>
    <row r="41" spans="1:36" ht="11.25" customHeight="1" x14ac:dyDescent="0.25">
      <c r="A41" s="23">
        <v>33</v>
      </c>
      <c r="B41" s="47">
        <f t="shared" si="2"/>
        <v>7.0163184130266334</v>
      </c>
      <c r="C41" s="45">
        <v>2</v>
      </c>
      <c r="D41" s="24">
        <v>23.2251751709139</v>
      </c>
      <c r="E41" s="42" t="s">
        <v>164</v>
      </c>
      <c r="F41" s="5">
        <v>0.1336</v>
      </c>
      <c r="G41" s="5">
        <v>7.6399999999999996E-2</v>
      </c>
      <c r="H41" s="5">
        <v>0.16220000000000001</v>
      </c>
      <c r="I41" s="5">
        <v>3.0219999999999998</v>
      </c>
      <c r="J41" s="5">
        <v>1.3220000000000001</v>
      </c>
      <c r="K41" s="5">
        <v>2.31E-4</v>
      </c>
      <c r="L41" s="5">
        <v>1.5049999999999999</v>
      </c>
      <c r="M41" s="5">
        <v>1.9E-2</v>
      </c>
      <c r="N41" s="5">
        <v>3.2559999999999998</v>
      </c>
      <c r="O41" s="5">
        <v>6.3799999999999996E-2</v>
      </c>
      <c r="P41" s="5">
        <v>7.1399999999999996E-3</v>
      </c>
      <c r="Q41" s="5">
        <v>4.7</v>
      </c>
      <c r="R41" s="5">
        <v>5.9900000000000002E-2</v>
      </c>
      <c r="S41" s="5">
        <v>5.6420000000000003</v>
      </c>
      <c r="T41" s="43" t="str">
        <f t="shared" si="3"/>
        <v>C-ALL</v>
      </c>
      <c r="U41" s="39">
        <f t="shared" ref="U41:AH41" si="38">IF(OR(F41=0,F41&lt;0.00000000001,F41&gt;100000),"",IF((IF(F41&gt;F$5,ABS(LOG(((F$5/SUM($F41:$S41))/(F$4/SUM($F$4:$S$4)))*4+2,2)),ABS(LOG(((F41/SUM($F41:$S41))/(F$4/SUM($F$4:$S$4)))*4+2,2)))-3)&gt;8,(IF(F41&gt;F$5,ABS(LOG(((F$5/SUM($F41:$S41))/(F$4/SUM($F$4:$S$4)))*4+2,2)),ABS(LOG(((F41/SUM($F41:$S41))/(F$4/SUM($F$4:$S$4)))*4+2,2)))-3)/7,IF(F41&gt;F$5,ABS(LOG(((F$5/SUM($F41:$S41))/(F$4/SUM($F$4:$S$4)))*4+2,2)),ABS(LOG(((F41/SUM($F41:$S41))/(F$4/SUM($F$4:$S$4)))*4+2,2)))-3))</f>
        <v>3.8394733856368948</v>
      </c>
      <c r="V41" s="39">
        <f t="shared" si="38"/>
        <v>1.4665061831939177</v>
      </c>
      <c r="W41" s="39">
        <f t="shared" si="38"/>
        <v>4.1148777855483152</v>
      </c>
      <c r="X41" s="39">
        <f t="shared" si="38"/>
        <v>5.3226081920015584</v>
      </c>
      <c r="Y41" s="39">
        <f t="shared" si="38"/>
        <v>4.2143482946164204</v>
      </c>
      <c r="Z41" s="39">
        <f t="shared" si="38"/>
        <v>-0.60972571236664441</v>
      </c>
      <c r="AA41" s="39">
        <f t="shared" si="38"/>
        <v>3.030722512038114</v>
      </c>
      <c r="AB41" s="39">
        <f t="shared" si="38"/>
        <v>-0.3651441916880116</v>
      </c>
      <c r="AC41" s="39">
        <f t="shared" si="38"/>
        <v>0.9737434998381409</v>
      </c>
      <c r="AD41" s="39">
        <f t="shared" si="38"/>
        <v>-1.5072998290423039</v>
      </c>
      <c r="AE41" s="39">
        <f t="shared" si="38"/>
        <v>-1.9467713936021118</v>
      </c>
      <c r="AF41" s="39">
        <f t="shared" si="38"/>
        <v>-0.97791661467860092</v>
      </c>
      <c r="AG41" s="39">
        <f t="shared" si="38"/>
        <v>-1.8107927403161035</v>
      </c>
      <c r="AH41" s="39">
        <f t="shared" si="38"/>
        <v>-0.74529460767020961</v>
      </c>
      <c r="AI41" s="18" t="str">
        <f t="shared" si="5"/>
        <v>C-ALL</v>
      </c>
      <c r="AJ41" s="44">
        <f t="shared" si="6"/>
        <v>1</v>
      </c>
    </row>
    <row r="42" spans="1:36" ht="11.25" customHeight="1" x14ac:dyDescent="0.25">
      <c r="A42" s="23"/>
      <c r="B42" s="47"/>
      <c r="C42" s="45"/>
      <c r="D42" s="24"/>
      <c r="E42" s="42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3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18"/>
      <c r="AJ42" s="44"/>
    </row>
    <row r="43" spans="1:36" ht="11.25" customHeight="1" x14ac:dyDescent="0.25">
      <c r="A43" s="23"/>
      <c r="B43" s="47"/>
      <c r="C43" s="45"/>
      <c r="D43" s="24"/>
      <c r="E43" s="42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3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18"/>
      <c r="AJ43" s="44"/>
    </row>
    <row r="44" spans="1:36" ht="11.25" customHeight="1" x14ac:dyDescent="0.25">
      <c r="A44" s="23"/>
      <c r="B44" s="47"/>
      <c r="C44" s="45"/>
      <c r="D44" s="24"/>
      <c r="E44" s="42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3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18"/>
      <c r="AJ44" s="44"/>
    </row>
    <row r="45" spans="1:36" ht="11.25" customHeight="1" x14ac:dyDescent="0.25">
      <c r="A45" s="23"/>
      <c r="B45" s="47"/>
      <c r="C45" s="45"/>
      <c r="D45" s="24"/>
      <c r="E45" s="42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3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18"/>
      <c r="AJ45" s="44"/>
    </row>
    <row r="46" spans="1:36" ht="11.25" customHeight="1" x14ac:dyDescent="0.25">
      <c r="A46" s="23"/>
      <c r="B46" s="47"/>
      <c r="C46" s="45"/>
      <c r="D46" s="24"/>
      <c r="E46" s="42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3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18"/>
      <c r="AJ46" s="44"/>
    </row>
    <row r="47" spans="1:36" ht="11.25" customHeight="1" x14ac:dyDescent="0.25">
      <c r="A47" s="23"/>
      <c r="B47" s="47"/>
      <c r="C47" s="45"/>
      <c r="D47" s="24"/>
      <c r="E47" s="42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3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18"/>
      <c r="AJ47" s="44"/>
    </row>
    <row r="48" spans="1:36" ht="11.25" customHeight="1" x14ac:dyDescent="0.25">
      <c r="A48" s="23"/>
      <c r="B48" s="47"/>
      <c r="C48" s="45"/>
      <c r="D48" s="24"/>
      <c r="E48" s="42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3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18"/>
      <c r="AJ48" s="44"/>
    </row>
    <row r="49" spans="1:36" ht="11.25" customHeight="1" x14ac:dyDescent="0.25">
      <c r="A49" s="23"/>
      <c r="B49" s="47"/>
      <c r="C49" s="45"/>
      <c r="D49" s="24"/>
      <c r="E49" s="42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3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18"/>
      <c r="AJ49" s="44"/>
    </row>
    <row r="50" spans="1:36" ht="11.25" customHeight="1" x14ac:dyDescent="0.25">
      <c r="A50" s="23"/>
      <c r="B50" s="47"/>
      <c r="C50" s="45"/>
      <c r="D50" s="24"/>
      <c r="E50" s="42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3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18"/>
      <c r="AJ50" s="44"/>
    </row>
    <row r="51" spans="1:36" ht="11.25" customHeight="1" x14ac:dyDescent="0.25">
      <c r="A51" s="23"/>
      <c r="B51" s="47"/>
      <c r="C51" s="45"/>
      <c r="D51" s="24"/>
      <c r="E51" s="42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3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18"/>
      <c r="AJ51" s="44"/>
    </row>
    <row r="52" spans="1:36" ht="11.25" customHeight="1" x14ac:dyDescent="0.25">
      <c r="A52" s="23"/>
      <c r="B52" s="47"/>
      <c r="C52" s="45"/>
      <c r="D52" s="24"/>
      <c r="E52" s="42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3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18"/>
      <c r="AJ52" s="44"/>
    </row>
    <row r="53" spans="1:36" ht="11.25" customHeight="1" x14ac:dyDescent="0.25">
      <c r="A53" s="23"/>
      <c r="B53" s="47"/>
      <c r="C53" s="45"/>
      <c r="D53" s="24"/>
      <c r="E53" s="42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3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18"/>
      <c r="AJ53" s="44"/>
    </row>
    <row r="54" spans="1:36" ht="11.25" customHeight="1" x14ac:dyDescent="0.25">
      <c r="A54" s="23"/>
      <c r="B54" s="47"/>
      <c r="C54" s="45"/>
      <c r="D54" s="24"/>
      <c r="E54" s="42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3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18"/>
      <c r="AJ54" s="44"/>
    </row>
    <row r="55" spans="1:36" ht="11.25" customHeight="1" x14ac:dyDescent="0.25">
      <c r="A55" s="23"/>
      <c r="B55" s="47"/>
      <c r="C55" s="45"/>
      <c r="D55" s="24"/>
      <c r="E55" s="42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3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18"/>
      <c r="AJ55" s="44"/>
    </row>
    <row r="56" spans="1:36" ht="11.25" customHeight="1" x14ac:dyDescent="0.25">
      <c r="A56" s="23"/>
      <c r="B56" s="47"/>
      <c r="C56" s="45"/>
      <c r="D56" s="24"/>
      <c r="E56" s="42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3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18"/>
      <c r="AJ56" s="44"/>
    </row>
    <row r="57" spans="1:36" ht="11.25" customHeight="1" x14ac:dyDescent="0.25">
      <c r="A57" s="23"/>
      <c r="B57" s="47"/>
      <c r="C57" s="45"/>
      <c r="D57" s="24"/>
      <c r="E57" s="42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3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18"/>
      <c r="AJ57" s="44"/>
    </row>
    <row r="58" spans="1:36" ht="11.25" customHeight="1" x14ac:dyDescent="0.25">
      <c r="A58" s="23"/>
      <c r="B58" s="47"/>
      <c r="C58" s="45"/>
      <c r="D58" s="24"/>
      <c r="E58" s="42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3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18"/>
      <c r="AJ58" s="44"/>
    </row>
    <row r="59" spans="1:36" ht="11.25" customHeight="1" x14ac:dyDescent="0.25">
      <c r="A59" s="23"/>
      <c r="B59" s="47"/>
      <c r="C59" s="45"/>
      <c r="D59" s="24"/>
      <c r="E59" s="42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3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18"/>
      <c r="AJ59" s="44"/>
    </row>
    <row r="60" spans="1:36" ht="11.25" customHeight="1" x14ac:dyDescent="0.25">
      <c r="A60" s="23"/>
      <c r="B60" s="47"/>
      <c r="C60" s="45"/>
      <c r="D60" s="24"/>
      <c r="E60" s="42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3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18"/>
      <c r="AJ60" s="44"/>
    </row>
    <row r="61" spans="1:36" ht="11.25" customHeight="1" x14ac:dyDescent="0.25">
      <c r="A61" s="23"/>
      <c r="B61" s="47"/>
      <c r="C61" s="45"/>
      <c r="D61" s="24"/>
      <c r="E61" s="42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3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18"/>
      <c r="AJ61" s="44"/>
    </row>
    <row r="62" spans="1:36" ht="11.25" customHeight="1" x14ac:dyDescent="0.25">
      <c r="A62" s="23"/>
      <c r="B62" s="47"/>
      <c r="C62" s="45"/>
      <c r="D62" s="24"/>
      <c r="E62" s="42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3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18"/>
      <c r="AJ62" s="44"/>
    </row>
    <row r="63" spans="1:36" ht="11.25" customHeight="1" x14ac:dyDescent="0.25">
      <c r="A63" s="23"/>
      <c r="B63" s="47"/>
      <c r="C63" s="45"/>
      <c r="D63" s="24"/>
      <c r="E63" s="42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3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18"/>
      <c r="AJ63" s="44"/>
    </row>
    <row r="64" spans="1:36" ht="11.25" customHeight="1" x14ac:dyDescent="0.25">
      <c r="A64" s="23"/>
      <c r="B64" s="47"/>
      <c r="C64" s="45"/>
      <c r="D64" s="24"/>
      <c r="E64" s="4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3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18"/>
      <c r="AJ64" s="44"/>
    </row>
    <row r="65" spans="1:36" ht="11.25" customHeight="1" x14ac:dyDescent="0.25">
      <c r="A65" s="23"/>
      <c r="B65" s="47"/>
      <c r="C65" s="45"/>
      <c r="D65" s="24"/>
      <c r="E65" s="4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3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18"/>
      <c r="AJ65" s="44"/>
    </row>
    <row r="66" spans="1:36" ht="11.25" customHeight="1" x14ac:dyDescent="0.25">
      <c r="A66" s="23"/>
      <c r="B66" s="47"/>
      <c r="C66" s="45"/>
      <c r="D66" s="24"/>
      <c r="E66" s="4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3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18"/>
      <c r="AJ66" s="44"/>
    </row>
    <row r="67" spans="1:36" ht="11.25" customHeight="1" x14ac:dyDescent="0.25">
      <c r="A67" s="23"/>
      <c r="B67" s="47"/>
      <c r="C67" s="45"/>
      <c r="D67" s="24"/>
      <c r="E67" s="4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3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18"/>
      <c r="AJ67" s="44"/>
    </row>
    <row r="68" spans="1:36" ht="11.25" customHeight="1" x14ac:dyDescent="0.25">
      <c r="A68" s="23"/>
      <c r="B68" s="47"/>
      <c r="C68" s="45"/>
      <c r="D68" s="24"/>
      <c r="E68" s="4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3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18"/>
      <c r="AJ68" s="44"/>
    </row>
    <row r="69" spans="1:36" ht="11.25" customHeight="1" x14ac:dyDescent="0.25">
      <c r="A69" s="23"/>
      <c r="B69" s="47"/>
      <c r="C69" s="45"/>
      <c r="D69" s="24"/>
      <c r="E69" s="42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3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18"/>
      <c r="AJ69" s="44"/>
    </row>
    <row r="70" spans="1:36" ht="11.25" customHeight="1" x14ac:dyDescent="0.25">
      <c r="A70" s="23"/>
      <c r="B70" s="47"/>
      <c r="C70" s="45"/>
      <c r="D70" s="24"/>
      <c r="E70" s="42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3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18"/>
      <c r="AJ70" s="44"/>
    </row>
    <row r="71" spans="1:36" ht="11.25" customHeight="1" x14ac:dyDescent="0.25">
      <c r="A71" s="23"/>
      <c r="B71" s="47"/>
      <c r="C71" s="45"/>
      <c r="D71" s="24"/>
      <c r="E71" s="42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3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18"/>
      <c r="AJ71" s="44"/>
    </row>
    <row r="72" spans="1:36" ht="11.25" customHeight="1" x14ac:dyDescent="0.25">
      <c r="A72" s="23"/>
      <c r="B72" s="47"/>
      <c r="C72" s="45"/>
      <c r="D72" s="24"/>
      <c r="E72" s="42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3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18"/>
      <c r="AJ72" s="44"/>
    </row>
    <row r="73" spans="1:36" ht="11.25" customHeight="1" x14ac:dyDescent="0.25">
      <c r="A73" s="23"/>
      <c r="B73" s="47"/>
      <c r="C73" s="45"/>
      <c r="D73" s="24"/>
      <c r="E73" s="42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3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18"/>
      <c r="AJ73" s="44"/>
    </row>
    <row r="74" spans="1:36" ht="11.25" customHeight="1" x14ac:dyDescent="0.25">
      <c r="A74" s="23"/>
      <c r="B74" s="47"/>
      <c r="C74" s="45"/>
      <c r="D74" s="24"/>
      <c r="E74" s="42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3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18"/>
      <c r="AJ74" s="44"/>
    </row>
    <row r="75" spans="1:36" ht="11.25" customHeight="1" x14ac:dyDescent="0.25">
      <c r="A75" s="23"/>
      <c r="B75" s="47"/>
      <c r="C75" s="45"/>
      <c r="D75" s="24"/>
      <c r="E75" s="42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3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18"/>
      <c r="AJ75" s="44"/>
    </row>
    <row r="76" spans="1:36" ht="11.25" customHeight="1" x14ac:dyDescent="0.25">
      <c r="A76" s="23"/>
      <c r="B76" s="47"/>
      <c r="C76" s="45"/>
      <c r="D76" s="24"/>
      <c r="E76" s="42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3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18"/>
      <c r="AJ76" s="44"/>
    </row>
    <row r="77" spans="1:36" ht="11.25" customHeight="1" x14ac:dyDescent="0.25">
      <c r="A77" s="23"/>
      <c r="B77" s="47"/>
      <c r="C77" s="45"/>
      <c r="D77" s="24"/>
      <c r="E77" s="42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3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18"/>
      <c r="AJ77" s="44"/>
    </row>
    <row r="78" spans="1:36" ht="11.25" customHeight="1" x14ac:dyDescent="0.25">
      <c r="A78" s="23"/>
      <c r="B78" s="47"/>
      <c r="C78" s="45"/>
      <c r="D78" s="24"/>
      <c r="E78" s="42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3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18"/>
      <c r="AJ78" s="44"/>
    </row>
    <row r="79" spans="1:36" ht="11.25" customHeight="1" x14ac:dyDescent="0.25">
      <c r="A79" s="23"/>
      <c r="B79" s="47"/>
      <c r="C79" s="45"/>
      <c r="D79" s="24"/>
      <c r="E79" s="42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3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18"/>
      <c r="AJ79" s="44"/>
    </row>
    <row r="80" spans="1:36" ht="11.25" customHeight="1" x14ac:dyDescent="0.25">
      <c r="A80" s="23"/>
      <c r="B80" s="47"/>
      <c r="C80" s="45"/>
      <c r="D80" s="24"/>
      <c r="E80" s="42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3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18"/>
      <c r="AJ80" s="44"/>
    </row>
    <row r="81" spans="1:36" ht="11.25" customHeight="1" x14ac:dyDescent="0.25">
      <c r="A81" s="23"/>
      <c r="B81" s="47"/>
      <c r="C81" s="45"/>
      <c r="D81" s="24"/>
      <c r="E81" s="42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3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18"/>
      <c r="AJ81" s="44"/>
    </row>
    <row r="82" spans="1:36" ht="11.25" customHeight="1" x14ac:dyDescent="0.25">
      <c r="A82" s="23"/>
      <c r="B82" s="47"/>
      <c r="C82" s="45"/>
      <c r="D82" s="24"/>
      <c r="E82" s="42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3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18"/>
      <c r="AJ82" s="44"/>
    </row>
    <row r="83" spans="1:36" ht="11.25" customHeight="1" x14ac:dyDescent="0.25">
      <c r="A83" s="23"/>
      <c r="B83" s="47"/>
      <c r="C83" s="45"/>
      <c r="D83" s="24"/>
      <c r="E83" s="42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3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18"/>
      <c r="AJ83" s="44"/>
    </row>
    <row r="84" spans="1:36" ht="11.25" customHeight="1" x14ac:dyDescent="0.25">
      <c r="A84" s="23"/>
      <c r="B84" s="47"/>
      <c r="C84" s="45"/>
      <c r="D84" s="24"/>
      <c r="E84" s="42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3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18"/>
      <c r="AJ84" s="44"/>
    </row>
    <row r="85" spans="1:36" ht="11.25" customHeight="1" x14ac:dyDescent="0.25">
      <c r="A85" s="23"/>
      <c r="B85" s="47"/>
      <c r="C85" s="45"/>
      <c r="D85" s="24"/>
      <c r="E85" s="42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3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18"/>
      <c r="AJ85" s="44"/>
    </row>
    <row r="86" spans="1:36" ht="11.25" customHeight="1" x14ac:dyDescent="0.25">
      <c r="A86" s="23"/>
      <c r="B86" s="47"/>
      <c r="C86" s="45"/>
      <c r="D86" s="24"/>
      <c r="E86" s="42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3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18"/>
      <c r="AJ86" s="44"/>
    </row>
    <row r="87" spans="1:36" ht="11.25" customHeight="1" x14ac:dyDescent="0.25">
      <c r="A87" s="23"/>
      <c r="B87" s="47"/>
      <c r="C87" s="45"/>
      <c r="D87" s="24"/>
      <c r="E87" s="4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3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18"/>
      <c r="AJ87" s="44"/>
    </row>
    <row r="88" spans="1:36" ht="11.25" customHeight="1" x14ac:dyDescent="0.25">
      <c r="A88" s="23"/>
      <c r="B88" s="47"/>
      <c r="C88" s="45"/>
      <c r="D88" s="24"/>
      <c r="E88" s="42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3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18"/>
      <c r="AJ88" s="44"/>
    </row>
    <row r="89" spans="1:36" ht="11.25" customHeight="1" x14ac:dyDescent="0.25">
      <c r="A89" s="23"/>
      <c r="B89" s="47"/>
      <c r="C89" s="45"/>
      <c r="D89" s="24"/>
      <c r="E89" s="42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3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18"/>
      <c r="AJ89" s="44"/>
    </row>
    <row r="90" spans="1:36" ht="11.25" customHeight="1" x14ac:dyDescent="0.25">
      <c r="A90" s="23"/>
      <c r="B90" s="47"/>
      <c r="C90" s="45"/>
      <c r="D90" s="24"/>
      <c r="E90" s="42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3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18"/>
      <c r="AJ90" s="44"/>
    </row>
    <row r="91" spans="1:36" ht="11.25" customHeight="1" x14ac:dyDescent="0.25">
      <c r="A91" s="23"/>
      <c r="B91" s="47"/>
      <c r="C91" s="45"/>
      <c r="D91" s="24"/>
      <c r="E91" s="42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3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18"/>
      <c r="AJ91" s="44"/>
    </row>
    <row r="92" spans="1:36" ht="11.25" customHeight="1" x14ac:dyDescent="0.25">
      <c r="A92" s="23"/>
      <c r="B92" s="47"/>
      <c r="C92" s="45"/>
      <c r="D92" s="24"/>
      <c r="E92" s="42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3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18"/>
      <c r="AJ92" s="44"/>
    </row>
    <row r="93" spans="1:36" ht="11.25" customHeight="1" x14ac:dyDescent="0.25">
      <c r="A93" s="23"/>
      <c r="B93" s="47"/>
      <c r="C93" s="45"/>
      <c r="D93" s="24"/>
      <c r="E93" s="42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3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18"/>
      <c r="AJ93" s="44"/>
    </row>
    <row r="94" spans="1:36" ht="11.25" customHeight="1" x14ac:dyDescent="0.25">
      <c r="A94" s="23"/>
      <c r="B94" s="47"/>
      <c r="C94" s="45"/>
      <c r="D94" s="24"/>
      <c r="E94" s="42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3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18"/>
      <c r="AJ94" s="44"/>
    </row>
    <row r="95" spans="1:36" ht="11.25" customHeight="1" x14ac:dyDescent="0.25">
      <c r="A95" s="23"/>
      <c r="B95" s="47"/>
      <c r="C95" s="45"/>
      <c r="D95" s="24"/>
      <c r="E95" s="42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3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18"/>
      <c r="AJ95" s="44"/>
    </row>
    <row r="96" spans="1:36" ht="11.25" customHeight="1" x14ac:dyDescent="0.25">
      <c r="A96" s="23"/>
      <c r="B96" s="47"/>
      <c r="C96" s="45"/>
      <c r="D96" s="24"/>
      <c r="E96" s="42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3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18"/>
      <c r="AJ96" s="44"/>
    </row>
    <row r="97" spans="1:36" ht="11.25" customHeight="1" x14ac:dyDescent="0.25">
      <c r="A97" s="23"/>
      <c r="B97" s="47"/>
      <c r="C97" s="45"/>
      <c r="D97" s="24"/>
      <c r="E97" s="42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3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18"/>
      <c r="AJ97" s="44"/>
    </row>
    <row r="98" spans="1:36" ht="11.25" customHeight="1" x14ac:dyDescent="0.25">
      <c r="A98" s="23"/>
      <c r="B98" s="47"/>
      <c r="C98" s="45"/>
      <c r="D98" s="24"/>
      <c r="E98" s="42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3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18"/>
      <c r="AJ98" s="44"/>
    </row>
    <row r="99" spans="1:36" ht="11.25" customHeight="1" x14ac:dyDescent="0.25">
      <c r="A99" s="23"/>
      <c r="B99" s="47"/>
      <c r="C99" s="45"/>
      <c r="D99" s="24"/>
      <c r="E99" s="42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3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18"/>
      <c r="AJ99" s="44"/>
    </row>
    <row r="100" spans="1:36" ht="11.25" customHeight="1" x14ac:dyDescent="0.25">
      <c r="A100" s="23"/>
      <c r="B100" s="47"/>
      <c r="C100" s="45"/>
      <c r="D100" s="24"/>
      <c r="E100" s="42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3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18"/>
      <c r="AJ100" s="44"/>
    </row>
    <row r="101" spans="1:36" ht="11.25" customHeight="1" x14ac:dyDescent="0.25">
      <c r="A101" s="23"/>
      <c r="B101" s="47"/>
      <c r="C101" s="45"/>
      <c r="D101" s="24"/>
      <c r="E101" s="42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3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18"/>
      <c r="AJ101" s="44"/>
    </row>
    <row r="102" spans="1:36" ht="11.25" customHeight="1" x14ac:dyDescent="0.25">
      <c r="A102" s="23"/>
      <c r="B102" s="47"/>
      <c r="C102" s="45"/>
      <c r="D102" s="24"/>
      <c r="E102" s="42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3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18"/>
      <c r="AJ102" s="44"/>
    </row>
    <row r="103" spans="1:36" ht="11.25" customHeight="1" x14ac:dyDescent="0.25">
      <c r="A103" s="23"/>
      <c r="B103" s="47"/>
      <c r="C103" s="45"/>
      <c r="D103" s="24"/>
      <c r="E103" s="42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3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18"/>
      <c r="AJ103" s="44"/>
    </row>
    <row r="104" spans="1:36" ht="11.25" customHeight="1" x14ac:dyDescent="0.25">
      <c r="A104" s="23"/>
      <c r="B104" s="47"/>
      <c r="C104" s="45"/>
      <c r="D104" s="24"/>
      <c r="E104" s="42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3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18"/>
      <c r="AJ104" s="44"/>
    </row>
    <row r="105" spans="1:36" ht="11.25" customHeight="1" x14ac:dyDescent="0.25">
      <c r="A105" s="23"/>
      <c r="B105" s="47"/>
      <c r="C105" s="45"/>
      <c r="D105" s="24"/>
      <c r="E105" s="42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3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18"/>
      <c r="AJ105" s="44"/>
    </row>
    <row r="106" spans="1:36" ht="11.25" customHeight="1" x14ac:dyDescent="0.25">
      <c r="A106" s="23"/>
      <c r="B106" s="47"/>
      <c r="C106" s="45"/>
      <c r="D106" s="24"/>
      <c r="E106" s="42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3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18"/>
      <c r="AJ106" s="44"/>
    </row>
    <row r="107" spans="1:36" ht="11.25" customHeight="1" x14ac:dyDescent="0.25">
      <c r="A107" s="23"/>
      <c r="B107" s="47"/>
      <c r="C107" s="45"/>
      <c r="D107" s="24"/>
      <c r="E107" s="42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3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18"/>
      <c r="AJ107" s="44"/>
    </row>
    <row r="108" spans="1:36" ht="11.25" customHeight="1" x14ac:dyDescent="0.25">
      <c r="A108" s="23"/>
      <c r="B108" s="47"/>
      <c r="C108" s="45"/>
      <c r="D108" s="24"/>
      <c r="E108" s="42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3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18"/>
      <c r="AJ108" s="44"/>
    </row>
    <row r="109" spans="1:36" ht="11.25" customHeight="1" x14ac:dyDescent="0.25">
      <c r="A109" s="23"/>
      <c r="B109" s="47"/>
      <c r="C109" s="45"/>
      <c r="D109" s="24"/>
      <c r="E109" s="42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3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18"/>
      <c r="AJ109" s="44"/>
    </row>
    <row r="110" spans="1:36" ht="11.25" customHeight="1" x14ac:dyDescent="0.25">
      <c r="A110" s="23"/>
      <c r="B110" s="47"/>
      <c r="C110" s="45"/>
      <c r="D110" s="24"/>
      <c r="E110" s="42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3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18"/>
      <c r="AJ110" s="44"/>
    </row>
    <row r="111" spans="1:36" ht="11.25" customHeight="1" x14ac:dyDescent="0.25">
      <c r="A111" s="23"/>
      <c r="B111" s="47"/>
      <c r="C111" s="45"/>
      <c r="D111" s="24"/>
      <c r="E111" s="42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3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18"/>
      <c r="AJ111" s="44"/>
    </row>
    <row r="112" spans="1:36" ht="11.25" customHeight="1" x14ac:dyDescent="0.25">
      <c r="A112" s="23"/>
      <c r="B112" s="47"/>
      <c r="C112" s="45"/>
      <c r="D112" s="24"/>
      <c r="E112" s="42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3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18"/>
      <c r="AJ112" s="44"/>
    </row>
    <row r="113" spans="1:36" ht="11.25" customHeight="1" x14ac:dyDescent="0.25">
      <c r="A113" s="23"/>
      <c r="B113" s="47"/>
      <c r="C113" s="45"/>
      <c r="D113" s="24"/>
      <c r="E113" s="42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3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18"/>
      <c r="AJ113" s="44"/>
    </row>
    <row r="114" spans="1:36" ht="11.25" customHeight="1" x14ac:dyDescent="0.25">
      <c r="A114" s="23"/>
      <c r="B114" s="47"/>
      <c r="C114" s="45"/>
      <c r="D114" s="24"/>
      <c r="E114" s="42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3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18"/>
      <c r="AJ114" s="44"/>
    </row>
    <row r="115" spans="1:36" ht="11.25" customHeight="1" x14ac:dyDescent="0.25">
      <c r="A115" s="23"/>
      <c r="B115" s="47"/>
      <c r="C115" s="45"/>
      <c r="D115" s="24"/>
      <c r="E115" s="42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3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18"/>
      <c r="AJ115" s="44"/>
    </row>
    <row r="116" spans="1:36" ht="11.25" customHeight="1" x14ac:dyDescent="0.25">
      <c r="A116" s="23"/>
      <c r="B116" s="47"/>
      <c r="C116" s="45"/>
      <c r="D116" s="24"/>
      <c r="E116" s="42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3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18"/>
      <c r="AJ116" s="44"/>
    </row>
    <row r="117" spans="1:36" ht="11.25" customHeight="1" x14ac:dyDescent="0.25">
      <c r="A117" s="23"/>
      <c r="B117" s="47"/>
      <c r="C117" s="45"/>
      <c r="D117" s="24"/>
      <c r="E117" s="42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3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18"/>
      <c r="AJ117" s="44"/>
    </row>
    <row r="118" spans="1:36" ht="11.25" customHeight="1" x14ac:dyDescent="0.25">
      <c r="A118" s="23"/>
      <c r="B118" s="47"/>
      <c r="C118" s="45"/>
      <c r="D118" s="24"/>
      <c r="E118" s="42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3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18"/>
      <c r="AJ118" s="44"/>
    </row>
    <row r="119" spans="1:36" ht="11.25" customHeight="1" x14ac:dyDescent="0.25">
      <c r="A119" s="23"/>
      <c r="B119" s="47"/>
      <c r="C119" s="45"/>
      <c r="D119" s="24"/>
      <c r="E119" s="42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3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18"/>
      <c r="AJ119" s="44"/>
    </row>
    <row r="120" spans="1:36" ht="11.25" customHeight="1" x14ac:dyDescent="0.25">
      <c r="A120" s="23"/>
      <c r="B120" s="47"/>
      <c r="C120" s="45"/>
      <c r="D120" s="24"/>
      <c r="E120" s="42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3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18"/>
      <c r="AJ120" s="44"/>
    </row>
    <row r="121" spans="1:36" ht="11.25" customHeight="1" x14ac:dyDescent="0.25">
      <c r="A121" s="23"/>
      <c r="B121" s="47"/>
      <c r="C121" s="45"/>
      <c r="D121" s="24"/>
      <c r="E121" s="42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3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18"/>
      <c r="AJ121" s="44"/>
    </row>
    <row r="122" spans="1:36" ht="11.25" customHeight="1" x14ac:dyDescent="0.25">
      <c r="A122" s="23"/>
      <c r="B122" s="47"/>
      <c r="C122" s="45"/>
      <c r="D122" s="24"/>
      <c r="E122" s="42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3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18"/>
      <c r="AJ122" s="44"/>
    </row>
    <row r="123" spans="1:36" ht="11.25" customHeight="1" x14ac:dyDescent="0.25">
      <c r="A123" s="23"/>
      <c r="B123" s="47"/>
      <c r="C123" s="45"/>
      <c r="D123" s="24"/>
      <c r="E123" s="42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3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18"/>
      <c r="AJ123" s="44"/>
    </row>
    <row r="124" spans="1:36" ht="11.25" customHeight="1" x14ac:dyDescent="0.25">
      <c r="A124" s="23"/>
      <c r="B124" s="47"/>
      <c r="C124" s="45"/>
      <c r="D124" s="24"/>
      <c r="E124" s="42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3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18"/>
      <c r="AJ124" s="44"/>
    </row>
    <row r="125" spans="1:36" ht="11.25" customHeight="1" x14ac:dyDescent="0.25">
      <c r="A125" s="23"/>
      <c r="B125" s="47"/>
      <c r="C125" s="45"/>
      <c r="D125" s="24"/>
      <c r="E125" s="42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3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18"/>
      <c r="AJ125" s="44"/>
    </row>
    <row r="126" spans="1:36" ht="11.25" customHeight="1" x14ac:dyDescent="0.25">
      <c r="A126" s="23"/>
      <c r="B126" s="47"/>
      <c r="C126" s="45"/>
      <c r="D126" s="24"/>
      <c r="E126" s="42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3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18"/>
      <c r="AJ126" s="44"/>
    </row>
    <row r="127" spans="1:36" ht="11.25" customHeight="1" x14ac:dyDescent="0.25">
      <c r="A127" s="23"/>
      <c r="B127" s="47"/>
      <c r="C127" s="45"/>
      <c r="D127" s="24"/>
      <c r="E127" s="42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3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18"/>
      <c r="AJ127" s="44"/>
    </row>
    <row r="128" spans="1:36" ht="11.25" customHeight="1" x14ac:dyDescent="0.25">
      <c r="A128" s="23"/>
      <c r="B128" s="47"/>
      <c r="C128" s="45"/>
      <c r="D128" s="24"/>
      <c r="E128" s="42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3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18"/>
      <c r="AJ128" s="44"/>
    </row>
    <row r="129" spans="1:36" ht="11.25" customHeight="1" x14ac:dyDescent="0.25">
      <c r="A129" s="23"/>
      <c r="B129" s="47"/>
      <c r="C129" s="45"/>
      <c r="D129" s="24"/>
      <c r="E129" s="42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3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18"/>
      <c r="AJ129" s="44"/>
    </row>
    <row r="130" spans="1:36" ht="11.25" customHeight="1" x14ac:dyDescent="0.25">
      <c r="A130" s="23"/>
      <c r="B130" s="47"/>
      <c r="C130" s="45"/>
      <c r="D130" s="24"/>
      <c r="E130" s="42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3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18"/>
      <c r="AJ130" s="44"/>
    </row>
    <row r="131" spans="1:36" ht="11.25" customHeight="1" x14ac:dyDescent="0.25">
      <c r="A131" s="23"/>
      <c r="B131" s="47"/>
      <c r="C131" s="45"/>
      <c r="D131" s="24"/>
      <c r="E131" s="42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3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18"/>
      <c r="AJ131" s="44"/>
    </row>
    <row r="132" spans="1:36" ht="11.25" customHeight="1" x14ac:dyDescent="0.25">
      <c r="A132" s="23"/>
      <c r="B132" s="47"/>
      <c r="C132" s="45"/>
      <c r="D132" s="24"/>
      <c r="E132" s="42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3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18"/>
      <c r="AJ132" s="44"/>
    </row>
    <row r="133" spans="1:36" ht="11.25" customHeight="1" x14ac:dyDescent="0.25">
      <c r="A133" s="23"/>
      <c r="B133" s="47"/>
      <c r="C133" s="45"/>
      <c r="D133" s="24"/>
      <c r="E133" s="52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3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18"/>
      <c r="AJ133" s="44"/>
    </row>
    <row r="134" spans="1:36" ht="11.25" customHeight="1" x14ac:dyDescent="0.25">
      <c r="A134" s="23"/>
      <c r="B134" s="47"/>
      <c r="C134" s="45"/>
      <c r="D134" s="24"/>
      <c r="E134" s="42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3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18"/>
      <c r="AJ134" s="44"/>
    </row>
    <row r="135" spans="1:36" ht="11.25" customHeight="1" x14ac:dyDescent="0.25">
      <c r="A135" s="23"/>
      <c r="B135" s="47"/>
      <c r="C135" s="45"/>
      <c r="D135" s="24"/>
      <c r="E135" s="42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3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18"/>
      <c r="AJ135" s="44"/>
    </row>
    <row r="136" spans="1:36" ht="11.25" customHeight="1" x14ac:dyDescent="0.25">
      <c r="A136" s="23"/>
      <c r="B136" s="47"/>
      <c r="C136" s="45"/>
      <c r="D136" s="24"/>
      <c r="E136" s="42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3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18"/>
      <c r="AJ136" s="44"/>
    </row>
    <row r="137" spans="1:36" ht="11.25" customHeight="1" x14ac:dyDescent="0.25">
      <c r="A137" s="23"/>
      <c r="B137" s="47"/>
      <c r="C137" s="45"/>
      <c r="D137" s="24"/>
      <c r="E137" s="42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3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18"/>
      <c r="AJ137" s="44"/>
    </row>
    <row r="138" spans="1:36" ht="11.25" customHeight="1" x14ac:dyDescent="0.25">
      <c r="A138" s="23"/>
      <c r="B138" s="47"/>
      <c r="C138" s="45"/>
      <c r="D138" s="24"/>
      <c r="E138" s="42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3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18"/>
      <c r="AJ138" s="44"/>
    </row>
    <row r="139" spans="1:36" ht="11.25" customHeight="1" x14ac:dyDescent="0.25">
      <c r="A139" s="23"/>
      <c r="B139" s="47"/>
      <c r="C139" s="45"/>
      <c r="D139" s="24"/>
      <c r="E139" s="52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3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18"/>
      <c r="AJ139" s="44"/>
    </row>
    <row r="140" spans="1:36" ht="11.25" customHeight="1" x14ac:dyDescent="0.25">
      <c r="A140" s="23"/>
      <c r="B140" s="47"/>
      <c r="C140" s="45"/>
      <c r="D140" s="24"/>
      <c r="E140" s="42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3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18"/>
      <c r="AJ140" s="44"/>
    </row>
    <row r="141" spans="1:36" ht="11.25" customHeight="1" x14ac:dyDescent="0.25">
      <c r="A141" s="23"/>
      <c r="B141" s="47"/>
      <c r="C141" s="45"/>
      <c r="D141" s="24"/>
      <c r="E141" s="42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3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18"/>
      <c r="AJ141" s="44"/>
    </row>
    <row r="142" spans="1:36" ht="11.25" customHeight="1" x14ac:dyDescent="0.25">
      <c r="A142" s="23"/>
      <c r="B142" s="47"/>
      <c r="C142" s="45"/>
      <c r="D142" s="24"/>
      <c r="E142" s="42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3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18"/>
      <c r="AJ142" s="44"/>
    </row>
    <row r="143" spans="1:36" ht="11.25" customHeight="1" x14ac:dyDescent="0.25">
      <c r="A143" s="23"/>
      <c r="B143" s="47"/>
      <c r="C143" s="45"/>
      <c r="D143" s="24"/>
      <c r="E143" s="42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3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18"/>
      <c r="AJ143" s="44"/>
    </row>
    <row r="144" spans="1:36" ht="11.25" customHeight="1" x14ac:dyDescent="0.25">
      <c r="A144" s="23"/>
      <c r="B144" s="47"/>
      <c r="C144" s="45"/>
      <c r="D144" s="24"/>
      <c r="E144" s="42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3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18"/>
      <c r="AJ144" s="44"/>
    </row>
    <row r="145" spans="1:36" ht="11.25" customHeight="1" x14ac:dyDescent="0.25">
      <c r="A145" s="23"/>
      <c r="B145" s="47"/>
      <c r="C145" s="45"/>
      <c r="D145" s="24"/>
      <c r="E145" s="42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3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18"/>
      <c r="AJ145" s="44"/>
    </row>
    <row r="146" spans="1:36" ht="11.25" customHeight="1" x14ac:dyDescent="0.25">
      <c r="A146" s="23"/>
      <c r="B146" s="47"/>
      <c r="C146" s="45"/>
      <c r="D146" s="24"/>
      <c r="E146" s="42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3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18"/>
      <c r="AJ146" s="44"/>
    </row>
    <row r="147" spans="1:36" ht="11.25" customHeight="1" x14ac:dyDescent="0.25">
      <c r="A147" s="23"/>
      <c r="B147" s="47"/>
      <c r="C147" s="45"/>
      <c r="D147" s="24"/>
      <c r="E147" s="42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3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18"/>
      <c r="AJ147" s="44"/>
    </row>
    <row r="148" spans="1:36" ht="11.25" customHeight="1" x14ac:dyDescent="0.25">
      <c r="A148" s="23"/>
      <c r="B148" s="47"/>
      <c r="C148" s="45"/>
      <c r="D148" s="24"/>
      <c r="E148" s="42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3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18"/>
      <c r="AJ148" s="44"/>
    </row>
    <row r="149" spans="1:36" ht="11.25" customHeight="1" x14ac:dyDescent="0.25">
      <c r="A149" s="23"/>
      <c r="B149" s="47"/>
      <c r="C149" s="45"/>
      <c r="D149" s="24"/>
      <c r="E149" s="42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3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18"/>
      <c r="AJ149" s="44"/>
    </row>
    <row r="150" spans="1:36" ht="11.25" customHeight="1" x14ac:dyDescent="0.25">
      <c r="A150" s="23"/>
      <c r="B150" s="47"/>
      <c r="C150" s="45"/>
      <c r="D150" s="24"/>
      <c r="E150" s="42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3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18"/>
      <c r="AJ150" s="44"/>
    </row>
    <row r="151" spans="1:36" ht="11.25" customHeight="1" x14ac:dyDescent="0.25">
      <c r="A151" s="23"/>
      <c r="B151" s="47"/>
      <c r="C151" s="45"/>
      <c r="D151" s="24"/>
      <c r="E151" s="52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3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18"/>
      <c r="AJ151" s="44"/>
    </row>
    <row r="152" spans="1:36" ht="11.25" customHeight="1" x14ac:dyDescent="0.25">
      <c r="A152" s="23"/>
      <c r="B152" s="47"/>
      <c r="C152" s="45"/>
      <c r="D152" s="24"/>
      <c r="E152" s="42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3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18"/>
      <c r="AJ152" s="44"/>
    </row>
    <row r="153" spans="1:36" ht="11.25" customHeight="1" x14ac:dyDescent="0.25">
      <c r="A153" s="23"/>
      <c r="B153" s="47"/>
      <c r="C153" s="45"/>
      <c r="D153" s="24"/>
      <c r="E153" s="42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3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18"/>
      <c r="AJ153" s="44"/>
    </row>
    <row r="154" spans="1:36" ht="11.25" customHeight="1" x14ac:dyDescent="0.25">
      <c r="A154" s="23"/>
      <c r="B154" s="47"/>
      <c r="C154" s="45"/>
      <c r="D154" s="24"/>
      <c r="E154" s="42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3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18"/>
      <c r="AJ154" s="44"/>
    </row>
    <row r="155" spans="1:36" ht="11.25" customHeight="1" x14ac:dyDescent="0.25">
      <c r="A155" s="23"/>
      <c r="B155" s="47"/>
      <c r="C155" s="45"/>
      <c r="D155" s="24"/>
      <c r="E155" s="42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3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18"/>
      <c r="AJ155" s="44"/>
    </row>
    <row r="156" spans="1:36" ht="11.25" customHeight="1" x14ac:dyDescent="0.25">
      <c r="A156" s="23"/>
      <c r="B156" s="47"/>
      <c r="C156" s="45"/>
      <c r="D156" s="24"/>
      <c r="E156" s="42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3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18"/>
      <c r="AJ156" s="44"/>
    </row>
    <row r="157" spans="1:36" ht="11.25" customHeight="1" x14ac:dyDescent="0.25">
      <c r="A157" s="23"/>
      <c r="B157" s="47"/>
      <c r="C157" s="45"/>
      <c r="D157" s="24"/>
      <c r="E157" s="42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3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18"/>
      <c r="AJ157" s="44"/>
    </row>
    <row r="158" spans="1:36" ht="11.25" customHeight="1" x14ac:dyDescent="0.25">
      <c r="A158" s="23"/>
      <c r="B158" s="47"/>
      <c r="C158" s="45"/>
      <c r="D158" s="24"/>
      <c r="E158" s="42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3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18"/>
      <c r="AJ158" s="44"/>
    </row>
    <row r="159" spans="1:36" ht="11.25" customHeight="1" x14ac:dyDescent="0.25">
      <c r="A159" s="23"/>
      <c r="B159" s="47"/>
      <c r="C159" s="45"/>
      <c r="D159" s="24"/>
      <c r="E159" s="42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3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18"/>
      <c r="AJ159" s="44"/>
    </row>
    <row r="160" spans="1:36" ht="11.25" customHeight="1" x14ac:dyDescent="0.25">
      <c r="A160" s="23"/>
      <c r="B160" s="47"/>
      <c r="C160" s="45"/>
      <c r="D160" s="24"/>
      <c r="E160" s="42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3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18"/>
      <c r="AJ160" s="44"/>
    </row>
    <row r="161" spans="1:36" ht="11.25" customHeight="1" x14ac:dyDescent="0.25">
      <c r="A161" s="23"/>
      <c r="B161" s="47"/>
      <c r="C161" s="45"/>
      <c r="D161" s="24"/>
      <c r="E161" s="42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3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18"/>
      <c r="AJ161" s="44"/>
    </row>
    <row r="162" spans="1:36" ht="11.25" customHeight="1" x14ac:dyDescent="0.25">
      <c r="A162" s="23"/>
      <c r="B162" s="47"/>
      <c r="C162" s="45"/>
      <c r="D162" s="24"/>
      <c r="E162" s="52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3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18"/>
      <c r="AJ162" s="44"/>
    </row>
    <row r="163" spans="1:36" ht="11.25" customHeight="1" x14ac:dyDescent="0.25">
      <c r="A163" s="23"/>
      <c r="B163" s="47"/>
      <c r="C163" s="45"/>
      <c r="D163" s="24"/>
      <c r="E163" s="42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3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18"/>
      <c r="AJ163" s="44"/>
    </row>
    <row r="164" spans="1:36" ht="11.25" customHeight="1" x14ac:dyDescent="0.25">
      <c r="A164" s="23"/>
      <c r="B164" s="47"/>
      <c r="C164" s="45"/>
      <c r="D164" s="24"/>
      <c r="E164" s="42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3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18"/>
      <c r="AJ164" s="44"/>
    </row>
    <row r="165" spans="1:36" ht="11.25" customHeight="1" x14ac:dyDescent="0.25">
      <c r="A165" s="23"/>
      <c r="B165" s="47"/>
      <c r="C165" s="45"/>
      <c r="D165" s="24"/>
      <c r="E165" s="42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3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18"/>
      <c r="AJ165" s="44"/>
    </row>
    <row r="166" spans="1:36" ht="11.25" customHeight="1" x14ac:dyDescent="0.25">
      <c r="A166" s="23"/>
      <c r="B166" s="47"/>
      <c r="C166" s="45"/>
      <c r="D166" s="24"/>
      <c r="E166" s="42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3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18"/>
      <c r="AJ166" s="44"/>
    </row>
    <row r="167" spans="1:36" ht="11.25" customHeight="1" x14ac:dyDescent="0.25">
      <c r="A167" s="23"/>
      <c r="B167" s="47"/>
      <c r="C167" s="45"/>
      <c r="D167" s="24"/>
      <c r="E167" s="42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3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18"/>
      <c r="AJ167" s="44"/>
    </row>
    <row r="168" spans="1:36" ht="11.25" customHeight="1" x14ac:dyDescent="0.25">
      <c r="A168" s="23"/>
      <c r="B168" s="47"/>
      <c r="C168" s="45"/>
      <c r="D168" s="24"/>
      <c r="E168" s="42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3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18"/>
      <c r="AJ168" s="44"/>
    </row>
    <row r="169" spans="1:36" ht="11.25" customHeight="1" x14ac:dyDescent="0.25">
      <c r="A169" s="23"/>
      <c r="B169" s="47"/>
      <c r="C169" s="45"/>
      <c r="D169" s="24"/>
      <c r="E169" s="42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3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18"/>
      <c r="AJ169" s="44"/>
    </row>
    <row r="170" spans="1:36" ht="11.25" customHeight="1" x14ac:dyDescent="0.25">
      <c r="A170" s="23"/>
      <c r="B170" s="47"/>
      <c r="C170" s="45"/>
      <c r="D170" s="24"/>
      <c r="E170" s="42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3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18"/>
      <c r="AJ170" s="44"/>
    </row>
    <row r="171" spans="1:36" ht="11.25" customHeight="1" x14ac:dyDescent="0.25">
      <c r="A171" s="23"/>
      <c r="B171" s="47"/>
      <c r="C171" s="45"/>
      <c r="D171" s="24"/>
      <c r="E171" s="42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3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18"/>
      <c r="AJ171" s="44"/>
    </row>
    <row r="172" spans="1:36" ht="11.25" customHeight="1" x14ac:dyDescent="0.25">
      <c r="A172" s="23"/>
      <c r="B172" s="47"/>
      <c r="C172" s="45"/>
      <c r="D172" s="24"/>
      <c r="E172" s="42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3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18"/>
      <c r="AJ172" s="44"/>
    </row>
    <row r="173" spans="1:36" ht="11.25" customHeight="1" x14ac:dyDescent="0.25">
      <c r="A173" s="23"/>
      <c r="B173" s="47"/>
      <c r="C173" s="45"/>
      <c r="D173" s="24"/>
      <c r="E173" s="42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3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18"/>
      <c r="AJ173" s="44"/>
    </row>
    <row r="174" spans="1:36" ht="11.25" customHeight="1" x14ac:dyDescent="0.25">
      <c r="A174" s="23"/>
      <c r="B174" s="47"/>
      <c r="C174" s="45"/>
      <c r="D174" s="24"/>
      <c r="E174" s="52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3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18"/>
      <c r="AJ174" s="44"/>
    </row>
    <row r="175" spans="1:36" ht="11.25" customHeight="1" x14ac:dyDescent="0.25">
      <c r="A175" s="23"/>
      <c r="B175" s="47"/>
      <c r="C175" s="45"/>
      <c r="D175" s="24"/>
      <c r="E175" s="42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3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18"/>
      <c r="AJ175" s="44"/>
    </row>
    <row r="176" spans="1:36" ht="11.25" customHeight="1" x14ac:dyDescent="0.25">
      <c r="A176" s="23"/>
      <c r="B176" s="47"/>
      <c r="C176" s="45"/>
      <c r="D176" s="24"/>
      <c r="E176" s="42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3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18"/>
      <c r="AJ176" s="44"/>
    </row>
    <row r="177" spans="1:36" ht="11.25" customHeight="1" x14ac:dyDescent="0.25">
      <c r="A177" s="23"/>
      <c r="B177" s="47"/>
      <c r="C177" s="45"/>
      <c r="D177" s="24"/>
      <c r="E177" s="42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3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18"/>
      <c r="AJ177" s="44"/>
    </row>
    <row r="178" spans="1:36" ht="11.25" customHeight="1" x14ac:dyDescent="0.25">
      <c r="A178" s="23"/>
      <c r="B178" s="47"/>
      <c r="C178" s="45"/>
      <c r="D178" s="24"/>
      <c r="E178" s="42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3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18"/>
      <c r="AJ178" s="44"/>
    </row>
    <row r="179" spans="1:36" ht="11.25" customHeight="1" x14ac:dyDescent="0.25">
      <c r="A179" s="23"/>
      <c r="B179" s="47"/>
      <c r="C179" s="45"/>
      <c r="D179" s="24"/>
      <c r="E179" s="42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3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18"/>
      <c r="AJ179" s="44"/>
    </row>
    <row r="180" spans="1:36" ht="11.25" customHeight="1" x14ac:dyDescent="0.25">
      <c r="A180" s="23"/>
      <c r="B180" s="47"/>
      <c r="C180" s="45"/>
      <c r="D180" s="24"/>
      <c r="E180" s="42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3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18"/>
      <c r="AJ180" s="44"/>
    </row>
    <row r="181" spans="1:36" ht="11.25" customHeight="1" x14ac:dyDescent="0.25">
      <c r="A181" s="23"/>
      <c r="B181" s="47"/>
      <c r="C181" s="45"/>
      <c r="D181" s="24"/>
      <c r="E181" s="42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3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18"/>
      <c r="AJ181" s="44"/>
    </row>
    <row r="182" spans="1:36" ht="11.25" customHeight="1" x14ac:dyDescent="0.25">
      <c r="A182" s="23"/>
      <c r="B182" s="47"/>
      <c r="C182" s="45"/>
      <c r="D182" s="24"/>
      <c r="E182" s="42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3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18"/>
      <c r="AJ182" s="44"/>
    </row>
    <row r="183" spans="1:36" ht="11.25" customHeight="1" x14ac:dyDescent="0.25">
      <c r="A183" s="23"/>
      <c r="B183" s="47"/>
      <c r="C183" s="45"/>
      <c r="D183" s="24"/>
      <c r="E183" s="42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3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18"/>
      <c r="AJ183" s="44"/>
    </row>
    <row r="184" spans="1:36" ht="11.25" customHeight="1" x14ac:dyDescent="0.25">
      <c r="A184" s="23"/>
      <c r="B184" s="47"/>
      <c r="C184" s="45"/>
      <c r="D184" s="24"/>
      <c r="E184" s="42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3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18"/>
      <c r="AJ184" s="44"/>
    </row>
    <row r="185" spans="1:36" ht="11.25" customHeight="1" x14ac:dyDescent="0.25">
      <c r="A185" s="23"/>
      <c r="B185" s="47"/>
      <c r="C185" s="45"/>
      <c r="D185" s="24"/>
      <c r="E185" s="42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3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18"/>
      <c r="AJ185" s="44"/>
    </row>
    <row r="186" spans="1:36" ht="11.25" customHeight="1" x14ac:dyDescent="0.25">
      <c r="A186" s="23"/>
      <c r="B186" s="47"/>
      <c r="C186" s="45"/>
      <c r="D186" s="24"/>
      <c r="E186" s="52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3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18"/>
      <c r="AJ186" s="44"/>
    </row>
    <row r="187" spans="1:36" ht="11.25" customHeight="1" x14ac:dyDescent="0.25">
      <c r="A187" s="23"/>
      <c r="B187" s="47"/>
      <c r="C187" s="45"/>
      <c r="D187" s="24"/>
      <c r="E187" s="42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3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18"/>
      <c r="AJ187" s="44"/>
    </row>
    <row r="188" spans="1:36" ht="11.25" customHeight="1" x14ac:dyDescent="0.25">
      <c r="A188" s="23"/>
      <c r="B188" s="47"/>
      <c r="C188" s="45"/>
      <c r="D188" s="24"/>
      <c r="E188" s="42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3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18"/>
      <c r="AJ188" s="44"/>
    </row>
    <row r="189" spans="1:36" ht="11.25" customHeight="1" x14ac:dyDescent="0.25">
      <c r="A189" s="23"/>
      <c r="B189" s="47"/>
      <c r="C189" s="45"/>
      <c r="D189" s="24"/>
      <c r="E189" s="42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3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18"/>
      <c r="AJ189" s="44"/>
    </row>
    <row r="190" spans="1:36" ht="11.25" customHeight="1" x14ac:dyDescent="0.25">
      <c r="A190" s="23"/>
      <c r="B190" s="47"/>
      <c r="C190" s="45"/>
      <c r="D190" s="24"/>
      <c r="E190" s="42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3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18"/>
      <c r="AJ190" s="44"/>
    </row>
    <row r="191" spans="1:36" ht="11.25" customHeight="1" x14ac:dyDescent="0.25">
      <c r="A191" s="23"/>
      <c r="B191" s="47"/>
      <c r="C191" s="45"/>
      <c r="D191" s="24"/>
      <c r="E191" s="42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3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18"/>
      <c r="AJ191" s="44"/>
    </row>
    <row r="192" spans="1:36" ht="11.25" customHeight="1" x14ac:dyDescent="0.25">
      <c r="A192" s="23"/>
      <c r="B192" s="47"/>
      <c r="C192" s="45"/>
      <c r="D192" s="24"/>
      <c r="E192" s="42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3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18"/>
      <c r="AJ192" s="44"/>
    </row>
    <row r="193" spans="1:36" ht="11.25" customHeight="1" x14ac:dyDescent="0.25">
      <c r="A193" s="23"/>
      <c r="B193" s="47"/>
      <c r="C193" s="45"/>
      <c r="D193" s="24"/>
      <c r="E193" s="42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3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18"/>
      <c r="AJ193" s="44"/>
    </row>
    <row r="194" spans="1:36" ht="11.25" customHeight="1" x14ac:dyDescent="0.25">
      <c r="A194" s="23"/>
      <c r="B194" s="47"/>
      <c r="C194" s="45"/>
      <c r="D194" s="24"/>
      <c r="E194" s="42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3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18"/>
      <c r="AJ194" s="44"/>
    </row>
    <row r="195" spans="1:36" ht="11.25" customHeight="1" x14ac:dyDescent="0.25">
      <c r="A195" s="23"/>
      <c r="B195" s="47"/>
      <c r="C195" s="45"/>
      <c r="D195" s="24"/>
      <c r="E195" s="42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3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18"/>
      <c r="AJ195" s="44"/>
    </row>
    <row r="196" spans="1:36" ht="11.25" customHeight="1" x14ac:dyDescent="0.25">
      <c r="A196" s="23"/>
      <c r="B196" s="47"/>
      <c r="C196" s="45"/>
      <c r="D196" s="24"/>
      <c r="E196" s="42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3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18"/>
      <c r="AJ196" s="44"/>
    </row>
    <row r="197" spans="1:36" ht="11.25" customHeight="1" x14ac:dyDescent="0.25">
      <c r="A197" s="23"/>
      <c r="B197" s="47"/>
      <c r="C197" s="45"/>
      <c r="D197" s="24"/>
      <c r="E197" s="42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3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18"/>
      <c r="AJ197" s="44"/>
    </row>
    <row r="198" spans="1:36" ht="11.25" customHeight="1" x14ac:dyDescent="0.25">
      <c r="A198" s="23"/>
      <c r="B198" s="47"/>
      <c r="C198" s="45"/>
      <c r="D198" s="24"/>
      <c r="E198" s="42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3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18"/>
      <c r="AJ198" s="44"/>
    </row>
    <row r="199" spans="1:36" ht="11.25" customHeight="1" x14ac:dyDescent="0.25">
      <c r="A199" s="23"/>
      <c r="B199" s="47"/>
      <c r="C199" s="45"/>
      <c r="D199" s="24"/>
      <c r="E199" s="42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3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18"/>
      <c r="AJ199" s="44"/>
    </row>
    <row r="200" spans="1:36" ht="11.25" customHeight="1" x14ac:dyDescent="0.25">
      <c r="A200" s="23"/>
      <c r="B200" s="47"/>
      <c r="C200" s="45"/>
      <c r="D200" s="24"/>
      <c r="E200" s="42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3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18"/>
      <c r="AJ200" s="44"/>
    </row>
    <row r="201" spans="1:36" ht="11.25" customHeight="1" x14ac:dyDescent="0.25">
      <c r="A201" s="23"/>
      <c r="B201" s="47"/>
      <c r="C201" s="45"/>
      <c r="D201" s="24"/>
      <c r="E201" s="42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3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18"/>
      <c r="AJ201" s="44"/>
    </row>
    <row r="202" spans="1:36" ht="11.25" customHeight="1" x14ac:dyDescent="0.25">
      <c r="A202" s="23"/>
      <c r="B202" s="47"/>
      <c r="C202" s="45"/>
      <c r="D202" s="24"/>
      <c r="E202" s="42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3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18"/>
      <c r="AJ202" s="44"/>
    </row>
    <row r="203" spans="1:36" ht="11.25" customHeight="1" x14ac:dyDescent="0.25">
      <c r="A203" s="23"/>
      <c r="B203" s="47"/>
      <c r="C203" s="45"/>
      <c r="D203" s="24"/>
      <c r="E203" s="42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3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18"/>
      <c r="AJ203" s="44"/>
    </row>
    <row r="204" spans="1:36" ht="11.25" customHeight="1" x14ac:dyDescent="0.25">
      <c r="A204" s="23"/>
      <c r="B204" s="47"/>
      <c r="C204" s="45"/>
      <c r="D204" s="24"/>
      <c r="E204" s="52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3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18"/>
      <c r="AJ204" s="44"/>
    </row>
    <row r="205" spans="1:36" ht="11.25" customHeight="1" x14ac:dyDescent="0.25">
      <c r="A205" s="23"/>
      <c r="B205" s="47"/>
      <c r="C205" s="45"/>
      <c r="D205" s="24"/>
      <c r="E205" s="42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3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18"/>
      <c r="AJ205" s="44"/>
    </row>
    <row r="206" spans="1:36" ht="11.25" customHeight="1" x14ac:dyDescent="0.25">
      <c r="A206" s="23"/>
      <c r="B206" s="47"/>
      <c r="C206" s="45"/>
      <c r="D206" s="24"/>
      <c r="E206" s="42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3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18"/>
      <c r="AJ206" s="44"/>
    </row>
    <row r="207" spans="1:36" ht="11.25" customHeight="1" x14ac:dyDescent="0.25">
      <c r="A207" s="23"/>
      <c r="B207" s="47"/>
      <c r="C207" s="45"/>
      <c r="D207" s="24"/>
      <c r="E207" s="42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3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18"/>
      <c r="AJ207" s="44"/>
    </row>
    <row r="208" spans="1:36" ht="11.25" customHeight="1" x14ac:dyDescent="0.25">
      <c r="A208" s="23"/>
      <c r="B208" s="47"/>
      <c r="C208" s="45"/>
      <c r="D208" s="24"/>
      <c r="E208" s="42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3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18"/>
      <c r="AJ208" s="44"/>
    </row>
    <row r="209" spans="1:36" ht="11.25" customHeight="1" x14ac:dyDescent="0.25">
      <c r="A209" s="23"/>
      <c r="B209" s="47"/>
      <c r="C209" s="45"/>
      <c r="D209" s="24"/>
      <c r="E209" s="42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3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18"/>
      <c r="AJ209" s="44"/>
    </row>
    <row r="210" spans="1:36" ht="11.25" customHeight="1" x14ac:dyDescent="0.25">
      <c r="A210" s="23"/>
      <c r="B210" s="47"/>
      <c r="C210" s="45"/>
      <c r="D210" s="24"/>
      <c r="E210" s="52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3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18"/>
      <c r="AJ210" s="44"/>
    </row>
    <row r="211" spans="1:36" ht="11.25" customHeight="1" x14ac:dyDescent="0.25">
      <c r="A211" s="23"/>
      <c r="B211" s="47"/>
      <c r="C211" s="45"/>
      <c r="D211" s="24"/>
      <c r="E211" s="42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3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18"/>
      <c r="AJ211" s="44"/>
    </row>
    <row r="212" spans="1:36" ht="11.25" customHeight="1" x14ac:dyDescent="0.25">
      <c r="A212" s="23"/>
      <c r="B212" s="47"/>
      <c r="C212" s="45"/>
      <c r="D212" s="24"/>
      <c r="E212" s="42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3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18"/>
      <c r="AJ212" s="44"/>
    </row>
    <row r="213" spans="1:36" ht="11.25" customHeight="1" x14ac:dyDescent="0.25">
      <c r="A213" s="23"/>
      <c r="B213" s="47"/>
      <c r="C213" s="45"/>
      <c r="D213" s="24"/>
      <c r="E213" s="42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3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18"/>
      <c r="AJ213" s="44"/>
    </row>
    <row r="214" spans="1:36" ht="11.25" customHeight="1" x14ac:dyDescent="0.25">
      <c r="A214" s="23"/>
      <c r="B214" s="47"/>
      <c r="C214" s="45"/>
      <c r="D214" s="24"/>
      <c r="E214" s="42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3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18"/>
      <c r="AJ214" s="44"/>
    </row>
    <row r="215" spans="1:36" ht="11.25" customHeight="1" x14ac:dyDescent="0.25">
      <c r="A215" s="23"/>
      <c r="B215" s="47"/>
      <c r="C215" s="45"/>
      <c r="D215" s="24"/>
      <c r="E215" s="42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3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18"/>
      <c r="AJ215" s="44"/>
    </row>
    <row r="216" spans="1:36" ht="11.25" customHeight="1" x14ac:dyDescent="0.25">
      <c r="A216" s="23"/>
      <c r="B216" s="47"/>
      <c r="C216" s="45"/>
      <c r="D216" s="24"/>
      <c r="E216" s="42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3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18"/>
      <c r="AJ216" s="44"/>
    </row>
    <row r="217" spans="1:36" ht="11.25" customHeight="1" x14ac:dyDescent="0.25">
      <c r="A217" s="23"/>
      <c r="B217" s="47"/>
      <c r="C217" s="45"/>
      <c r="D217" s="24"/>
      <c r="E217" s="42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3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18"/>
      <c r="AJ217" s="44"/>
    </row>
    <row r="218" spans="1:36" ht="11.25" customHeight="1" x14ac:dyDescent="0.25">
      <c r="A218" s="23"/>
      <c r="B218" s="47"/>
      <c r="C218" s="45"/>
      <c r="D218" s="24"/>
      <c r="E218" s="42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3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18"/>
      <c r="AJ218" s="44"/>
    </row>
    <row r="219" spans="1:36" ht="11.25" customHeight="1" x14ac:dyDescent="0.25">
      <c r="A219" s="23"/>
      <c r="B219" s="47"/>
      <c r="C219" s="45"/>
      <c r="D219" s="24"/>
      <c r="E219" s="42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3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18"/>
      <c r="AJ219" s="44"/>
    </row>
    <row r="220" spans="1:36" ht="11.25" customHeight="1" x14ac:dyDescent="0.25">
      <c r="A220" s="23"/>
      <c r="B220" s="47"/>
      <c r="C220" s="45"/>
      <c r="D220" s="24"/>
      <c r="E220" s="42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3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18"/>
      <c r="AJ220" s="44"/>
    </row>
    <row r="221" spans="1:36" ht="11.25" customHeight="1" x14ac:dyDescent="0.25">
      <c r="A221" s="23"/>
      <c r="B221" s="47"/>
      <c r="C221" s="45"/>
      <c r="D221" s="24"/>
      <c r="E221" s="42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3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18"/>
      <c r="AJ221" s="44"/>
    </row>
    <row r="222" spans="1:36" ht="11.25" customHeight="1" x14ac:dyDescent="0.25">
      <c r="A222" s="23"/>
      <c r="B222" s="47"/>
      <c r="C222" s="45"/>
      <c r="D222" s="24"/>
      <c r="E222" s="52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3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18"/>
      <c r="AJ222" s="44"/>
    </row>
    <row r="223" spans="1:36" ht="11.25" customHeight="1" x14ac:dyDescent="0.25">
      <c r="A223" s="23"/>
      <c r="B223" s="47"/>
      <c r="C223" s="45"/>
      <c r="D223" s="24"/>
      <c r="E223" s="42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3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18"/>
      <c r="AJ223" s="44"/>
    </row>
    <row r="224" spans="1:36" ht="11.25" customHeight="1" x14ac:dyDescent="0.25">
      <c r="A224" s="23"/>
      <c r="B224" s="47"/>
      <c r="C224" s="45"/>
      <c r="D224" s="24"/>
      <c r="E224" s="42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3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18"/>
      <c r="AJ224" s="44"/>
    </row>
    <row r="225" spans="1:36" ht="11.25" customHeight="1" x14ac:dyDescent="0.25">
      <c r="A225" s="23"/>
      <c r="B225" s="47"/>
      <c r="C225" s="45"/>
      <c r="D225" s="24"/>
      <c r="E225" s="42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3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18"/>
      <c r="AJ225" s="44"/>
    </row>
    <row r="226" spans="1:36" ht="11.25" customHeight="1" x14ac:dyDescent="0.25">
      <c r="A226" s="23"/>
      <c r="B226" s="47"/>
      <c r="C226" s="45"/>
      <c r="D226" s="24"/>
      <c r="E226" s="42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3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18"/>
      <c r="AJ226" s="44"/>
    </row>
    <row r="227" spans="1:36" ht="11.25" customHeight="1" x14ac:dyDescent="0.25">
      <c r="A227" s="23"/>
      <c r="B227" s="47"/>
      <c r="C227" s="45"/>
      <c r="D227" s="24"/>
      <c r="E227" s="42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3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18"/>
      <c r="AJ227" s="44"/>
    </row>
    <row r="228" spans="1:36" ht="11.25" customHeight="1" x14ac:dyDescent="0.25">
      <c r="A228" s="23"/>
      <c r="B228" s="47"/>
      <c r="C228" s="45"/>
      <c r="D228" s="24"/>
      <c r="E228" s="42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3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18"/>
      <c r="AJ228" s="44"/>
    </row>
    <row r="229" spans="1:36" ht="11.25" customHeight="1" x14ac:dyDescent="0.25">
      <c r="A229" s="23"/>
      <c r="B229" s="47"/>
      <c r="C229" s="45"/>
      <c r="D229" s="24"/>
      <c r="E229" s="42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3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18"/>
      <c r="AJ229" s="44"/>
    </row>
    <row r="230" spans="1:36" ht="11.25" customHeight="1" x14ac:dyDescent="0.25">
      <c r="A230" s="23"/>
      <c r="B230" s="47"/>
      <c r="C230" s="45"/>
      <c r="D230" s="24"/>
      <c r="E230" s="42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3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18"/>
      <c r="AJ230" s="44"/>
    </row>
    <row r="231" spans="1:36" ht="11.25" customHeight="1" x14ac:dyDescent="0.25">
      <c r="A231" s="23"/>
      <c r="B231" s="47"/>
      <c r="C231" s="45"/>
      <c r="D231" s="24"/>
      <c r="E231" s="42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3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18"/>
      <c r="AJ231" s="44"/>
    </row>
    <row r="232" spans="1:36" ht="11.25" customHeight="1" x14ac:dyDescent="0.25">
      <c r="A232" s="23"/>
      <c r="B232" s="47"/>
      <c r="C232" s="45"/>
      <c r="D232" s="24"/>
      <c r="E232" s="42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3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18"/>
      <c r="AJ232" s="44"/>
    </row>
    <row r="233" spans="1:36" ht="11.25" customHeight="1" x14ac:dyDescent="0.25">
      <c r="A233" s="23"/>
      <c r="B233" s="47"/>
      <c r="C233" s="45"/>
      <c r="D233" s="24"/>
      <c r="E233" s="42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3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18"/>
      <c r="AJ233" s="44"/>
    </row>
    <row r="234" spans="1:36" ht="11.25" customHeight="1" x14ac:dyDescent="0.25">
      <c r="A234" s="23"/>
      <c r="B234" s="47"/>
      <c r="C234" s="45"/>
      <c r="D234" s="24"/>
      <c r="E234" s="52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3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18"/>
      <c r="AJ234" s="44"/>
    </row>
    <row r="235" spans="1:36" ht="11.25" customHeight="1" x14ac:dyDescent="0.25">
      <c r="A235" s="23"/>
      <c r="B235" s="47"/>
      <c r="C235" s="45"/>
      <c r="D235" s="24"/>
      <c r="E235" s="42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3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18"/>
      <c r="AJ235" s="44"/>
    </row>
    <row r="236" spans="1:36" ht="11.25" customHeight="1" x14ac:dyDescent="0.25">
      <c r="A236" s="23"/>
      <c r="B236" s="47"/>
      <c r="C236" s="45"/>
      <c r="D236" s="24"/>
      <c r="E236" s="42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3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18"/>
      <c r="AJ236" s="44"/>
    </row>
    <row r="237" spans="1:36" ht="11.25" customHeight="1" x14ac:dyDescent="0.25">
      <c r="A237" s="23"/>
      <c r="B237" s="47"/>
      <c r="C237" s="45"/>
      <c r="D237" s="24"/>
      <c r="E237" s="42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3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18"/>
      <c r="AJ237" s="44"/>
    </row>
    <row r="238" spans="1:36" ht="11.25" customHeight="1" x14ac:dyDescent="0.25">
      <c r="A238" s="23"/>
      <c r="B238" s="47"/>
      <c r="C238" s="45"/>
      <c r="D238" s="24"/>
      <c r="E238" s="42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3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18"/>
      <c r="AJ238" s="44"/>
    </row>
    <row r="239" spans="1:36" ht="11.25" customHeight="1" x14ac:dyDescent="0.25">
      <c r="A239" s="23"/>
      <c r="B239" s="47"/>
      <c r="C239" s="45"/>
      <c r="D239" s="24"/>
      <c r="E239" s="42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3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18"/>
      <c r="AJ239" s="44"/>
    </row>
    <row r="240" spans="1:36" ht="11.25" customHeight="1" x14ac:dyDescent="0.25">
      <c r="A240" s="23"/>
      <c r="B240" s="47"/>
      <c r="C240" s="45"/>
      <c r="D240" s="24"/>
      <c r="E240" s="42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3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18"/>
      <c r="AJ240" s="44"/>
    </row>
    <row r="241" spans="1:36" ht="11.25" customHeight="1" x14ac:dyDescent="0.25">
      <c r="A241" s="23"/>
      <c r="B241" s="47"/>
      <c r="C241" s="45"/>
      <c r="D241" s="24"/>
      <c r="E241" s="42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3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18"/>
      <c r="AJ241" s="44"/>
    </row>
    <row r="242" spans="1:36" ht="11.25" customHeight="1" x14ac:dyDescent="0.25">
      <c r="A242" s="23"/>
      <c r="B242" s="44"/>
      <c r="C242" s="45"/>
      <c r="D242" s="23"/>
      <c r="E242" s="23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5"/>
      <c r="T242" s="23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23"/>
      <c r="AJ242" s="23"/>
    </row>
    <row r="243" spans="1:36" ht="11.25" customHeight="1" x14ac:dyDescent="0.25">
      <c r="A243" s="23"/>
      <c r="B243" s="44"/>
      <c r="C243" s="45"/>
      <c r="D243" s="23"/>
      <c r="E243" s="23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5"/>
      <c r="T243" s="23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23"/>
      <c r="AJ243" s="23"/>
    </row>
    <row r="244" spans="1:36" ht="11.25" customHeight="1" x14ac:dyDescent="0.25">
      <c r="A244" s="23"/>
      <c r="B244" s="44"/>
      <c r="C244" s="45"/>
      <c r="D244" s="23"/>
      <c r="E244" s="23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5"/>
      <c r="T244" s="23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23"/>
      <c r="AJ244" s="23"/>
    </row>
    <row r="245" spans="1:36" ht="11.25" customHeight="1" x14ac:dyDescent="0.25">
      <c r="A245" s="23"/>
      <c r="B245" s="44"/>
      <c r="C245" s="45"/>
      <c r="D245" s="23"/>
      <c r="E245" s="23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5"/>
      <c r="T245" s="23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23"/>
      <c r="AJ245" s="23"/>
    </row>
    <row r="246" spans="1:36" ht="11.25" customHeight="1" x14ac:dyDescent="0.25">
      <c r="A246" s="23"/>
      <c r="B246" s="44"/>
      <c r="C246" s="45"/>
      <c r="D246" s="23"/>
      <c r="E246" s="23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5"/>
      <c r="T246" s="23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23"/>
      <c r="AJ246" s="23"/>
    </row>
    <row r="247" spans="1:36" ht="11.25" customHeight="1" x14ac:dyDescent="0.25">
      <c r="A247" s="23"/>
      <c r="B247" s="44"/>
      <c r="C247" s="45"/>
      <c r="D247" s="23"/>
      <c r="E247" s="23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5"/>
      <c r="T247" s="23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23"/>
      <c r="AJ247" s="23"/>
    </row>
    <row r="248" spans="1:36" ht="11.25" customHeight="1" x14ac:dyDescent="0.25">
      <c r="A248" s="23"/>
      <c r="B248" s="44"/>
      <c r="C248" s="45"/>
      <c r="D248" s="23"/>
      <c r="E248" s="23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5"/>
      <c r="T248" s="23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23"/>
      <c r="AJ248" s="23"/>
    </row>
    <row r="249" spans="1:36" ht="11.25" customHeight="1" x14ac:dyDescent="0.25">
      <c r="A249" s="23"/>
      <c r="B249" s="44"/>
      <c r="C249" s="45"/>
      <c r="D249" s="23"/>
      <c r="E249" s="23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5"/>
      <c r="T249" s="23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23"/>
      <c r="AJ249" s="23"/>
    </row>
    <row r="250" spans="1:36" ht="11.25" customHeight="1" x14ac:dyDescent="0.25">
      <c r="A250" s="23"/>
      <c r="B250" s="44"/>
      <c r="C250" s="45"/>
      <c r="D250" s="23"/>
      <c r="E250" s="23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5"/>
      <c r="T250" s="23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23"/>
      <c r="AJ250" s="23"/>
    </row>
    <row r="251" spans="1:36" ht="11.25" customHeight="1" x14ac:dyDescent="0.25">
      <c r="A251" s="23"/>
      <c r="B251" s="44"/>
      <c r="C251" s="45"/>
      <c r="D251" s="23"/>
      <c r="E251" s="23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5"/>
      <c r="T251" s="23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23"/>
      <c r="AJ251" s="23"/>
    </row>
    <row r="252" spans="1:36" ht="11.25" customHeight="1" x14ac:dyDescent="0.25">
      <c r="A252" s="23"/>
      <c r="B252" s="44"/>
      <c r="C252" s="45"/>
      <c r="D252" s="23"/>
      <c r="E252" s="23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5"/>
      <c r="T252" s="23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23"/>
      <c r="AJ252" s="23"/>
    </row>
    <row r="253" spans="1:36" ht="11.25" customHeight="1" x14ac:dyDescent="0.25">
      <c r="A253" s="23"/>
      <c r="B253" s="44"/>
      <c r="C253" s="45"/>
      <c r="D253" s="23"/>
      <c r="E253" s="23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5"/>
      <c r="T253" s="23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23"/>
      <c r="AJ253" s="23"/>
    </row>
    <row r="254" spans="1:36" ht="11.25" customHeight="1" x14ac:dyDescent="0.25">
      <c r="A254" s="23"/>
      <c r="B254" s="44"/>
      <c r="C254" s="45"/>
      <c r="D254" s="23"/>
      <c r="E254" s="23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5"/>
      <c r="T254" s="23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23"/>
      <c r="AJ254" s="23"/>
    </row>
    <row r="255" spans="1:36" ht="11.25" customHeight="1" x14ac:dyDescent="0.25">
      <c r="A255" s="23"/>
      <c r="B255" s="44"/>
      <c r="C255" s="45"/>
      <c r="D255" s="23"/>
      <c r="E255" s="23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5"/>
      <c r="T255" s="23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23"/>
      <c r="AJ255" s="23"/>
    </row>
    <row r="256" spans="1:36" ht="11.25" customHeight="1" x14ac:dyDescent="0.25">
      <c r="A256" s="23"/>
      <c r="B256" s="44"/>
      <c r="C256" s="45"/>
      <c r="D256" s="23"/>
      <c r="E256" s="23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5"/>
      <c r="T256" s="23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23"/>
      <c r="AJ256" s="23"/>
    </row>
    <row r="257" spans="1:36" ht="11.25" customHeight="1" x14ac:dyDescent="0.25">
      <c r="A257" s="23"/>
      <c r="B257" s="44"/>
      <c r="C257" s="45"/>
      <c r="D257" s="23"/>
      <c r="E257" s="23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5"/>
      <c r="T257" s="23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23"/>
      <c r="AJ257" s="23"/>
    </row>
    <row r="258" spans="1:36" ht="11.25" customHeight="1" x14ac:dyDescent="0.25">
      <c r="A258" s="23"/>
      <c r="B258" s="44"/>
      <c r="C258" s="45"/>
      <c r="D258" s="23"/>
      <c r="E258" s="23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5"/>
      <c r="T258" s="23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23"/>
      <c r="AJ258" s="23"/>
    </row>
    <row r="259" spans="1:36" ht="11.25" customHeight="1" x14ac:dyDescent="0.25">
      <c r="A259" s="23"/>
      <c r="B259" s="44"/>
      <c r="C259" s="45"/>
      <c r="D259" s="23"/>
      <c r="E259" s="23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5"/>
      <c r="T259" s="23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23"/>
      <c r="AJ259" s="23"/>
    </row>
    <row r="260" spans="1:36" ht="11.25" customHeight="1" x14ac:dyDescent="0.25">
      <c r="A260" s="23"/>
      <c r="B260" s="44"/>
      <c r="C260" s="45"/>
      <c r="D260" s="23"/>
      <c r="E260" s="23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5"/>
      <c r="T260" s="23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23"/>
      <c r="AJ260" s="23"/>
    </row>
    <row r="261" spans="1:36" ht="11.25" customHeight="1" x14ac:dyDescent="0.25">
      <c r="A261" s="23"/>
      <c r="B261" s="44"/>
      <c r="C261" s="45"/>
      <c r="D261" s="23"/>
      <c r="E261" s="23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5"/>
      <c r="T261" s="23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23"/>
      <c r="AJ261" s="23"/>
    </row>
    <row r="262" spans="1:36" ht="11.25" customHeight="1" x14ac:dyDescent="0.25">
      <c r="A262" s="23"/>
      <c r="B262" s="44"/>
      <c r="C262" s="45"/>
      <c r="D262" s="23"/>
      <c r="E262" s="23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5"/>
      <c r="T262" s="23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23"/>
      <c r="AJ262" s="23"/>
    </row>
    <row r="263" spans="1:36" ht="11.25" customHeight="1" x14ac:dyDescent="0.25">
      <c r="A263" s="23"/>
      <c r="B263" s="44"/>
      <c r="C263" s="45"/>
      <c r="D263" s="23"/>
      <c r="E263" s="23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5"/>
      <c r="T263" s="23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23"/>
      <c r="AJ263" s="23"/>
    </row>
    <row r="264" spans="1:36" ht="11.25" customHeight="1" x14ac:dyDescent="0.25">
      <c r="A264" s="23"/>
      <c r="B264" s="44"/>
      <c r="C264" s="45"/>
      <c r="D264" s="23"/>
      <c r="E264" s="23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5"/>
      <c r="T264" s="23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23"/>
      <c r="AJ264" s="23"/>
    </row>
    <row r="265" spans="1:36" ht="11.25" customHeight="1" x14ac:dyDescent="0.25">
      <c r="A265" s="23"/>
      <c r="B265" s="44"/>
      <c r="C265" s="45"/>
      <c r="D265" s="23"/>
      <c r="E265" s="23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5"/>
      <c r="T265" s="23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23"/>
      <c r="AJ265" s="23"/>
    </row>
    <row r="266" spans="1:36" ht="11.25" customHeight="1" x14ac:dyDescent="0.25">
      <c r="A266" s="23"/>
      <c r="B266" s="44"/>
      <c r="C266" s="45"/>
      <c r="D266" s="23"/>
      <c r="E266" s="23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5"/>
      <c r="T266" s="23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23"/>
      <c r="AJ266" s="23"/>
    </row>
    <row r="267" spans="1:36" ht="11.25" customHeight="1" x14ac:dyDescent="0.25">
      <c r="A267" s="23"/>
      <c r="B267" s="44"/>
      <c r="C267" s="45"/>
      <c r="D267" s="23"/>
      <c r="E267" s="23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5"/>
      <c r="T267" s="23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23"/>
      <c r="AJ267" s="23"/>
    </row>
    <row r="268" spans="1:36" ht="11.25" customHeight="1" x14ac:dyDescent="0.25">
      <c r="A268" s="23"/>
      <c r="B268" s="44"/>
      <c r="C268" s="45"/>
      <c r="D268" s="23"/>
      <c r="E268" s="23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5"/>
      <c r="T268" s="23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23"/>
      <c r="AJ268" s="23"/>
    </row>
    <row r="269" spans="1:36" ht="11.25" customHeight="1" x14ac:dyDescent="0.25">
      <c r="A269" s="23"/>
      <c r="B269" s="44"/>
      <c r="C269" s="45"/>
      <c r="D269" s="23"/>
      <c r="E269" s="23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5"/>
      <c r="T269" s="23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23"/>
      <c r="AJ269" s="23"/>
    </row>
    <row r="270" spans="1:36" ht="11.25" customHeight="1" x14ac:dyDescent="0.25">
      <c r="A270" s="23"/>
      <c r="B270" s="44"/>
      <c r="C270" s="45"/>
      <c r="D270" s="23"/>
      <c r="E270" s="23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5"/>
      <c r="T270" s="23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23"/>
      <c r="AJ270" s="23"/>
    </row>
    <row r="271" spans="1:36" ht="11.25" customHeight="1" x14ac:dyDescent="0.25">
      <c r="A271" s="23"/>
      <c r="B271" s="44"/>
      <c r="C271" s="45"/>
      <c r="D271" s="23"/>
      <c r="E271" s="23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5"/>
      <c r="T271" s="23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23"/>
      <c r="AJ271" s="23"/>
    </row>
    <row r="272" spans="1:36" ht="11.25" customHeight="1" x14ac:dyDescent="0.25">
      <c r="A272" s="23"/>
      <c r="B272" s="44"/>
      <c r="C272" s="45"/>
      <c r="D272" s="23"/>
      <c r="E272" s="23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5"/>
      <c r="T272" s="23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23"/>
      <c r="AJ272" s="23"/>
    </row>
    <row r="273" spans="1:36" ht="11.25" customHeight="1" x14ac:dyDescent="0.25">
      <c r="A273" s="23"/>
      <c r="B273" s="44"/>
      <c r="C273" s="45"/>
      <c r="D273" s="23"/>
      <c r="E273" s="23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5"/>
      <c r="T273" s="23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23"/>
      <c r="AJ273" s="23"/>
    </row>
    <row r="274" spans="1:36" ht="11.25" customHeight="1" x14ac:dyDescent="0.25">
      <c r="A274" s="23"/>
      <c r="B274" s="44"/>
      <c r="C274" s="45"/>
      <c r="D274" s="23"/>
      <c r="E274" s="23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5"/>
      <c r="T274" s="23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23"/>
      <c r="AJ274" s="23"/>
    </row>
    <row r="275" spans="1:36" ht="11.25" customHeight="1" x14ac:dyDescent="0.25">
      <c r="A275" s="23"/>
      <c r="B275" s="44"/>
      <c r="C275" s="45"/>
      <c r="D275" s="23"/>
      <c r="E275" s="23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5"/>
      <c r="T275" s="23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23"/>
      <c r="AJ275" s="23"/>
    </row>
    <row r="276" spans="1:36" ht="11.25" customHeight="1" x14ac:dyDescent="0.25">
      <c r="A276" s="23"/>
      <c r="B276" s="44"/>
      <c r="C276" s="45"/>
      <c r="D276" s="23"/>
      <c r="E276" s="23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5"/>
      <c r="T276" s="23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23"/>
      <c r="AJ276" s="23"/>
    </row>
    <row r="277" spans="1:36" ht="11.25" customHeight="1" x14ac:dyDescent="0.25">
      <c r="A277" s="23"/>
      <c r="B277" s="44"/>
      <c r="C277" s="45"/>
      <c r="D277" s="23"/>
      <c r="E277" s="23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5"/>
      <c r="T277" s="23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23"/>
      <c r="AJ277" s="23"/>
    </row>
    <row r="278" spans="1:36" ht="11.25" customHeight="1" x14ac:dyDescent="0.25">
      <c r="A278" s="23"/>
      <c r="B278" s="44"/>
      <c r="C278" s="45"/>
      <c r="D278" s="23"/>
      <c r="E278" s="23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5"/>
      <c r="T278" s="23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23"/>
      <c r="AJ278" s="23"/>
    </row>
    <row r="279" spans="1:36" ht="11.25" customHeight="1" x14ac:dyDescent="0.25">
      <c r="A279" s="23"/>
      <c r="B279" s="44"/>
      <c r="C279" s="45"/>
      <c r="D279" s="23"/>
      <c r="E279" s="23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5"/>
      <c r="T279" s="23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23"/>
      <c r="AJ279" s="23"/>
    </row>
    <row r="280" spans="1:36" ht="11.25" customHeight="1" x14ac:dyDescent="0.25">
      <c r="A280" s="23"/>
      <c r="B280" s="44"/>
      <c r="C280" s="45"/>
      <c r="D280" s="23"/>
      <c r="E280" s="23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5"/>
      <c r="T280" s="23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23"/>
      <c r="AJ280" s="23"/>
    </row>
    <row r="281" spans="1:36" ht="11.25" customHeight="1" x14ac:dyDescent="0.25">
      <c r="A281" s="23"/>
      <c r="B281" s="44"/>
      <c r="C281" s="45"/>
      <c r="D281" s="23"/>
      <c r="E281" s="23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5"/>
      <c r="T281" s="23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23"/>
      <c r="AJ281" s="23"/>
    </row>
    <row r="282" spans="1:36" ht="11.25" customHeight="1" x14ac:dyDescent="0.25">
      <c r="A282" s="23"/>
      <c r="B282" s="44"/>
      <c r="C282" s="45"/>
      <c r="D282" s="23"/>
      <c r="E282" s="23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5"/>
      <c r="T282" s="23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23"/>
      <c r="AJ282" s="23"/>
    </row>
    <row r="283" spans="1:36" ht="11.25" customHeight="1" x14ac:dyDescent="0.25">
      <c r="A283" s="23"/>
      <c r="B283" s="44"/>
      <c r="C283" s="45"/>
      <c r="D283" s="23"/>
      <c r="E283" s="23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5"/>
      <c r="T283" s="23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23"/>
      <c r="AJ283" s="23"/>
    </row>
    <row r="284" spans="1:36" ht="11.25" customHeight="1" x14ac:dyDescent="0.25">
      <c r="A284" s="23"/>
      <c r="B284" s="44"/>
      <c r="C284" s="45"/>
      <c r="D284" s="23"/>
      <c r="E284" s="23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5"/>
      <c r="T284" s="23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23"/>
      <c r="AJ284" s="23"/>
    </row>
    <row r="285" spans="1:36" ht="11.25" customHeight="1" x14ac:dyDescent="0.25">
      <c r="A285" s="23"/>
      <c r="B285" s="44"/>
      <c r="C285" s="45"/>
      <c r="D285" s="23"/>
      <c r="E285" s="23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5"/>
      <c r="T285" s="23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23"/>
      <c r="AJ285" s="23"/>
    </row>
    <row r="286" spans="1:36" ht="11.25" customHeight="1" x14ac:dyDescent="0.25">
      <c r="A286" s="23"/>
      <c r="B286" s="44"/>
      <c r="C286" s="45"/>
      <c r="D286" s="23"/>
      <c r="E286" s="23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5"/>
      <c r="T286" s="23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23"/>
      <c r="AJ286" s="23"/>
    </row>
    <row r="287" spans="1:36" ht="11.25" customHeight="1" x14ac:dyDescent="0.25">
      <c r="A287" s="23"/>
      <c r="B287" s="44"/>
      <c r="C287" s="45"/>
      <c r="D287" s="23"/>
      <c r="E287" s="23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5"/>
      <c r="T287" s="23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23"/>
      <c r="AJ287" s="23"/>
    </row>
    <row r="288" spans="1:36" ht="11.25" customHeight="1" x14ac:dyDescent="0.25">
      <c r="A288" s="23"/>
      <c r="B288" s="44"/>
      <c r="C288" s="45"/>
      <c r="D288" s="23"/>
      <c r="E288" s="23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5"/>
      <c r="T288" s="23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23"/>
      <c r="AJ288" s="23"/>
    </row>
    <row r="289" spans="1:36" ht="11.25" customHeight="1" x14ac:dyDescent="0.25">
      <c r="A289" s="23"/>
      <c r="B289" s="44"/>
      <c r="C289" s="45"/>
      <c r="D289" s="23"/>
      <c r="E289" s="23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5"/>
      <c r="T289" s="23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23"/>
      <c r="AJ289" s="23"/>
    </row>
    <row r="290" spans="1:36" ht="11.25" customHeight="1" x14ac:dyDescent="0.25">
      <c r="A290" s="23"/>
      <c r="B290" s="44"/>
      <c r="C290" s="45"/>
      <c r="D290" s="23"/>
      <c r="E290" s="23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5"/>
      <c r="T290" s="23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23"/>
      <c r="AJ290" s="23"/>
    </row>
    <row r="291" spans="1:36" ht="11.25" customHeight="1" x14ac:dyDescent="0.25">
      <c r="A291" s="23"/>
      <c r="B291" s="44"/>
      <c r="C291" s="45"/>
      <c r="D291" s="23"/>
      <c r="E291" s="23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5"/>
      <c r="T291" s="23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23"/>
      <c r="AJ291" s="23"/>
    </row>
    <row r="292" spans="1:36" ht="11.25" customHeight="1" x14ac:dyDescent="0.25">
      <c r="A292" s="23"/>
      <c r="B292" s="44"/>
      <c r="C292" s="45"/>
      <c r="D292" s="23"/>
      <c r="E292" s="23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5"/>
      <c r="T292" s="23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23"/>
      <c r="AJ292" s="23"/>
    </row>
    <row r="293" spans="1:36" ht="11.25" customHeight="1" x14ac:dyDescent="0.25">
      <c r="A293" s="23"/>
      <c r="B293" s="44"/>
      <c r="C293" s="45"/>
      <c r="D293" s="23"/>
      <c r="E293" s="23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5"/>
      <c r="T293" s="23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23"/>
      <c r="AJ293" s="23"/>
    </row>
    <row r="294" spans="1:36" ht="11.25" customHeight="1" x14ac:dyDescent="0.25">
      <c r="A294" s="23"/>
      <c r="B294" s="44"/>
      <c r="C294" s="45"/>
      <c r="D294" s="23"/>
      <c r="E294" s="23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5"/>
      <c r="T294" s="23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23"/>
      <c r="AJ294" s="23"/>
    </row>
    <row r="295" spans="1:36" ht="11.25" customHeight="1" x14ac:dyDescent="0.25">
      <c r="A295" s="23"/>
      <c r="B295" s="44"/>
      <c r="C295" s="45"/>
      <c r="D295" s="23"/>
      <c r="E295" s="23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5"/>
      <c r="T295" s="23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23"/>
      <c r="AJ295" s="23"/>
    </row>
    <row r="296" spans="1:36" ht="11.25" customHeight="1" x14ac:dyDescent="0.25">
      <c r="A296" s="23"/>
      <c r="B296" s="44"/>
      <c r="C296" s="45"/>
      <c r="D296" s="23"/>
      <c r="E296" s="23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5"/>
      <c r="T296" s="23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23"/>
      <c r="AJ296" s="23"/>
    </row>
    <row r="297" spans="1:36" ht="11.25" customHeight="1" x14ac:dyDescent="0.25">
      <c r="A297" s="23"/>
      <c r="B297" s="44"/>
      <c r="C297" s="45"/>
      <c r="D297" s="23"/>
      <c r="E297" s="23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5"/>
      <c r="T297" s="23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23"/>
      <c r="AJ297" s="23"/>
    </row>
    <row r="298" spans="1:36" ht="11.25" customHeight="1" x14ac:dyDescent="0.25">
      <c r="A298" s="23"/>
      <c r="B298" s="44"/>
      <c r="C298" s="45"/>
      <c r="D298" s="23"/>
      <c r="E298" s="23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5"/>
      <c r="T298" s="23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23"/>
      <c r="AJ298" s="23"/>
    </row>
    <row r="299" spans="1:36" ht="11.25" customHeight="1" x14ac:dyDescent="0.25">
      <c r="A299" s="23"/>
      <c r="B299" s="44"/>
      <c r="C299" s="45"/>
      <c r="D299" s="23"/>
      <c r="E299" s="23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5"/>
      <c r="T299" s="23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23"/>
      <c r="AJ299" s="23"/>
    </row>
    <row r="300" spans="1:36" ht="11.25" customHeight="1" x14ac:dyDescent="0.25">
      <c r="A300" s="23"/>
      <c r="B300" s="44"/>
      <c r="C300" s="45"/>
      <c r="D300" s="23"/>
      <c r="E300" s="23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5"/>
      <c r="T300" s="23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23"/>
      <c r="AJ300" s="23"/>
    </row>
    <row r="301" spans="1:36" ht="11.25" customHeight="1" x14ac:dyDescent="0.25">
      <c r="A301" s="23"/>
      <c r="B301" s="44"/>
      <c r="C301" s="45"/>
      <c r="D301" s="23"/>
      <c r="E301" s="23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5"/>
      <c r="T301" s="23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23"/>
      <c r="AJ301" s="23"/>
    </row>
    <row r="302" spans="1:36" ht="11.25" customHeight="1" x14ac:dyDescent="0.25">
      <c r="A302" s="23"/>
      <c r="B302" s="44"/>
      <c r="C302" s="45"/>
      <c r="D302" s="23"/>
      <c r="E302" s="23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5"/>
      <c r="T302" s="23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23"/>
      <c r="AJ302" s="23"/>
    </row>
    <row r="303" spans="1:36" ht="11.25" customHeight="1" x14ac:dyDescent="0.25">
      <c r="A303" s="23"/>
      <c r="B303" s="44"/>
      <c r="C303" s="45"/>
      <c r="D303" s="23"/>
      <c r="E303" s="23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5"/>
      <c r="T303" s="23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23"/>
      <c r="AJ303" s="23"/>
    </row>
    <row r="304" spans="1:36" ht="11.25" customHeight="1" x14ac:dyDescent="0.25">
      <c r="A304" s="23"/>
      <c r="B304" s="44"/>
      <c r="C304" s="45"/>
      <c r="D304" s="23"/>
      <c r="E304" s="23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5"/>
      <c r="T304" s="23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23"/>
      <c r="AJ304" s="23"/>
    </row>
    <row r="305" spans="1:36" ht="11.25" customHeight="1" x14ac:dyDescent="0.25">
      <c r="A305" s="23"/>
      <c r="B305" s="44"/>
      <c r="C305" s="45"/>
      <c r="D305" s="23"/>
      <c r="E305" s="23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5"/>
      <c r="T305" s="23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23"/>
      <c r="AJ305" s="23"/>
    </row>
    <row r="306" spans="1:36" ht="11.25" customHeight="1" x14ac:dyDescent="0.25">
      <c r="A306" s="23"/>
      <c r="B306" s="44"/>
      <c r="C306" s="45"/>
      <c r="D306" s="23"/>
      <c r="E306" s="23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5"/>
      <c r="T306" s="23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23"/>
      <c r="AJ306" s="23"/>
    </row>
    <row r="307" spans="1:36" ht="11.25" customHeight="1" x14ac:dyDescent="0.25">
      <c r="A307" s="23"/>
      <c r="B307" s="44"/>
      <c r="C307" s="45"/>
      <c r="D307" s="23"/>
      <c r="E307" s="23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5"/>
      <c r="T307" s="23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23"/>
      <c r="AJ307" s="23"/>
    </row>
    <row r="308" spans="1:36" ht="11.25" customHeight="1" x14ac:dyDescent="0.25">
      <c r="A308" s="23"/>
      <c r="B308" s="44"/>
      <c r="C308" s="45"/>
      <c r="D308" s="23"/>
      <c r="E308" s="23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5"/>
      <c r="T308" s="23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23"/>
      <c r="AJ308" s="23"/>
    </row>
    <row r="309" spans="1:36" ht="11.25" customHeight="1" x14ac:dyDescent="0.25">
      <c r="A309" s="23"/>
      <c r="B309" s="44"/>
      <c r="C309" s="45"/>
      <c r="D309" s="23"/>
      <c r="E309" s="23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5"/>
      <c r="T309" s="23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23"/>
      <c r="AJ309" s="23"/>
    </row>
    <row r="310" spans="1:36" ht="11.25" customHeight="1" x14ac:dyDescent="0.25">
      <c r="A310" s="23"/>
      <c r="B310" s="44"/>
      <c r="C310" s="45"/>
      <c r="D310" s="23"/>
      <c r="E310" s="23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5"/>
      <c r="T310" s="23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23"/>
      <c r="AJ310" s="23"/>
    </row>
    <row r="311" spans="1:36" ht="11.25" customHeight="1" x14ac:dyDescent="0.25">
      <c r="A311" s="23"/>
      <c r="B311" s="44"/>
      <c r="C311" s="45"/>
      <c r="D311" s="23"/>
      <c r="E311" s="23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5"/>
      <c r="T311" s="23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23"/>
      <c r="AJ311" s="23"/>
    </row>
    <row r="312" spans="1:36" ht="11.25" customHeight="1" x14ac:dyDescent="0.25">
      <c r="A312" s="23"/>
      <c r="B312" s="44"/>
      <c r="C312" s="45"/>
      <c r="D312" s="23"/>
      <c r="E312" s="23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5"/>
      <c r="T312" s="23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23"/>
      <c r="AJ312" s="23"/>
    </row>
    <row r="313" spans="1:36" ht="11.25" customHeight="1" x14ac:dyDescent="0.25">
      <c r="A313" s="23"/>
      <c r="B313" s="44"/>
      <c r="C313" s="45"/>
      <c r="D313" s="23"/>
      <c r="E313" s="23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5"/>
      <c r="T313" s="23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23"/>
      <c r="AJ313" s="23"/>
    </row>
    <row r="314" spans="1:36" ht="11.25" customHeight="1" x14ac:dyDescent="0.25">
      <c r="A314" s="23"/>
      <c r="B314" s="44"/>
      <c r="C314" s="45"/>
      <c r="D314" s="23"/>
      <c r="E314" s="23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5"/>
      <c r="T314" s="23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23"/>
      <c r="AJ314" s="23"/>
    </row>
    <row r="315" spans="1:36" ht="11.25" customHeight="1" x14ac:dyDescent="0.25">
      <c r="A315" s="23"/>
      <c r="B315" s="44"/>
      <c r="C315" s="45"/>
      <c r="D315" s="23"/>
      <c r="E315" s="23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5"/>
      <c r="T315" s="23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23"/>
      <c r="AJ315" s="23"/>
    </row>
    <row r="316" spans="1:36" ht="11.25" customHeight="1" x14ac:dyDescent="0.25">
      <c r="A316" s="23"/>
      <c r="B316" s="44"/>
      <c r="C316" s="45"/>
      <c r="D316" s="23"/>
      <c r="E316" s="23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5"/>
      <c r="T316" s="23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23"/>
      <c r="AJ316" s="23"/>
    </row>
    <row r="317" spans="1:36" ht="11.25" customHeight="1" x14ac:dyDescent="0.25">
      <c r="A317" s="23"/>
      <c r="B317" s="44"/>
      <c r="C317" s="45"/>
      <c r="D317" s="23"/>
      <c r="E317" s="23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5"/>
      <c r="T317" s="23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23"/>
      <c r="AJ317" s="23"/>
    </row>
    <row r="318" spans="1:36" ht="11.25" customHeight="1" x14ac:dyDescent="0.25">
      <c r="A318" s="23"/>
      <c r="B318" s="44"/>
      <c r="C318" s="45"/>
      <c r="D318" s="23"/>
      <c r="E318" s="23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5"/>
      <c r="T318" s="23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23"/>
      <c r="AJ318" s="23"/>
    </row>
    <row r="319" spans="1:36" ht="11.25" customHeight="1" x14ac:dyDescent="0.25">
      <c r="A319" s="23"/>
      <c r="B319" s="44"/>
      <c r="C319" s="45"/>
      <c r="D319" s="23"/>
      <c r="E319" s="23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5"/>
      <c r="T319" s="23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23"/>
      <c r="AJ319" s="23"/>
    </row>
    <row r="320" spans="1:36" ht="11.25" customHeight="1" x14ac:dyDescent="0.25">
      <c r="A320" s="23"/>
      <c r="B320" s="44"/>
      <c r="C320" s="45"/>
      <c r="D320" s="23"/>
      <c r="E320" s="23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5"/>
      <c r="T320" s="23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23"/>
      <c r="AJ320" s="23"/>
    </row>
    <row r="321" spans="1:36" ht="11.25" customHeight="1" x14ac:dyDescent="0.25">
      <c r="A321" s="23"/>
      <c r="B321" s="44"/>
      <c r="C321" s="45"/>
      <c r="D321" s="23"/>
      <c r="E321" s="23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5"/>
      <c r="T321" s="23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23"/>
      <c r="AJ321" s="23"/>
    </row>
    <row r="322" spans="1:36" ht="11.25" customHeight="1" x14ac:dyDescent="0.25">
      <c r="A322" s="23"/>
      <c r="B322" s="44"/>
      <c r="C322" s="45"/>
      <c r="D322" s="23"/>
      <c r="E322" s="23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5"/>
      <c r="T322" s="23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23"/>
      <c r="AJ322" s="23"/>
    </row>
    <row r="323" spans="1:36" ht="11.25" customHeight="1" x14ac:dyDescent="0.25">
      <c r="A323" s="23"/>
      <c r="B323" s="44"/>
      <c r="C323" s="45"/>
      <c r="D323" s="23"/>
      <c r="E323" s="23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5"/>
      <c r="T323" s="23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23"/>
      <c r="AJ323" s="23"/>
    </row>
    <row r="324" spans="1:36" ht="11.25" customHeight="1" x14ac:dyDescent="0.25">
      <c r="A324" s="23"/>
      <c r="B324" s="44"/>
      <c r="C324" s="45"/>
      <c r="D324" s="23"/>
      <c r="E324" s="23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5"/>
      <c r="T324" s="23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23"/>
      <c r="AJ324" s="23"/>
    </row>
    <row r="325" spans="1:36" ht="11.25" customHeight="1" x14ac:dyDescent="0.25">
      <c r="A325" s="23"/>
      <c r="B325" s="44"/>
      <c r="C325" s="45"/>
      <c r="D325" s="23"/>
      <c r="E325" s="23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5"/>
      <c r="T325" s="23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23"/>
      <c r="AJ325" s="23"/>
    </row>
    <row r="326" spans="1:36" ht="11.25" customHeight="1" x14ac:dyDescent="0.25">
      <c r="A326" s="23"/>
      <c r="B326" s="44"/>
      <c r="C326" s="45"/>
      <c r="D326" s="23"/>
      <c r="E326" s="23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5"/>
      <c r="T326" s="23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23"/>
      <c r="AJ326" s="23"/>
    </row>
    <row r="327" spans="1:36" ht="11.25" customHeight="1" x14ac:dyDescent="0.25">
      <c r="A327" s="23"/>
      <c r="B327" s="44"/>
      <c r="C327" s="45"/>
      <c r="D327" s="23"/>
      <c r="E327" s="23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5"/>
      <c r="T327" s="23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23"/>
      <c r="AJ327" s="23"/>
    </row>
    <row r="328" spans="1:36" ht="11.25" customHeight="1" x14ac:dyDescent="0.25">
      <c r="A328" s="23"/>
      <c r="B328" s="44"/>
      <c r="C328" s="45"/>
      <c r="D328" s="23"/>
      <c r="E328" s="23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5"/>
      <c r="T328" s="23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23"/>
      <c r="AJ328" s="23"/>
    </row>
    <row r="329" spans="1:36" ht="11.25" customHeight="1" x14ac:dyDescent="0.25">
      <c r="A329" s="23"/>
      <c r="B329" s="44"/>
      <c r="C329" s="45"/>
      <c r="D329" s="23"/>
      <c r="E329" s="23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5"/>
      <c r="T329" s="23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23"/>
      <c r="AJ329" s="23"/>
    </row>
    <row r="330" spans="1:36" ht="11.25" customHeight="1" x14ac:dyDescent="0.25">
      <c r="A330" s="23"/>
      <c r="B330" s="44"/>
      <c r="C330" s="45"/>
      <c r="D330" s="23"/>
      <c r="E330" s="23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5"/>
      <c r="T330" s="23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23"/>
      <c r="AJ330" s="23"/>
    </row>
    <row r="331" spans="1:36" ht="11.25" customHeight="1" x14ac:dyDescent="0.25">
      <c r="A331" s="23"/>
      <c r="B331" s="44"/>
      <c r="C331" s="45"/>
      <c r="D331" s="23"/>
      <c r="E331" s="23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5"/>
      <c r="T331" s="23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23"/>
      <c r="AJ331" s="23"/>
    </row>
    <row r="332" spans="1:36" ht="11.25" customHeight="1" x14ac:dyDescent="0.25">
      <c r="A332" s="23"/>
      <c r="B332" s="44"/>
      <c r="C332" s="45"/>
      <c r="D332" s="23"/>
      <c r="E332" s="23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5"/>
      <c r="T332" s="23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23"/>
      <c r="AJ332" s="23"/>
    </row>
    <row r="333" spans="1:36" ht="11.25" customHeight="1" x14ac:dyDescent="0.25">
      <c r="A333" s="23"/>
      <c r="B333" s="44"/>
      <c r="C333" s="45"/>
      <c r="D333" s="23"/>
      <c r="E333" s="23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5"/>
      <c r="T333" s="23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23"/>
      <c r="AJ333" s="23"/>
    </row>
    <row r="334" spans="1:36" ht="11.25" customHeight="1" x14ac:dyDescent="0.25">
      <c r="A334" s="23"/>
      <c r="B334" s="44"/>
      <c r="C334" s="45"/>
      <c r="D334" s="23"/>
      <c r="E334" s="23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5"/>
      <c r="T334" s="23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23"/>
      <c r="AJ334" s="23"/>
    </row>
    <row r="335" spans="1:36" ht="11.25" customHeight="1" x14ac:dyDescent="0.25">
      <c r="A335" s="23"/>
      <c r="B335" s="44"/>
      <c r="C335" s="45"/>
      <c r="D335" s="23"/>
      <c r="E335" s="23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5"/>
      <c r="T335" s="23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23"/>
      <c r="AJ335" s="23"/>
    </row>
    <row r="336" spans="1:36" ht="11.25" customHeight="1" x14ac:dyDescent="0.25">
      <c r="A336" s="23"/>
      <c r="B336" s="44"/>
      <c r="C336" s="45"/>
      <c r="D336" s="23"/>
      <c r="E336" s="23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5"/>
      <c r="T336" s="23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23"/>
      <c r="AJ336" s="23"/>
    </row>
    <row r="337" spans="1:36" ht="11.25" customHeight="1" x14ac:dyDescent="0.25">
      <c r="A337" s="23"/>
      <c r="B337" s="44"/>
      <c r="C337" s="45"/>
      <c r="D337" s="23"/>
      <c r="E337" s="23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5"/>
      <c r="T337" s="23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23"/>
      <c r="AJ337" s="23"/>
    </row>
    <row r="338" spans="1:36" ht="11.25" customHeight="1" x14ac:dyDescent="0.25">
      <c r="A338" s="23"/>
      <c r="B338" s="44"/>
      <c r="C338" s="45"/>
      <c r="D338" s="23"/>
      <c r="E338" s="23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5"/>
      <c r="T338" s="23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23"/>
      <c r="AJ338" s="23"/>
    </row>
    <row r="339" spans="1:36" ht="11.25" customHeight="1" x14ac:dyDescent="0.25">
      <c r="A339" s="23"/>
      <c r="B339" s="44"/>
      <c r="C339" s="45"/>
      <c r="D339" s="23"/>
      <c r="E339" s="23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5"/>
      <c r="T339" s="23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23"/>
      <c r="AJ339" s="23"/>
    </row>
    <row r="340" spans="1:36" ht="11.25" customHeight="1" x14ac:dyDescent="0.25">
      <c r="A340" s="23"/>
      <c r="B340" s="44"/>
      <c r="C340" s="45"/>
      <c r="D340" s="23"/>
      <c r="E340" s="23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5"/>
      <c r="T340" s="23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23"/>
      <c r="AJ340" s="23"/>
    </row>
    <row r="341" spans="1:36" ht="11.25" customHeight="1" x14ac:dyDescent="0.25">
      <c r="A341" s="23"/>
      <c r="B341" s="44"/>
      <c r="C341" s="45"/>
      <c r="D341" s="23"/>
      <c r="E341" s="23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5"/>
      <c r="T341" s="23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23"/>
      <c r="AJ341" s="23"/>
    </row>
    <row r="342" spans="1:36" ht="11.25" customHeight="1" x14ac:dyDescent="0.25">
      <c r="A342" s="23"/>
      <c r="B342" s="44"/>
      <c r="C342" s="45"/>
      <c r="D342" s="23"/>
      <c r="E342" s="23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5"/>
      <c r="T342" s="23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23"/>
      <c r="AJ342" s="23"/>
    </row>
    <row r="343" spans="1:36" ht="11.25" customHeight="1" x14ac:dyDescent="0.25">
      <c r="A343" s="23"/>
      <c r="B343" s="44"/>
      <c r="C343" s="45"/>
      <c r="D343" s="23"/>
      <c r="E343" s="23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5"/>
      <c r="T343" s="23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23"/>
      <c r="AJ343" s="23"/>
    </row>
    <row r="344" spans="1:36" ht="11.25" customHeight="1" x14ac:dyDescent="0.25">
      <c r="A344" s="23"/>
      <c r="B344" s="44"/>
      <c r="C344" s="45"/>
      <c r="D344" s="23"/>
      <c r="E344" s="23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5"/>
      <c r="T344" s="23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23"/>
      <c r="AJ344" s="23"/>
    </row>
    <row r="345" spans="1:36" ht="11.25" customHeight="1" x14ac:dyDescent="0.25">
      <c r="A345" s="23"/>
      <c r="B345" s="44"/>
      <c r="C345" s="45"/>
      <c r="D345" s="23"/>
      <c r="E345" s="23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5"/>
      <c r="T345" s="23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23"/>
      <c r="AJ345" s="23"/>
    </row>
    <row r="346" spans="1:36" ht="11.25" customHeight="1" x14ac:dyDescent="0.25">
      <c r="A346" s="23"/>
      <c r="B346" s="44"/>
      <c r="C346" s="45"/>
      <c r="D346" s="23"/>
      <c r="E346" s="23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5"/>
      <c r="T346" s="23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23"/>
      <c r="AJ346" s="23"/>
    </row>
    <row r="347" spans="1:36" ht="11.25" customHeight="1" x14ac:dyDescent="0.25">
      <c r="A347" s="23"/>
      <c r="B347" s="44"/>
      <c r="C347" s="45"/>
      <c r="D347" s="23"/>
      <c r="E347" s="23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5"/>
      <c r="T347" s="23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23"/>
      <c r="AJ347" s="23"/>
    </row>
    <row r="348" spans="1:36" ht="11.25" customHeight="1" x14ac:dyDescent="0.25">
      <c r="A348" s="23"/>
      <c r="B348" s="44"/>
      <c r="C348" s="45"/>
      <c r="D348" s="23"/>
      <c r="E348" s="23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5"/>
      <c r="T348" s="23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23"/>
      <c r="AJ348" s="23"/>
    </row>
    <row r="349" spans="1:36" ht="11.25" customHeight="1" x14ac:dyDescent="0.25">
      <c r="A349" s="23"/>
      <c r="B349" s="44"/>
      <c r="C349" s="45"/>
      <c r="D349" s="23"/>
      <c r="E349" s="23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5"/>
      <c r="T349" s="23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23"/>
      <c r="AJ349" s="23"/>
    </row>
    <row r="350" spans="1:36" ht="11.25" customHeight="1" x14ac:dyDescent="0.25">
      <c r="A350" s="23"/>
      <c r="B350" s="44"/>
      <c r="C350" s="45"/>
      <c r="D350" s="23"/>
      <c r="E350" s="23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5"/>
      <c r="T350" s="23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23"/>
      <c r="AJ350" s="23"/>
    </row>
    <row r="351" spans="1:36" ht="11.25" customHeight="1" x14ac:dyDescent="0.25">
      <c r="A351" s="23"/>
      <c r="B351" s="44"/>
      <c r="C351" s="45"/>
      <c r="D351" s="23"/>
      <c r="E351" s="23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5"/>
      <c r="T351" s="23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23"/>
      <c r="AJ351" s="23"/>
    </row>
    <row r="352" spans="1:36" ht="11.25" customHeight="1" x14ac:dyDescent="0.25">
      <c r="A352" s="23"/>
      <c r="B352" s="44"/>
      <c r="C352" s="45"/>
      <c r="D352" s="23"/>
      <c r="E352" s="23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5"/>
      <c r="T352" s="23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23"/>
      <c r="AJ352" s="23"/>
    </row>
    <row r="353" spans="1:36" ht="11.25" customHeight="1" x14ac:dyDescent="0.25">
      <c r="A353" s="23"/>
      <c r="B353" s="44"/>
      <c r="C353" s="45"/>
      <c r="D353" s="23"/>
      <c r="E353" s="23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5"/>
      <c r="T353" s="23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23"/>
      <c r="AJ353" s="23"/>
    </row>
    <row r="354" spans="1:36" ht="11.25" customHeight="1" x14ac:dyDescent="0.25">
      <c r="A354" s="23"/>
      <c r="B354" s="44"/>
      <c r="C354" s="45"/>
      <c r="D354" s="23"/>
      <c r="E354" s="23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5"/>
      <c r="T354" s="23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23"/>
      <c r="AJ354" s="23"/>
    </row>
    <row r="355" spans="1:36" ht="11.25" customHeight="1" x14ac:dyDescent="0.25">
      <c r="A355" s="23"/>
      <c r="B355" s="44"/>
      <c r="C355" s="45"/>
      <c r="D355" s="23"/>
      <c r="E355" s="23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5"/>
      <c r="T355" s="23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23"/>
      <c r="AJ355" s="23"/>
    </row>
    <row r="356" spans="1:36" ht="11.25" customHeight="1" x14ac:dyDescent="0.25">
      <c r="A356" s="23"/>
      <c r="B356" s="44"/>
      <c r="C356" s="45"/>
      <c r="D356" s="23"/>
      <c r="E356" s="23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5"/>
      <c r="T356" s="23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23"/>
      <c r="AJ356" s="23"/>
    </row>
    <row r="357" spans="1:36" ht="11.25" customHeight="1" x14ac:dyDescent="0.25">
      <c r="A357" s="23"/>
      <c r="B357" s="44"/>
      <c r="C357" s="45"/>
      <c r="D357" s="23"/>
      <c r="E357" s="23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5"/>
      <c r="T357" s="23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23"/>
      <c r="AJ357" s="23"/>
    </row>
    <row r="358" spans="1:36" ht="11.25" customHeight="1" x14ac:dyDescent="0.25">
      <c r="A358" s="23"/>
      <c r="B358" s="44"/>
      <c r="C358" s="45"/>
      <c r="D358" s="23"/>
      <c r="E358" s="23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5"/>
      <c r="T358" s="23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23"/>
      <c r="AJ358" s="23"/>
    </row>
    <row r="359" spans="1:36" ht="11.25" customHeight="1" x14ac:dyDescent="0.25">
      <c r="A359" s="23"/>
      <c r="B359" s="44"/>
      <c r="C359" s="45"/>
      <c r="D359" s="23"/>
      <c r="E359" s="23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5"/>
      <c r="T359" s="23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23"/>
      <c r="AJ359" s="23"/>
    </row>
    <row r="360" spans="1:36" ht="11.25" customHeight="1" x14ac:dyDescent="0.25">
      <c r="A360" s="23"/>
      <c r="B360" s="44"/>
      <c r="C360" s="45"/>
      <c r="D360" s="23"/>
      <c r="E360" s="23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5"/>
      <c r="T360" s="23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23"/>
      <c r="AJ360" s="23"/>
    </row>
    <row r="361" spans="1:36" ht="11.25" customHeight="1" x14ac:dyDescent="0.25">
      <c r="A361" s="23"/>
      <c r="B361" s="44"/>
      <c r="C361" s="45"/>
      <c r="D361" s="23"/>
      <c r="E361" s="23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5"/>
      <c r="T361" s="23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23"/>
      <c r="AJ361" s="23"/>
    </row>
    <row r="362" spans="1:36" ht="11.25" customHeight="1" x14ac:dyDescent="0.25">
      <c r="A362" s="23"/>
      <c r="B362" s="44"/>
      <c r="C362" s="45"/>
      <c r="D362" s="23"/>
      <c r="E362" s="23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5"/>
      <c r="T362" s="23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23"/>
      <c r="AJ362" s="23"/>
    </row>
    <row r="363" spans="1:36" ht="11.25" customHeight="1" x14ac:dyDescent="0.25">
      <c r="A363" s="23"/>
      <c r="B363" s="44"/>
      <c r="C363" s="45"/>
      <c r="D363" s="23"/>
      <c r="E363" s="23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5"/>
      <c r="T363" s="23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23"/>
      <c r="AJ363" s="23"/>
    </row>
    <row r="364" spans="1:36" ht="11.25" customHeight="1" x14ac:dyDescent="0.25">
      <c r="A364" s="23"/>
      <c r="B364" s="44"/>
      <c r="C364" s="45"/>
      <c r="D364" s="23"/>
      <c r="E364" s="23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5"/>
      <c r="T364" s="23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23"/>
      <c r="AJ364" s="23"/>
    </row>
    <row r="365" spans="1:36" ht="11.25" customHeight="1" x14ac:dyDescent="0.25">
      <c r="A365" s="23"/>
      <c r="B365" s="44"/>
      <c r="C365" s="45"/>
      <c r="D365" s="23"/>
      <c r="E365" s="23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5"/>
      <c r="T365" s="23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23"/>
      <c r="AJ365" s="23"/>
    </row>
    <row r="366" spans="1:36" ht="11.25" customHeight="1" x14ac:dyDescent="0.25">
      <c r="A366" s="23"/>
      <c r="B366" s="44"/>
      <c r="C366" s="45"/>
      <c r="D366" s="23"/>
      <c r="E366" s="23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5"/>
      <c r="T366" s="23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23"/>
      <c r="AJ366" s="23"/>
    </row>
    <row r="367" spans="1:36" ht="11.25" customHeight="1" x14ac:dyDescent="0.25">
      <c r="A367" s="23"/>
      <c r="B367" s="44"/>
      <c r="C367" s="45"/>
      <c r="D367" s="23"/>
      <c r="E367" s="23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5"/>
      <c r="T367" s="23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23"/>
      <c r="AJ367" s="23"/>
    </row>
    <row r="368" spans="1:36" ht="11.25" customHeight="1" x14ac:dyDescent="0.25">
      <c r="A368" s="23"/>
      <c r="B368" s="44"/>
      <c r="C368" s="45"/>
      <c r="D368" s="23"/>
      <c r="E368" s="23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5"/>
      <c r="T368" s="23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23"/>
      <c r="AJ368" s="23"/>
    </row>
    <row r="369" spans="1:36" ht="11.25" customHeight="1" x14ac:dyDescent="0.25">
      <c r="A369" s="23"/>
      <c r="B369" s="44"/>
      <c r="C369" s="45"/>
      <c r="D369" s="23"/>
      <c r="E369" s="23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5"/>
      <c r="T369" s="23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23"/>
      <c r="AJ369" s="23"/>
    </row>
    <row r="370" spans="1:36" ht="11.25" customHeight="1" x14ac:dyDescent="0.25">
      <c r="A370" s="23"/>
      <c r="B370" s="44"/>
      <c r="C370" s="45"/>
      <c r="D370" s="23"/>
      <c r="E370" s="23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5"/>
      <c r="T370" s="23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23"/>
      <c r="AJ370" s="23"/>
    </row>
    <row r="371" spans="1:36" ht="11.25" customHeight="1" x14ac:dyDescent="0.25">
      <c r="A371" s="23"/>
      <c r="B371" s="44"/>
      <c r="C371" s="45"/>
      <c r="D371" s="23"/>
      <c r="E371" s="23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5"/>
      <c r="T371" s="23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23"/>
      <c r="AJ371" s="23"/>
    </row>
    <row r="372" spans="1:36" ht="11.25" customHeight="1" x14ac:dyDescent="0.25">
      <c r="A372" s="23"/>
      <c r="B372" s="44"/>
      <c r="C372" s="45"/>
      <c r="D372" s="23"/>
      <c r="E372" s="23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5"/>
      <c r="T372" s="23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23"/>
      <c r="AJ372" s="23"/>
    </row>
    <row r="373" spans="1:36" ht="11.25" customHeight="1" x14ac:dyDescent="0.25">
      <c r="A373" s="23"/>
      <c r="B373" s="44"/>
      <c r="C373" s="45"/>
      <c r="D373" s="23"/>
      <c r="E373" s="23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5"/>
      <c r="T373" s="23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23"/>
      <c r="AJ373" s="23"/>
    </row>
    <row r="374" spans="1:36" ht="11.25" customHeight="1" x14ac:dyDescent="0.25">
      <c r="A374" s="23"/>
      <c r="B374" s="44"/>
      <c r="C374" s="45"/>
      <c r="D374" s="23"/>
      <c r="E374" s="23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5"/>
      <c r="T374" s="23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23"/>
      <c r="AJ374" s="23"/>
    </row>
    <row r="375" spans="1:36" ht="11.25" customHeight="1" x14ac:dyDescent="0.25">
      <c r="A375" s="23"/>
      <c r="B375" s="44"/>
      <c r="C375" s="45"/>
      <c r="D375" s="23"/>
      <c r="E375" s="23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5"/>
      <c r="T375" s="23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23"/>
      <c r="AJ375" s="23"/>
    </row>
    <row r="376" spans="1:36" ht="11.25" customHeight="1" x14ac:dyDescent="0.25">
      <c r="A376" s="23"/>
      <c r="B376" s="44"/>
      <c r="C376" s="45"/>
      <c r="D376" s="23"/>
      <c r="E376" s="23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5"/>
      <c r="T376" s="23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23"/>
      <c r="AJ376" s="23"/>
    </row>
    <row r="377" spans="1:36" ht="11.25" customHeight="1" x14ac:dyDescent="0.25">
      <c r="A377" s="23"/>
      <c r="B377" s="44"/>
      <c r="C377" s="45"/>
      <c r="D377" s="23"/>
      <c r="E377" s="23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5"/>
      <c r="T377" s="23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23"/>
      <c r="AJ377" s="23"/>
    </row>
    <row r="378" spans="1:36" ht="11.25" customHeight="1" x14ac:dyDescent="0.25">
      <c r="A378" s="23"/>
      <c r="B378" s="44"/>
      <c r="C378" s="45"/>
      <c r="D378" s="23"/>
      <c r="E378" s="23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5"/>
      <c r="T378" s="23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23"/>
      <c r="AJ378" s="23"/>
    </row>
    <row r="379" spans="1:36" ht="11.25" customHeight="1" x14ac:dyDescent="0.25">
      <c r="A379" s="23"/>
      <c r="B379" s="44"/>
      <c r="C379" s="45"/>
      <c r="D379" s="23"/>
      <c r="E379" s="23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5"/>
      <c r="T379" s="23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23"/>
      <c r="AJ379" s="23"/>
    </row>
    <row r="380" spans="1:36" ht="11.25" customHeight="1" x14ac:dyDescent="0.25">
      <c r="A380" s="23"/>
      <c r="B380" s="44"/>
      <c r="C380" s="45"/>
      <c r="D380" s="23"/>
      <c r="E380" s="23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5"/>
      <c r="T380" s="23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23"/>
      <c r="AJ380" s="23"/>
    </row>
    <row r="381" spans="1:36" ht="11.25" customHeight="1" x14ac:dyDescent="0.25">
      <c r="A381" s="23"/>
      <c r="B381" s="44"/>
      <c r="C381" s="45"/>
      <c r="D381" s="23"/>
      <c r="E381" s="23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5"/>
      <c r="T381" s="23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23"/>
      <c r="AJ381" s="23"/>
    </row>
    <row r="382" spans="1:36" ht="11.25" customHeight="1" x14ac:dyDescent="0.25">
      <c r="A382" s="23"/>
      <c r="B382" s="44"/>
      <c r="C382" s="45"/>
      <c r="D382" s="23"/>
      <c r="E382" s="23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5"/>
      <c r="T382" s="23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23"/>
      <c r="AJ382" s="23"/>
    </row>
    <row r="383" spans="1:36" ht="11.25" customHeight="1" x14ac:dyDescent="0.25">
      <c r="A383" s="23"/>
      <c r="B383" s="44"/>
      <c r="C383" s="45"/>
      <c r="D383" s="23"/>
      <c r="E383" s="23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5"/>
      <c r="T383" s="23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23"/>
      <c r="AJ383" s="23"/>
    </row>
    <row r="384" spans="1:36" ht="11.25" customHeight="1" x14ac:dyDescent="0.25">
      <c r="A384" s="23"/>
      <c r="B384" s="44"/>
      <c r="C384" s="45"/>
      <c r="D384" s="23"/>
      <c r="E384" s="23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5"/>
      <c r="T384" s="23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23"/>
      <c r="AJ384" s="23"/>
    </row>
    <row r="385" spans="1:36" ht="11.25" customHeight="1" x14ac:dyDescent="0.25">
      <c r="A385" s="23"/>
      <c r="B385" s="44"/>
      <c r="C385" s="45"/>
      <c r="D385" s="23"/>
      <c r="E385" s="23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5"/>
      <c r="T385" s="23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23"/>
      <c r="AJ385" s="23"/>
    </row>
    <row r="386" spans="1:36" ht="11.25" customHeight="1" x14ac:dyDescent="0.25">
      <c r="A386" s="23"/>
      <c r="B386" s="44"/>
      <c r="C386" s="45"/>
      <c r="D386" s="23"/>
      <c r="E386" s="23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5"/>
      <c r="T386" s="23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23"/>
      <c r="AJ386" s="23"/>
    </row>
    <row r="387" spans="1:36" ht="11.25" customHeight="1" x14ac:dyDescent="0.25">
      <c r="A387" s="23"/>
      <c r="B387" s="44"/>
      <c r="C387" s="45"/>
      <c r="D387" s="23"/>
      <c r="E387" s="23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5"/>
      <c r="T387" s="23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23"/>
      <c r="AJ387" s="23"/>
    </row>
    <row r="388" spans="1:36" ht="11.25" customHeight="1" x14ac:dyDescent="0.25">
      <c r="A388" s="23"/>
      <c r="B388" s="44"/>
      <c r="C388" s="45"/>
      <c r="D388" s="23"/>
      <c r="E388" s="23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5"/>
      <c r="T388" s="23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23"/>
      <c r="AJ388" s="23"/>
    </row>
    <row r="389" spans="1:36" ht="11.25" customHeight="1" x14ac:dyDescent="0.25">
      <c r="A389" s="23"/>
      <c r="B389" s="44"/>
      <c r="C389" s="45"/>
      <c r="D389" s="23"/>
      <c r="E389" s="23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5"/>
      <c r="T389" s="23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23"/>
      <c r="AJ389" s="23"/>
    </row>
    <row r="390" spans="1:36" ht="11.25" customHeight="1" x14ac:dyDescent="0.25">
      <c r="A390" s="23"/>
      <c r="B390" s="44"/>
      <c r="C390" s="45"/>
      <c r="D390" s="23"/>
      <c r="E390" s="23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5"/>
      <c r="T390" s="23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23"/>
      <c r="AJ390" s="23"/>
    </row>
    <row r="391" spans="1:36" ht="11.25" customHeight="1" x14ac:dyDescent="0.25">
      <c r="A391" s="23"/>
      <c r="B391" s="44"/>
      <c r="C391" s="45"/>
      <c r="D391" s="23"/>
      <c r="E391" s="23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5"/>
      <c r="T391" s="23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23"/>
      <c r="AJ391" s="23"/>
    </row>
    <row r="392" spans="1:36" ht="11.25" customHeight="1" x14ac:dyDescent="0.25">
      <c r="A392" s="23"/>
      <c r="B392" s="44"/>
      <c r="C392" s="45"/>
      <c r="D392" s="23"/>
      <c r="E392" s="23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5"/>
      <c r="T392" s="23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23"/>
      <c r="AJ392" s="23"/>
    </row>
    <row r="393" spans="1:36" ht="11.25" customHeight="1" x14ac:dyDescent="0.25">
      <c r="A393" s="23"/>
      <c r="B393" s="44"/>
      <c r="C393" s="45"/>
      <c r="D393" s="23"/>
      <c r="E393" s="23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5"/>
      <c r="T393" s="23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23"/>
      <c r="AJ393" s="23"/>
    </row>
    <row r="394" spans="1:36" ht="11.25" customHeight="1" x14ac:dyDescent="0.25">
      <c r="A394" s="23"/>
      <c r="B394" s="44"/>
      <c r="C394" s="45"/>
      <c r="D394" s="23"/>
      <c r="E394" s="23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5"/>
      <c r="T394" s="23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23"/>
      <c r="AJ394" s="23"/>
    </row>
    <row r="395" spans="1:36" ht="11.25" customHeight="1" x14ac:dyDescent="0.25">
      <c r="A395" s="23"/>
      <c r="B395" s="44"/>
      <c r="C395" s="45"/>
      <c r="D395" s="23"/>
      <c r="E395" s="23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5"/>
      <c r="T395" s="23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23"/>
      <c r="AJ395" s="23"/>
    </row>
    <row r="396" spans="1:36" ht="11.25" customHeight="1" x14ac:dyDescent="0.25">
      <c r="A396" s="23"/>
      <c r="B396" s="44"/>
      <c r="C396" s="45"/>
      <c r="D396" s="23"/>
      <c r="E396" s="23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5"/>
      <c r="T396" s="23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23"/>
      <c r="AJ396" s="23"/>
    </row>
    <row r="397" spans="1:36" ht="11.25" customHeight="1" x14ac:dyDescent="0.25">
      <c r="A397" s="23"/>
      <c r="B397" s="44"/>
      <c r="C397" s="45"/>
      <c r="D397" s="23"/>
      <c r="E397" s="23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5"/>
      <c r="T397" s="23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23"/>
      <c r="AJ397" s="23"/>
    </row>
    <row r="398" spans="1:36" ht="11.25" customHeight="1" x14ac:dyDescent="0.25">
      <c r="A398" s="23"/>
      <c r="B398" s="44"/>
      <c r="C398" s="45"/>
      <c r="D398" s="23"/>
      <c r="E398" s="23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5"/>
      <c r="T398" s="23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23"/>
      <c r="AJ398" s="23"/>
    </row>
    <row r="399" spans="1:36" ht="11.25" customHeight="1" x14ac:dyDescent="0.25">
      <c r="A399" s="23"/>
      <c r="B399" s="44"/>
      <c r="C399" s="45"/>
      <c r="D399" s="23"/>
      <c r="E399" s="23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5"/>
      <c r="T399" s="23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23"/>
      <c r="AJ399" s="23"/>
    </row>
    <row r="400" spans="1:36" ht="11.25" customHeight="1" x14ac:dyDescent="0.25">
      <c r="A400" s="23"/>
      <c r="B400" s="44"/>
      <c r="C400" s="45"/>
      <c r="D400" s="23"/>
      <c r="E400" s="23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5"/>
      <c r="T400" s="23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23"/>
      <c r="AJ400" s="23"/>
    </row>
    <row r="401" spans="1:36" ht="11.25" customHeight="1" x14ac:dyDescent="0.25">
      <c r="A401" s="23"/>
      <c r="B401" s="44"/>
      <c r="C401" s="45"/>
      <c r="D401" s="23"/>
      <c r="E401" s="23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5"/>
      <c r="T401" s="23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23"/>
      <c r="AJ401" s="23"/>
    </row>
    <row r="402" spans="1:36" ht="11.25" customHeight="1" x14ac:dyDescent="0.25">
      <c r="A402" s="23"/>
      <c r="B402" s="44"/>
      <c r="C402" s="45"/>
      <c r="D402" s="23"/>
      <c r="E402" s="23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5"/>
      <c r="T402" s="23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23"/>
      <c r="AJ402" s="23"/>
    </row>
    <row r="403" spans="1:36" ht="11.25" customHeight="1" x14ac:dyDescent="0.25">
      <c r="A403" s="23"/>
      <c r="B403" s="44"/>
      <c r="C403" s="45"/>
      <c r="D403" s="23"/>
      <c r="E403" s="23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5"/>
      <c r="T403" s="23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23"/>
      <c r="AJ403" s="23"/>
    </row>
    <row r="404" spans="1:36" ht="11.25" customHeight="1" x14ac:dyDescent="0.25">
      <c r="A404" s="23"/>
      <c r="B404" s="44"/>
      <c r="C404" s="45"/>
      <c r="D404" s="23"/>
      <c r="E404" s="23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5"/>
      <c r="T404" s="23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23"/>
      <c r="AJ404" s="23"/>
    </row>
    <row r="405" spans="1:36" ht="11.25" customHeight="1" x14ac:dyDescent="0.25">
      <c r="A405" s="23"/>
      <c r="B405" s="44"/>
      <c r="C405" s="45"/>
      <c r="D405" s="23"/>
      <c r="E405" s="23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5"/>
      <c r="T405" s="23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23"/>
      <c r="AJ405" s="23"/>
    </row>
    <row r="406" spans="1:36" ht="11.25" customHeight="1" x14ac:dyDescent="0.25">
      <c r="A406" s="23"/>
      <c r="B406" s="44"/>
      <c r="C406" s="45"/>
      <c r="D406" s="23"/>
      <c r="E406" s="23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5"/>
      <c r="T406" s="23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23"/>
      <c r="AJ406" s="23"/>
    </row>
    <row r="407" spans="1:36" ht="11.25" customHeight="1" x14ac:dyDescent="0.25">
      <c r="A407" s="23"/>
      <c r="B407" s="44"/>
      <c r="C407" s="45"/>
      <c r="D407" s="23"/>
      <c r="E407" s="23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5"/>
      <c r="T407" s="23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23"/>
      <c r="AJ407" s="23"/>
    </row>
    <row r="408" spans="1:36" ht="11.25" customHeight="1" x14ac:dyDescent="0.25">
      <c r="A408" s="23"/>
      <c r="B408" s="44"/>
      <c r="C408" s="45"/>
      <c r="D408" s="23"/>
      <c r="E408" s="23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5"/>
      <c r="T408" s="23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23"/>
      <c r="AJ408" s="23"/>
    </row>
    <row r="409" spans="1:36" ht="11.25" customHeight="1" x14ac:dyDescent="0.25">
      <c r="A409" s="23"/>
      <c r="B409" s="44"/>
      <c r="C409" s="45"/>
      <c r="D409" s="23"/>
      <c r="E409" s="23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5"/>
      <c r="T409" s="23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23"/>
      <c r="AJ409" s="23"/>
    </row>
    <row r="410" spans="1:36" ht="11.25" customHeight="1" x14ac:dyDescent="0.25">
      <c r="A410" s="23"/>
      <c r="B410" s="44"/>
      <c r="C410" s="45"/>
      <c r="D410" s="23"/>
      <c r="E410" s="23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5"/>
      <c r="T410" s="23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23"/>
      <c r="AJ410" s="23"/>
    </row>
    <row r="411" spans="1:36" ht="11.25" customHeight="1" x14ac:dyDescent="0.25">
      <c r="A411" s="23"/>
      <c r="B411" s="44"/>
      <c r="C411" s="45"/>
      <c r="D411" s="23"/>
      <c r="E411" s="23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5"/>
      <c r="T411" s="23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23"/>
      <c r="AJ411" s="23"/>
    </row>
    <row r="412" spans="1:36" ht="11.25" customHeight="1" x14ac:dyDescent="0.25">
      <c r="A412" s="23"/>
      <c r="B412" s="44"/>
      <c r="C412" s="45"/>
      <c r="D412" s="23"/>
      <c r="E412" s="23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5"/>
      <c r="T412" s="23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23"/>
      <c r="AJ412" s="23"/>
    </row>
    <row r="413" spans="1:36" ht="11.25" customHeight="1" x14ac:dyDescent="0.25">
      <c r="A413" s="23"/>
      <c r="B413" s="44"/>
      <c r="C413" s="45"/>
      <c r="D413" s="23"/>
      <c r="E413" s="23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5"/>
      <c r="T413" s="23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23"/>
      <c r="AJ413" s="23"/>
    </row>
    <row r="414" spans="1:36" ht="11.25" customHeight="1" x14ac:dyDescent="0.25">
      <c r="A414" s="23"/>
      <c r="B414" s="44"/>
      <c r="C414" s="45"/>
      <c r="D414" s="23"/>
      <c r="E414" s="23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5"/>
      <c r="T414" s="23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23"/>
      <c r="AJ414" s="23"/>
    </row>
    <row r="415" spans="1:36" ht="11.25" customHeight="1" x14ac:dyDescent="0.25">
      <c r="A415" s="23"/>
      <c r="B415" s="44"/>
      <c r="C415" s="45"/>
      <c r="D415" s="23"/>
      <c r="E415" s="23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5"/>
      <c r="T415" s="23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23"/>
      <c r="AJ415" s="23"/>
    </row>
    <row r="416" spans="1:36" ht="11.25" customHeight="1" x14ac:dyDescent="0.25">
      <c r="A416" s="23"/>
      <c r="B416" s="44"/>
      <c r="C416" s="45"/>
      <c r="D416" s="23"/>
      <c r="E416" s="23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5"/>
      <c r="T416" s="23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23"/>
      <c r="AJ416" s="23"/>
    </row>
    <row r="417" spans="1:36" ht="11.25" customHeight="1" x14ac:dyDescent="0.25">
      <c r="A417" s="23"/>
      <c r="B417" s="44"/>
      <c r="C417" s="45"/>
      <c r="D417" s="23"/>
      <c r="E417" s="23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5"/>
      <c r="T417" s="23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23"/>
      <c r="AJ417" s="23"/>
    </row>
    <row r="418" spans="1:36" ht="11.25" customHeight="1" x14ac:dyDescent="0.25">
      <c r="A418" s="23"/>
      <c r="B418" s="44"/>
      <c r="C418" s="45"/>
      <c r="D418" s="23"/>
      <c r="E418" s="23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5"/>
      <c r="T418" s="23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23"/>
      <c r="AJ418" s="23"/>
    </row>
    <row r="419" spans="1:36" ht="11.25" customHeight="1" x14ac:dyDescent="0.25">
      <c r="A419" s="23"/>
      <c r="B419" s="44"/>
      <c r="C419" s="45"/>
      <c r="D419" s="23"/>
      <c r="E419" s="23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5"/>
      <c r="T419" s="23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23"/>
      <c r="AJ419" s="23"/>
    </row>
    <row r="420" spans="1:36" ht="11.25" customHeight="1" x14ac:dyDescent="0.25">
      <c r="A420" s="23"/>
      <c r="B420" s="44"/>
      <c r="C420" s="45"/>
      <c r="D420" s="23"/>
      <c r="E420" s="23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5"/>
      <c r="T420" s="23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23"/>
      <c r="AJ420" s="23"/>
    </row>
    <row r="421" spans="1:36" ht="11.25" customHeight="1" x14ac:dyDescent="0.25">
      <c r="A421" s="23"/>
      <c r="B421" s="44"/>
      <c r="C421" s="45"/>
      <c r="D421" s="23"/>
      <c r="E421" s="23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5"/>
      <c r="T421" s="23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23"/>
      <c r="AJ421" s="23"/>
    </row>
    <row r="422" spans="1:36" ht="11.25" customHeight="1" x14ac:dyDescent="0.25">
      <c r="A422" s="23"/>
      <c r="B422" s="44"/>
      <c r="C422" s="45"/>
      <c r="D422" s="23"/>
      <c r="E422" s="23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5"/>
      <c r="T422" s="23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23"/>
      <c r="AJ422" s="23"/>
    </row>
    <row r="423" spans="1:36" ht="11.25" customHeight="1" x14ac:dyDescent="0.25">
      <c r="A423" s="23"/>
      <c r="B423" s="44"/>
      <c r="C423" s="45"/>
      <c r="D423" s="23"/>
      <c r="E423" s="23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5"/>
      <c r="T423" s="23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23"/>
      <c r="AJ423" s="23"/>
    </row>
    <row r="424" spans="1:36" ht="11.25" customHeight="1" x14ac:dyDescent="0.25">
      <c r="A424" s="23"/>
      <c r="B424" s="44"/>
      <c r="C424" s="45"/>
      <c r="D424" s="23"/>
      <c r="E424" s="23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5"/>
      <c r="T424" s="23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23"/>
      <c r="AJ424" s="23"/>
    </row>
    <row r="425" spans="1:36" ht="11.25" customHeight="1" x14ac:dyDescent="0.25">
      <c r="A425" s="23"/>
      <c r="B425" s="44"/>
      <c r="C425" s="45"/>
      <c r="D425" s="23"/>
      <c r="E425" s="23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5"/>
      <c r="T425" s="23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23"/>
      <c r="AJ425" s="23"/>
    </row>
    <row r="426" spans="1:36" ht="11.25" customHeight="1" x14ac:dyDescent="0.25">
      <c r="A426" s="23"/>
      <c r="B426" s="44"/>
      <c r="C426" s="45"/>
      <c r="D426" s="23"/>
      <c r="E426" s="23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5"/>
      <c r="T426" s="23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23"/>
      <c r="AJ426" s="23"/>
    </row>
    <row r="427" spans="1:36" ht="11.25" customHeight="1" x14ac:dyDescent="0.25">
      <c r="A427" s="23"/>
      <c r="B427" s="44"/>
      <c r="C427" s="45"/>
      <c r="D427" s="23"/>
      <c r="E427" s="23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5"/>
      <c r="T427" s="23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23"/>
      <c r="AJ427" s="23"/>
    </row>
    <row r="428" spans="1:36" ht="11.25" customHeight="1" x14ac:dyDescent="0.25">
      <c r="A428" s="23"/>
      <c r="B428" s="44"/>
      <c r="C428" s="45"/>
      <c r="D428" s="23"/>
      <c r="E428" s="23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5"/>
      <c r="T428" s="23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23"/>
      <c r="AJ428" s="23"/>
    </row>
    <row r="429" spans="1:36" ht="11.25" customHeight="1" x14ac:dyDescent="0.25">
      <c r="A429" s="23"/>
      <c r="B429" s="44"/>
      <c r="C429" s="45"/>
      <c r="D429" s="23"/>
      <c r="E429" s="23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5"/>
      <c r="T429" s="23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23"/>
      <c r="AJ429" s="23"/>
    </row>
    <row r="430" spans="1:36" ht="11.25" customHeight="1" x14ac:dyDescent="0.25">
      <c r="A430" s="23"/>
      <c r="B430" s="44"/>
      <c r="C430" s="45"/>
      <c r="D430" s="23"/>
      <c r="E430" s="23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5"/>
      <c r="T430" s="23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23"/>
      <c r="AJ430" s="23"/>
    </row>
    <row r="431" spans="1:36" ht="11.25" customHeight="1" x14ac:dyDescent="0.25">
      <c r="A431" s="23"/>
      <c r="B431" s="44"/>
      <c r="C431" s="45"/>
      <c r="D431" s="23"/>
      <c r="E431" s="23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5"/>
      <c r="T431" s="23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23"/>
      <c r="AJ431" s="23"/>
    </row>
    <row r="432" spans="1:36" ht="11.25" customHeight="1" x14ac:dyDescent="0.25">
      <c r="A432" s="23"/>
      <c r="B432" s="44"/>
      <c r="C432" s="45"/>
      <c r="D432" s="23"/>
      <c r="E432" s="23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5"/>
      <c r="T432" s="23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23"/>
      <c r="AJ432" s="23"/>
    </row>
    <row r="433" spans="1:36" ht="11.25" customHeight="1" x14ac:dyDescent="0.25">
      <c r="A433" s="23"/>
      <c r="B433" s="44"/>
      <c r="C433" s="45"/>
      <c r="D433" s="23"/>
      <c r="E433" s="23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5"/>
      <c r="T433" s="23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23"/>
      <c r="AJ433" s="23"/>
    </row>
    <row r="434" spans="1:36" ht="11.25" customHeight="1" x14ac:dyDescent="0.25">
      <c r="A434" s="23"/>
      <c r="B434" s="44"/>
      <c r="C434" s="45"/>
      <c r="D434" s="23"/>
      <c r="E434" s="23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5"/>
      <c r="T434" s="23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23"/>
      <c r="AJ434" s="23"/>
    </row>
    <row r="435" spans="1:36" ht="11.25" customHeight="1" x14ac:dyDescent="0.25">
      <c r="A435" s="23"/>
      <c r="B435" s="44"/>
      <c r="C435" s="45"/>
      <c r="D435" s="23"/>
      <c r="E435" s="23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5"/>
      <c r="T435" s="23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23"/>
      <c r="AJ435" s="23"/>
    </row>
    <row r="436" spans="1:36" ht="11.25" customHeight="1" x14ac:dyDescent="0.25">
      <c r="A436" s="23"/>
      <c r="B436" s="44"/>
      <c r="C436" s="45"/>
      <c r="D436" s="23"/>
      <c r="E436" s="23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5"/>
      <c r="T436" s="23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23"/>
      <c r="AJ436" s="23"/>
    </row>
    <row r="437" spans="1:36" ht="11.25" customHeight="1" x14ac:dyDescent="0.25">
      <c r="A437" s="23"/>
      <c r="B437" s="44"/>
      <c r="C437" s="45"/>
      <c r="D437" s="23"/>
      <c r="E437" s="23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5"/>
      <c r="T437" s="23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23"/>
      <c r="AJ437" s="23"/>
    </row>
    <row r="438" spans="1:36" ht="11.25" customHeight="1" x14ac:dyDescent="0.25">
      <c r="A438" s="23"/>
      <c r="B438" s="44"/>
      <c r="C438" s="45"/>
      <c r="D438" s="23"/>
      <c r="E438" s="23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5"/>
      <c r="T438" s="23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23"/>
      <c r="AJ438" s="23"/>
    </row>
    <row r="439" spans="1:36" ht="11.25" customHeight="1" x14ac:dyDescent="0.25">
      <c r="A439" s="23"/>
      <c r="B439" s="44"/>
      <c r="C439" s="45"/>
      <c r="D439" s="23"/>
      <c r="E439" s="23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5"/>
      <c r="T439" s="23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23"/>
      <c r="AJ439" s="23"/>
    </row>
    <row r="440" spans="1:36" ht="11.25" customHeight="1" x14ac:dyDescent="0.25">
      <c r="A440" s="23"/>
      <c r="B440" s="44"/>
      <c r="C440" s="45"/>
      <c r="D440" s="23"/>
      <c r="E440" s="23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5"/>
      <c r="T440" s="23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23"/>
      <c r="AJ440" s="23"/>
    </row>
    <row r="441" spans="1:36" ht="11.25" customHeight="1" x14ac:dyDescent="0.25">
      <c r="A441" s="23"/>
      <c r="B441" s="44"/>
      <c r="C441" s="45"/>
      <c r="D441" s="23"/>
      <c r="E441" s="23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5"/>
      <c r="T441" s="23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23"/>
      <c r="AJ441" s="23"/>
    </row>
    <row r="442" spans="1:36" ht="11.25" customHeight="1" x14ac:dyDescent="0.25">
      <c r="A442" s="23"/>
      <c r="B442" s="44"/>
      <c r="C442" s="45"/>
      <c r="D442" s="23"/>
      <c r="E442" s="23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5"/>
      <c r="T442" s="23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23"/>
      <c r="AJ442" s="23"/>
    </row>
    <row r="443" spans="1:36" ht="11.25" customHeight="1" x14ac:dyDescent="0.25">
      <c r="A443" s="23"/>
      <c r="B443" s="44"/>
      <c r="C443" s="45"/>
      <c r="D443" s="23"/>
      <c r="E443" s="23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5"/>
      <c r="T443" s="23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23"/>
      <c r="AJ443" s="23"/>
    </row>
    <row r="444" spans="1:36" ht="11.25" customHeight="1" x14ac:dyDescent="0.25">
      <c r="A444" s="23"/>
      <c r="B444" s="44"/>
      <c r="C444" s="45"/>
      <c r="D444" s="23"/>
      <c r="E444" s="23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5"/>
      <c r="T444" s="23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23"/>
      <c r="AJ444" s="23"/>
    </row>
    <row r="445" spans="1:36" ht="11.25" customHeight="1" x14ac:dyDescent="0.25">
      <c r="A445" s="23"/>
      <c r="B445" s="44"/>
      <c r="C445" s="45"/>
      <c r="D445" s="23"/>
      <c r="E445" s="23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5"/>
      <c r="T445" s="23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23"/>
      <c r="AJ445" s="23"/>
    </row>
    <row r="446" spans="1:36" ht="11.25" customHeight="1" x14ac:dyDescent="0.25">
      <c r="A446" s="23"/>
      <c r="B446" s="44"/>
      <c r="C446" s="45"/>
      <c r="D446" s="23"/>
      <c r="E446" s="23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5"/>
      <c r="T446" s="23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23"/>
      <c r="AJ446" s="23"/>
    </row>
    <row r="447" spans="1:36" ht="11.25" customHeight="1" x14ac:dyDescent="0.25">
      <c r="A447" s="23"/>
      <c r="B447" s="44"/>
      <c r="C447" s="45"/>
      <c r="D447" s="23"/>
      <c r="E447" s="23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5"/>
      <c r="T447" s="23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23"/>
      <c r="AJ447" s="23"/>
    </row>
    <row r="448" spans="1:36" ht="11.25" customHeight="1" x14ac:dyDescent="0.25">
      <c r="A448" s="23"/>
      <c r="B448" s="44"/>
      <c r="C448" s="45"/>
      <c r="D448" s="23"/>
      <c r="E448" s="23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5"/>
      <c r="T448" s="23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23"/>
      <c r="AJ448" s="23"/>
    </row>
    <row r="449" spans="1:36" ht="11.25" customHeight="1" x14ac:dyDescent="0.25">
      <c r="A449" s="23"/>
      <c r="B449" s="44"/>
      <c r="C449" s="45"/>
      <c r="D449" s="23"/>
      <c r="E449" s="23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5"/>
      <c r="T449" s="23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23"/>
      <c r="AJ449" s="23"/>
    </row>
    <row r="450" spans="1:36" ht="11.25" customHeight="1" x14ac:dyDescent="0.25">
      <c r="A450" s="23"/>
      <c r="B450" s="44"/>
      <c r="C450" s="45"/>
      <c r="D450" s="23"/>
      <c r="E450" s="23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5"/>
      <c r="T450" s="23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23"/>
      <c r="AJ450" s="23"/>
    </row>
    <row r="451" spans="1:36" ht="11.25" customHeight="1" x14ac:dyDescent="0.25">
      <c r="A451" s="23"/>
      <c r="B451" s="44"/>
      <c r="C451" s="45"/>
      <c r="D451" s="23"/>
      <c r="E451" s="23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5"/>
      <c r="T451" s="23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23"/>
      <c r="AJ451" s="23"/>
    </row>
    <row r="452" spans="1:36" ht="11.25" customHeight="1" x14ac:dyDescent="0.25">
      <c r="A452" s="23"/>
      <c r="B452" s="44"/>
      <c r="C452" s="45"/>
      <c r="D452" s="23"/>
      <c r="E452" s="23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5"/>
      <c r="T452" s="23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23"/>
      <c r="AJ452" s="23"/>
    </row>
    <row r="453" spans="1:36" ht="11.25" customHeight="1" x14ac:dyDescent="0.25">
      <c r="A453" s="23"/>
      <c r="B453" s="44"/>
      <c r="C453" s="45"/>
      <c r="D453" s="23"/>
      <c r="E453" s="23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5"/>
      <c r="T453" s="23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23"/>
      <c r="AJ453" s="23"/>
    </row>
    <row r="454" spans="1:36" ht="11.25" customHeight="1" x14ac:dyDescent="0.25">
      <c r="A454" s="23"/>
      <c r="B454" s="44"/>
      <c r="C454" s="45"/>
      <c r="D454" s="23"/>
      <c r="E454" s="23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5"/>
      <c r="T454" s="23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23"/>
      <c r="AJ454" s="23"/>
    </row>
    <row r="455" spans="1:36" ht="11.25" customHeight="1" x14ac:dyDescent="0.25">
      <c r="A455" s="23"/>
      <c r="B455" s="44"/>
      <c r="C455" s="45"/>
      <c r="D455" s="23"/>
      <c r="E455" s="23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5"/>
      <c r="T455" s="23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23"/>
      <c r="AJ455" s="23"/>
    </row>
    <row r="456" spans="1:36" ht="11.25" customHeight="1" x14ac:dyDescent="0.25">
      <c r="A456" s="23"/>
      <c r="B456" s="44"/>
      <c r="C456" s="45"/>
      <c r="D456" s="23"/>
      <c r="E456" s="23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5"/>
      <c r="T456" s="23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23"/>
      <c r="AJ456" s="23"/>
    </row>
    <row r="457" spans="1:36" ht="11.25" customHeight="1" x14ac:dyDescent="0.25">
      <c r="A457" s="23"/>
      <c r="B457" s="44"/>
      <c r="C457" s="45"/>
      <c r="D457" s="23"/>
      <c r="E457" s="23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5"/>
      <c r="T457" s="23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23"/>
      <c r="AJ457" s="23"/>
    </row>
    <row r="458" spans="1:36" ht="11.25" customHeight="1" x14ac:dyDescent="0.25">
      <c r="A458" s="23"/>
      <c r="B458" s="44"/>
      <c r="C458" s="45"/>
      <c r="D458" s="23"/>
      <c r="E458" s="23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5"/>
      <c r="T458" s="23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23"/>
      <c r="AJ458" s="23"/>
    </row>
    <row r="459" spans="1:36" ht="11.25" customHeight="1" x14ac:dyDescent="0.25">
      <c r="A459" s="23"/>
      <c r="B459" s="44"/>
      <c r="C459" s="45"/>
      <c r="D459" s="23"/>
      <c r="E459" s="23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5"/>
      <c r="T459" s="23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23"/>
      <c r="AJ459" s="23"/>
    </row>
    <row r="460" spans="1:36" ht="11.25" customHeight="1" x14ac:dyDescent="0.25">
      <c r="A460" s="23"/>
      <c r="B460" s="44"/>
      <c r="C460" s="45"/>
      <c r="D460" s="23"/>
      <c r="E460" s="23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5"/>
      <c r="T460" s="23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23"/>
      <c r="AJ460" s="23"/>
    </row>
    <row r="461" spans="1:36" ht="11.25" customHeight="1" x14ac:dyDescent="0.25">
      <c r="A461" s="23"/>
      <c r="B461" s="44"/>
      <c r="C461" s="45"/>
      <c r="D461" s="23"/>
      <c r="E461" s="23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5"/>
      <c r="T461" s="23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23"/>
      <c r="AJ461" s="23"/>
    </row>
    <row r="462" spans="1:36" ht="11.25" customHeight="1" x14ac:dyDescent="0.25">
      <c r="A462" s="23"/>
      <c r="B462" s="44"/>
      <c r="C462" s="45"/>
      <c r="D462" s="23"/>
      <c r="E462" s="23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5"/>
      <c r="T462" s="23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23"/>
      <c r="AJ462" s="23"/>
    </row>
    <row r="463" spans="1:36" ht="11.25" customHeight="1" x14ac:dyDescent="0.25">
      <c r="A463" s="23"/>
      <c r="B463" s="44"/>
      <c r="C463" s="45"/>
      <c r="D463" s="23"/>
      <c r="E463" s="23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5"/>
      <c r="T463" s="23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23"/>
      <c r="AJ463" s="23"/>
    </row>
    <row r="464" spans="1:36" ht="11.25" customHeight="1" x14ac:dyDescent="0.25">
      <c r="A464" s="23"/>
      <c r="B464" s="44"/>
      <c r="C464" s="45"/>
      <c r="D464" s="23"/>
      <c r="E464" s="23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5"/>
      <c r="T464" s="23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23"/>
      <c r="AJ464" s="23"/>
    </row>
    <row r="465" spans="1:36" ht="11.25" customHeight="1" x14ac:dyDescent="0.25">
      <c r="A465" s="23"/>
      <c r="B465" s="44"/>
      <c r="C465" s="45"/>
      <c r="D465" s="23"/>
      <c r="E465" s="23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5"/>
      <c r="T465" s="23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23"/>
      <c r="AJ465" s="23"/>
    </row>
    <row r="466" spans="1:36" ht="11.25" customHeight="1" x14ac:dyDescent="0.25">
      <c r="A466" s="23"/>
      <c r="B466" s="44"/>
      <c r="C466" s="45"/>
      <c r="D466" s="23"/>
      <c r="E466" s="23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5"/>
      <c r="T466" s="23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23"/>
      <c r="AJ466" s="23"/>
    </row>
    <row r="467" spans="1:36" ht="11.25" customHeight="1" x14ac:dyDescent="0.25">
      <c r="A467" s="23"/>
      <c r="B467" s="44"/>
      <c r="C467" s="45"/>
      <c r="D467" s="23"/>
      <c r="E467" s="23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5"/>
      <c r="T467" s="23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23"/>
      <c r="AJ467" s="23"/>
    </row>
    <row r="468" spans="1:36" ht="11.25" customHeight="1" x14ac:dyDescent="0.25">
      <c r="A468" s="23"/>
      <c r="B468" s="44"/>
      <c r="C468" s="45"/>
      <c r="D468" s="23"/>
      <c r="E468" s="23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5"/>
      <c r="T468" s="23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23"/>
      <c r="AJ468" s="23"/>
    </row>
    <row r="469" spans="1:36" ht="11.25" customHeight="1" x14ac:dyDescent="0.25">
      <c r="A469" s="23"/>
      <c r="B469" s="44"/>
      <c r="C469" s="45"/>
      <c r="D469" s="23"/>
      <c r="E469" s="23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5"/>
      <c r="T469" s="23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23"/>
      <c r="AJ469" s="23"/>
    </row>
    <row r="470" spans="1:36" ht="11.25" customHeight="1" x14ac:dyDescent="0.25">
      <c r="A470" s="23"/>
      <c r="B470" s="44"/>
      <c r="C470" s="45"/>
      <c r="D470" s="23"/>
      <c r="E470" s="23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5"/>
      <c r="T470" s="23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23"/>
      <c r="AJ470" s="23"/>
    </row>
    <row r="471" spans="1:36" ht="11.25" customHeight="1" x14ac:dyDescent="0.25">
      <c r="A471" s="23"/>
      <c r="B471" s="44"/>
      <c r="C471" s="45"/>
      <c r="D471" s="23"/>
      <c r="E471" s="23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5"/>
      <c r="T471" s="23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23"/>
      <c r="AJ471" s="23"/>
    </row>
    <row r="472" spans="1:36" ht="11.25" customHeight="1" x14ac:dyDescent="0.25">
      <c r="A472" s="23"/>
      <c r="B472" s="44"/>
      <c r="C472" s="45"/>
      <c r="D472" s="23"/>
      <c r="E472" s="23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5"/>
      <c r="T472" s="23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23"/>
      <c r="AJ472" s="23"/>
    </row>
    <row r="473" spans="1:36" ht="11.25" customHeight="1" x14ac:dyDescent="0.25">
      <c r="A473" s="23"/>
      <c r="B473" s="44"/>
      <c r="C473" s="45"/>
      <c r="D473" s="23"/>
      <c r="E473" s="23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5"/>
      <c r="T473" s="23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23"/>
      <c r="AJ473" s="23"/>
    </row>
    <row r="474" spans="1:36" ht="11.25" customHeight="1" x14ac:dyDescent="0.25">
      <c r="A474" s="23"/>
      <c r="B474" s="44"/>
      <c r="C474" s="45"/>
      <c r="D474" s="23"/>
      <c r="E474" s="23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5"/>
      <c r="T474" s="23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23"/>
      <c r="AJ474" s="23"/>
    </row>
    <row r="475" spans="1:36" ht="11.25" customHeight="1" x14ac:dyDescent="0.25">
      <c r="A475" s="23"/>
      <c r="B475" s="44"/>
      <c r="C475" s="45"/>
      <c r="D475" s="23"/>
      <c r="E475" s="23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5"/>
      <c r="T475" s="23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23"/>
      <c r="AJ475" s="23"/>
    </row>
    <row r="476" spans="1:36" ht="11.25" customHeight="1" x14ac:dyDescent="0.25">
      <c r="A476" s="23"/>
      <c r="B476" s="44"/>
      <c r="C476" s="45"/>
      <c r="D476" s="23"/>
      <c r="E476" s="23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5"/>
      <c r="T476" s="23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23"/>
      <c r="AJ476" s="23"/>
    </row>
    <row r="477" spans="1:36" ht="11.25" customHeight="1" x14ac:dyDescent="0.25">
      <c r="A477" s="23"/>
      <c r="B477" s="44"/>
      <c r="C477" s="45"/>
      <c r="D477" s="23"/>
      <c r="E477" s="23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5"/>
      <c r="T477" s="23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23"/>
      <c r="AJ477" s="23"/>
    </row>
    <row r="478" spans="1:36" ht="11.25" customHeight="1" x14ac:dyDescent="0.25">
      <c r="A478" s="23"/>
      <c r="B478" s="44"/>
      <c r="C478" s="45"/>
      <c r="D478" s="23"/>
      <c r="E478" s="23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5"/>
      <c r="T478" s="23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23"/>
      <c r="AJ478" s="23"/>
    </row>
    <row r="479" spans="1:36" ht="11.25" customHeight="1" x14ac:dyDescent="0.25">
      <c r="A479" s="23"/>
      <c r="B479" s="44"/>
      <c r="C479" s="45"/>
      <c r="D479" s="23"/>
      <c r="E479" s="23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5"/>
      <c r="T479" s="23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23"/>
      <c r="AJ479" s="23"/>
    </row>
    <row r="480" spans="1:36" ht="11.25" customHeight="1" x14ac:dyDescent="0.25">
      <c r="A480" s="23"/>
      <c r="B480" s="44"/>
      <c r="C480" s="45"/>
      <c r="D480" s="23"/>
      <c r="E480" s="23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5"/>
      <c r="T480" s="23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23"/>
      <c r="AJ480" s="23"/>
    </row>
    <row r="481" spans="1:36" ht="11.25" customHeight="1" x14ac:dyDescent="0.25">
      <c r="A481" s="23"/>
      <c r="B481" s="44"/>
      <c r="C481" s="45"/>
      <c r="D481" s="23"/>
      <c r="E481" s="23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5"/>
      <c r="T481" s="23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23"/>
      <c r="AJ481" s="23"/>
    </row>
    <row r="482" spans="1:36" ht="11.25" customHeight="1" x14ac:dyDescent="0.25">
      <c r="A482" s="23"/>
      <c r="B482" s="44"/>
      <c r="C482" s="45"/>
      <c r="D482" s="23"/>
      <c r="E482" s="23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5"/>
      <c r="T482" s="23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23"/>
      <c r="AJ482" s="23"/>
    </row>
    <row r="483" spans="1:36" ht="11.25" customHeight="1" x14ac:dyDescent="0.25">
      <c r="A483" s="23"/>
      <c r="B483" s="44"/>
      <c r="C483" s="45"/>
      <c r="D483" s="23"/>
      <c r="E483" s="23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5"/>
      <c r="T483" s="23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23"/>
      <c r="AJ483" s="23"/>
    </row>
    <row r="484" spans="1:36" ht="11.25" customHeight="1" x14ac:dyDescent="0.25">
      <c r="A484" s="23"/>
      <c r="B484" s="44"/>
      <c r="C484" s="45"/>
      <c r="D484" s="23"/>
      <c r="E484" s="23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5"/>
      <c r="T484" s="23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23"/>
      <c r="AJ484" s="23"/>
    </row>
    <row r="485" spans="1:36" ht="11.25" customHeight="1" x14ac:dyDescent="0.25">
      <c r="A485" s="23"/>
      <c r="B485" s="44"/>
      <c r="C485" s="45"/>
      <c r="D485" s="23"/>
      <c r="E485" s="23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5"/>
      <c r="T485" s="23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23"/>
      <c r="AJ485" s="23"/>
    </row>
    <row r="486" spans="1:36" ht="11.25" customHeight="1" x14ac:dyDescent="0.25">
      <c r="A486" s="23"/>
      <c r="B486" s="44"/>
      <c r="C486" s="45"/>
      <c r="D486" s="23"/>
      <c r="E486" s="23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5"/>
      <c r="T486" s="23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23"/>
      <c r="AJ486" s="23"/>
    </row>
    <row r="487" spans="1:36" ht="11.25" customHeight="1" x14ac:dyDescent="0.25">
      <c r="A487" s="23"/>
      <c r="B487" s="44"/>
      <c r="C487" s="45"/>
      <c r="D487" s="23"/>
      <c r="E487" s="23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5"/>
      <c r="T487" s="23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23"/>
      <c r="AJ487" s="23"/>
    </row>
    <row r="488" spans="1:36" ht="11.25" customHeight="1" x14ac:dyDescent="0.25">
      <c r="A488" s="23"/>
      <c r="B488" s="44"/>
      <c r="C488" s="45"/>
      <c r="D488" s="23"/>
      <c r="E488" s="23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5"/>
      <c r="T488" s="23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23"/>
      <c r="AJ488" s="23"/>
    </row>
    <row r="489" spans="1:36" ht="11.25" customHeight="1" x14ac:dyDescent="0.25">
      <c r="A489" s="23"/>
      <c r="B489" s="44"/>
      <c r="C489" s="45"/>
      <c r="D489" s="23"/>
      <c r="E489" s="23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5"/>
      <c r="T489" s="23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23"/>
      <c r="AJ489" s="23"/>
    </row>
    <row r="490" spans="1:36" ht="11.25" customHeight="1" x14ac:dyDescent="0.25">
      <c r="A490" s="23"/>
      <c r="B490" s="44"/>
      <c r="C490" s="45"/>
      <c r="D490" s="23"/>
      <c r="E490" s="23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5"/>
      <c r="T490" s="23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23"/>
      <c r="AJ490" s="23"/>
    </row>
    <row r="491" spans="1:36" ht="11.25" customHeight="1" x14ac:dyDescent="0.25">
      <c r="A491" s="23"/>
      <c r="B491" s="44"/>
      <c r="C491" s="45"/>
      <c r="D491" s="23"/>
      <c r="E491" s="23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5"/>
      <c r="T491" s="23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23"/>
      <c r="AJ491" s="23"/>
    </row>
    <row r="492" spans="1:36" ht="11.25" customHeight="1" x14ac:dyDescent="0.25">
      <c r="A492" s="23"/>
      <c r="B492" s="44"/>
      <c r="C492" s="45"/>
      <c r="D492" s="23"/>
      <c r="E492" s="23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5"/>
      <c r="T492" s="23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23"/>
      <c r="AJ492" s="23"/>
    </row>
    <row r="493" spans="1:36" ht="11.25" customHeight="1" x14ac:dyDescent="0.25">
      <c r="A493" s="23"/>
      <c r="B493" s="44"/>
      <c r="C493" s="45"/>
      <c r="D493" s="23"/>
      <c r="E493" s="23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5"/>
      <c r="T493" s="23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23"/>
      <c r="AJ493" s="23"/>
    </row>
    <row r="494" spans="1:36" ht="11.25" customHeight="1" x14ac:dyDescent="0.25">
      <c r="A494" s="23"/>
      <c r="B494" s="44"/>
      <c r="C494" s="45"/>
      <c r="D494" s="23"/>
      <c r="E494" s="23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5"/>
      <c r="T494" s="23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23"/>
      <c r="AJ494" s="23"/>
    </row>
    <row r="495" spans="1:36" ht="11.25" customHeight="1" x14ac:dyDescent="0.25">
      <c r="A495" s="23"/>
      <c r="B495" s="44"/>
      <c r="C495" s="45"/>
      <c r="D495" s="23"/>
      <c r="E495" s="23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5"/>
      <c r="T495" s="23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23"/>
      <c r="AJ495" s="23"/>
    </row>
    <row r="496" spans="1:36" ht="11.25" customHeight="1" x14ac:dyDescent="0.25">
      <c r="A496" s="23"/>
      <c r="B496" s="44"/>
      <c r="C496" s="45"/>
      <c r="D496" s="23"/>
      <c r="E496" s="23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5"/>
      <c r="T496" s="23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23"/>
      <c r="AJ496" s="23"/>
    </row>
    <row r="497" spans="1:36" ht="11.25" customHeight="1" x14ac:dyDescent="0.25">
      <c r="A497" s="23"/>
      <c r="B497" s="44"/>
      <c r="C497" s="45"/>
      <c r="D497" s="23"/>
      <c r="E497" s="23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5"/>
      <c r="T497" s="23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23"/>
      <c r="AJ497" s="23"/>
    </row>
    <row r="498" spans="1:36" ht="11.25" customHeight="1" x14ac:dyDescent="0.25">
      <c r="A498" s="23"/>
      <c r="B498" s="44"/>
      <c r="C498" s="45"/>
      <c r="D498" s="23"/>
      <c r="E498" s="23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5"/>
      <c r="T498" s="23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23"/>
      <c r="AJ498" s="23"/>
    </row>
    <row r="499" spans="1:36" ht="11.25" customHeight="1" x14ac:dyDescent="0.25">
      <c r="A499" s="23"/>
      <c r="B499" s="44"/>
      <c r="C499" s="45"/>
      <c r="D499" s="23"/>
      <c r="E499" s="23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5"/>
      <c r="T499" s="23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23"/>
      <c r="AJ499" s="23"/>
    </row>
    <row r="500" spans="1:36" ht="11.25" customHeight="1" x14ac:dyDescent="0.25">
      <c r="A500" s="23"/>
      <c r="B500" s="44"/>
      <c r="C500" s="45"/>
      <c r="D500" s="23"/>
      <c r="E500" s="23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5"/>
      <c r="T500" s="23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23"/>
      <c r="AJ500" s="23"/>
    </row>
    <row r="501" spans="1:36" ht="11.25" customHeight="1" x14ac:dyDescent="0.25">
      <c r="A501" s="23"/>
      <c r="B501" s="44"/>
      <c r="C501" s="45"/>
      <c r="D501" s="23"/>
      <c r="E501" s="23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5"/>
      <c r="T501" s="23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23"/>
      <c r="AJ501" s="23"/>
    </row>
    <row r="502" spans="1:36" ht="11.25" customHeight="1" x14ac:dyDescent="0.25">
      <c r="A502" s="23"/>
      <c r="B502" s="44"/>
      <c r="C502" s="45"/>
      <c r="D502" s="23"/>
      <c r="E502" s="23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5"/>
      <c r="T502" s="23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23"/>
      <c r="AJ502" s="23"/>
    </row>
    <row r="503" spans="1:36" ht="11.25" customHeight="1" x14ac:dyDescent="0.25">
      <c r="A503" s="23"/>
      <c r="B503" s="44"/>
      <c r="C503" s="45"/>
      <c r="D503" s="23"/>
      <c r="E503" s="23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5"/>
      <c r="T503" s="23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23"/>
      <c r="AJ503" s="23"/>
    </row>
    <row r="504" spans="1:36" ht="11.25" customHeight="1" x14ac:dyDescent="0.25">
      <c r="A504" s="23"/>
      <c r="B504" s="44"/>
      <c r="C504" s="45"/>
      <c r="D504" s="23"/>
      <c r="E504" s="23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5"/>
      <c r="T504" s="23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23"/>
      <c r="AJ504" s="23"/>
    </row>
    <row r="505" spans="1:36" ht="11.25" customHeight="1" x14ac:dyDescent="0.25">
      <c r="A505" s="23"/>
      <c r="B505" s="44"/>
      <c r="C505" s="45"/>
      <c r="D505" s="23"/>
      <c r="E505" s="23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5"/>
      <c r="T505" s="23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23"/>
      <c r="AJ505" s="23"/>
    </row>
    <row r="506" spans="1:36" ht="11.25" customHeight="1" x14ac:dyDescent="0.25">
      <c r="A506" s="23"/>
      <c r="B506" s="44"/>
      <c r="C506" s="45"/>
      <c r="D506" s="23"/>
      <c r="E506" s="23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5"/>
      <c r="T506" s="23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23"/>
      <c r="AJ506" s="23"/>
    </row>
    <row r="507" spans="1:36" ht="11.25" customHeight="1" x14ac:dyDescent="0.25">
      <c r="A507" s="23"/>
      <c r="B507" s="44"/>
      <c r="C507" s="45"/>
      <c r="D507" s="23"/>
      <c r="E507" s="23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5"/>
      <c r="T507" s="23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23"/>
      <c r="AJ507" s="23"/>
    </row>
    <row r="508" spans="1:36" ht="11.25" customHeight="1" x14ac:dyDescent="0.25">
      <c r="A508" s="23"/>
      <c r="B508" s="44"/>
      <c r="C508" s="45"/>
      <c r="D508" s="23"/>
      <c r="E508" s="23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5"/>
      <c r="T508" s="23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23"/>
      <c r="AJ508" s="23"/>
    </row>
    <row r="509" spans="1:36" ht="11.25" customHeight="1" x14ac:dyDescent="0.25">
      <c r="A509" s="23"/>
      <c r="B509" s="44"/>
      <c r="C509" s="45"/>
      <c r="D509" s="23"/>
      <c r="E509" s="23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5"/>
      <c r="T509" s="23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23"/>
      <c r="AJ509" s="23"/>
    </row>
    <row r="510" spans="1:36" ht="11.25" customHeight="1" x14ac:dyDescent="0.25">
      <c r="A510" s="23"/>
      <c r="B510" s="44"/>
      <c r="C510" s="45"/>
      <c r="D510" s="23"/>
      <c r="E510" s="23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5"/>
      <c r="T510" s="23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23"/>
      <c r="AJ510" s="23"/>
    </row>
    <row r="511" spans="1:36" ht="11.25" customHeight="1" x14ac:dyDescent="0.25">
      <c r="A511" s="23"/>
      <c r="B511" s="44"/>
      <c r="C511" s="45"/>
      <c r="D511" s="23"/>
      <c r="E511" s="23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5"/>
      <c r="T511" s="23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23"/>
      <c r="AJ511" s="23"/>
    </row>
    <row r="512" spans="1:36" ht="11.25" customHeight="1" x14ac:dyDescent="0.25">
      <c r="A512" s="23"/>
      <c r="B512" s="44"/>
      <c r="C512" s="45"/>
      <c r="D512" s="23"/>
      <c r="E512" s="23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5"/>
      <c r="T512" s="23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23"/>
      <c r="AJ512" s="23"/>
    </row>
    <row r="513" spans="1:36" ht="11.25" customHeight="1" x14ac:dyDescent="0.25">
      <c r="A513" s="23"/>
      <c r="B513" s="44"/>
      <c r="C513" s="45"/>
      <c r="D513" s="23"/>
      <c r="E513" s="23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5"/>
      <c r="T513" s="23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23"/>
      <c r="AJ513" s="23"/>
    </row>
    <row r="514" spans="1:36" ht="11.25" customHeight="1" x14ac:dyDescent="0.25">
      <c r="A514" s="23"/>
      <c r="B514" s="44"/>
      <c r="C514" s="45"/>
      <c r="D514" s="23"/>
      <c r="E514" s="23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5"/>
      <c r="T514" s="23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23"/>
      <c r="AJ514" s="23"/>
    </row>
    <row r="515" spans="1:36" ht="11.25" customHeight="1" x14ac:dyDescent="0.25">
      <c r="A515" s="23"/>
      <c r="B515" s="44"/>
      <c r="C515" s="45"/>
      <c r="D515" s="23"/>
      <c r="E515" s="23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5"/>
      <c r="T515" s="23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23"/>
      <c r="AJ515" s="23"/>
    </row>
    <row r="516" spans="1:36" ht="11.25" customHeight="1" x14ac:dyDescent="0.25">
      <c r="A516" s="23"/>
      <c r="B516" s="44"/>
      <c r="C516" s="45"/>
      <c r="D516" s="23"/>
      <c r="E516" s="23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5"/>
      <c r="T516" s="23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23"/>
      <c r="AJ516" s="23"/>
    </row>
    <row r="517" spans="1:36" ht="11.25" customHeight="1" x14ac:dyDescent="0.25">
      <c r="A517" s="23"/>
      <c r="B517" s="44"/>
      <c r="C517" s="45"/>
      <c r="D517" s="23"/>
      <c r="E517" s="23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5"/>
      <c r="T517" s="23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23"/>
      <c r="AJ517" s="23"/>
    </row>
    <row r="518" spans="1:36" ht="11.25" customHeight="1" x14ac:dyDescent="0.25">
      <c r="A518" s="23"/>
      <c r="B518" s="44"/>
      <c r="C518" s="45"/>
      <c r="D518" s="23"/>
      <c r="E518" s="23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5"/>
      <c r="T518" s="23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23"/>
      <c r="AJ518" s="23"/>
    </row>
    <row r="519" spans="1:36" ht="11.25" customHeight="1" x14ac:dyDescent="0.25">
      <c r="A519" s="23"/>
      <c r="B519" s="44"/>
      <c r="C519" s="45"/>
      <c r="D519" s="23"/>
      <c r="E519" s="23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5"/>
      <c r="T519" s="23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23"/>
      <c r="AJ519" s="23"/>
    </row>
    <row r="520" spans="1:36" ht="11.25" customHeight="1" x14ac:dyDescent="0.25">
      <c r="A520" s="23"/>
      <c r="B520" s="44"/>
      <c r="C520" s="45"/>
      <c r="D520" s="23"/>
      <c r="E520" s="23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5"/>
      <c r="T520" s="23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23"/>
      <c r="AJ520" s="23"/>
    </row>
    <row r="521" spans="1:36" ht="11.25" customHeight="1" x14ac:dyDescent="0.25">
      <c r="A521" s="23"/>
      <c r="B521" s="44"/>
      <c r="C521" s="45"/>
      <c r="D521" s="23"/>
      <c r="E521" s="23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5"/>
      <c r="T521" s="23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23"/>
      <c r="AJ521" s="23"/>
    </row>
    <row r="522" spans="1:36" ht="11.25" customHeight="1" x14ac:dyDescent="0.25">
      <c r="A522" s="23"/>
      <c r="B522" s="44"/>
      <c r="C522" s="45"/>
      <c r="D522" s="23"/>
      <c r="E522" s="23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5"/>
      <c r="T522" s="23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23"/>
      <c r="AJ522" s="23"/>
    </row>
    <row r="523" spans="1:36" ht="11.25" customHeight="1" x14ac:dyDescent="0.25">
      <c r="A523" s="23"/>
      <c r="B523" s="44"/>
      <c r="C523" s="45"/>
      <c r="D523" s="23"/>
      <c r="E523" s="23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5"/>
      <c r="T523" s="23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23"/>
      <c r="AJ523" s="23"/>
    </row>
    <row r="524" spans="1:36" ht="11.25" customHeight="1" x14ac:dyDescent="0.25">
      <c r="A524" s="23"/>
      <c r="B524" s="44"/>
      <c r="C524" s="45"/>
      <c r="D524" s="23"/>
      <c r="E524" s="23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5"/>
      <c r="T524" s="23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23"/>
      <c r="AJ524" s="23"/>
    </row>
    <row r="525" spans="1:36" ht="11.25" customHeight="1" x14ac:dyDescent="0.25">
      <c r="A525" s="23"/>
      <c r="B525" s="44"/>
      <c r="C525" s="45"/>
      <c r="D525" s="23"/>
      <c r="E525" s="23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5"/>
      <c r="T525" s="23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23"/>
      <c r="AJ525" s="23"/>
    </row>
    <row r="526" spans="1:36" ht="11.25" customHeight="1" x14ac:dyDescent="0.25">
      <c r="A526" s="23"/>
      <c r="B526" s="44"/>
      <c r="C526" s="45"/>
      <c r="D526" s="23"/>
      <c r="E526" s="23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5"/>
      <c r="T526" s="23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23"/>
      <c r="AJ526" s="23"/>
    </row>
    <row r="527" spans="1:36" ht="11.25" customHeight="1" x14ac:dyDescent="0.25">
      <c r="A527" s="23"/>
      <c r="B527" s="44"/>
      <c r="C527" s="45"/>
      <c r="D527" s="23"/>
      <c r="E527" s="23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5"/>
      <c r="T527" s="23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23"/>
      <c r="AJ527" s="23"/>
    </row>
    <row r="528" spans="1:36" ht="11.25" customHeight="1" x14ac:dyDescent="0.25">
      <c r="A528" s="23"/>
      <c r="B528" s="44"/>
      <c r="C528" s="45"/>
      <c r="D528" s="23"/>
      <c r="E528" s="23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5"/>
      <c r="T528" s="23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23"/>
      <c r="AJ528" s="23"/>
    </row>
    <row r="529" spans="1:36" ht="11.25" customHeight="1" x14ac:dyDescent="0.25">
      <c r="A529" s="23"/>
      <c r="B529" s="44"/>
      <c r="C529" s="45"/>
      <c r="D529" s="23"/>
      <c r="E529" s="23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5"/>
      <c r="T529" s="23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23"/>
      <c r="AJ529" s="23"/>
    </row>
    <row r="530" spans="1:36" ht="11.25" customHeight="1" x14ac:dyDescent="0.25">
      <c r="A530" s="23"/>
      <c r="B530" s="44"/>
      <c r="C530" s="45"/>
      <c r="D530" s="23"/>
      <c r="E530" s="23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5"/>
      <c r="T530" s="23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23"/>
      <c r="AJ530" s="23"/>
    </row>
    <row r="531" spans="1:36" ht="11.25" customHeight="1" x14ac:dyDescent="0.25">
      <c r="A531" s="23"/>
      <c r="B531" s="44"/>
      <c r="C531" s="45"/>
      <c r="D531" s="23"/>
      <c r="E531" s="23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5"/>
      <c r="T531" s="23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23"/>
      <c r="AJ531" s="23"/>
    </row>
    <row r="532" spans="1:36" ht="11.25" customHeight="1" x14ac:dyDescent="0.25">
      <c r="A532" s="23"/>
      <c r="B532" s="44"/>
      <c r="C532" s="45"/>
      <c r="D532" s="23"/>
      <c r="E532" s="23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5"/>
      <c r="T532" s="23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23"/>
      <c r="AJ532" s="23"/>
    </row>
    <row r="533" spans="1:36" ht="11.25" customHeight="1" x14ac:dyDescent="0.25">
      <c r="A533" s="23"/>
      <c r="B533" s="44"/>
      <c r="C533" s="45"/>
      <c r="D533" s="23"/>
      <c r="E533" s="23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5"/>
      <c r="T533" s="23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23"/>
      <c r="AJ533" s="23"/>
    </row>
    <row r="534" spans="1:36" ht="11.25" customHeight="1" x14ac:dyDescent="0.25">
      <c r="A534" s="23"/>
      <c r="B534" s="44"/>
      <c r="C534" s="45"/>
      <c r="D534" s="23"/>
      <c r="E534" s="23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5"/>
      <c r="T534" s="23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23"/>
      <c r="AJ534" s="23"/>
    </row>
    <row r="535" spans="1:36" ht="11.25" customHeight="1" x14ac:dyDescent="0.25">
      <c r="A535" s="23"/>
      <c r="B535" s="44"/>
      <c r="C535" s="45"/>
      <c r="D535" s="23"/>
      <c r="E535" s="23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5"/>
      <c r="T535" s="23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23"/>
      <c r="AJ535" s="23"/>
    </row>
    <row r="536" spans="1:36" ht="11.25" customHeight="1" x14ac:dyDescent="0.25">
      <c r="A536" s="23"/>
      <c r="B536" s="44"/>
      <c r="C536" s="45"/>
      <c r="D536" s="23"/>
      <c r="E536" s="23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5"/>
      <c r="T536" s="23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23"/>
      <c r="AJ536" s="23"/>
    </row>
    <row r="537" spans="1:36" ht="11.25" customHeight="1" x14ac:dyDescent="0.25">
      <c r="A537" s="23"/>
      <c r="B537" s="44"/>
      <c r="C537" s="45"/>
      <c r="D537" s="23"/>
      <c r="E537" s="23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5"/>
      <c r="T537" s="23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23"/>
      <c r="AJ537" s="23"/>
    </row>
    <row r="538" spans="1:36" ht="11.25" customHeight="1" x14ac:dyDescent="0.25">
      <c r="A538" s="23"/>
      <c r="B538" s="44"/>
      <c r="C538" s="45"/>
      <c r="D538" s="23"/>
      <c r="E538" s="23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5"/>
      <c r="T538" s="23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23"/>
      <c r="AJ538" s="23"/>
    </row>
    <row r="539" spans="1:36" ht="11.25" customHeight="1" x14ac:dyDescent="0.25">
      <c r="A539" s="23"/>
      <c r="B539" s="44"/>
      <c r="C539" s="45"/>
      <c r="D539" s="23"/>
      <c r="E539" s="23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5"/>
      <c r="T539" s="23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23"/>
      <c r="AJ539" s="23"/>
    </row>
    <row r="540" spans="1:36" ht="11.25" customHeight="1" x14ac:dyDescent="0.25">
      <c r="A540" s="23"/>
      <c r="B540" s="44"/>
      <c r="C540" s="45"/>
      <c r="D540" s="23"/>
      <c r="E540" s="23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5"/>
      <c r="T540" s="23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23"/>
      <c r="AJ540" s="23"/>
    </row>
    <row r="541" spans="1:36" ht="11.25" customHeight="1" x14ac:dyDescent="0.25">
      <c r="A541" s="23"/>
      <c r="B541" s="44"/>
      <c r="C541" s="45"/>
      <c r="D541" s="23"/>
      <c r="E541" s="23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5"/>
      <c r="T541" s="23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23"/>
      <c r="AJ541" s="23"/>
    </row>
    <row r="542" spans="1:36" ht="11.25" customHeight="1" x14ac:dyDescent="0.25">
      <c r="A542" s="23"/>
      <c r="B542" s="44"/>
      <c r="C542" s="45"/>
      <c r="D542" s="23"/>
      <c r="E542" s="23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5"/>
      <c r="T542" s="23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23"/>
      <c r="AJ542" s="23"/>
    </row>
    <row r="543" spans="1:36" ht="11.25" customHeight="1" x14ac:dyDescent="0.25">
      <c r="A543" s="23"/>
      <c r="B543" s="44"/>
      <c r="C543" s="45"/>
      <c r="D543" s="23"/>
      <c r="E543" s="23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5"/>
      <c r="T543" s="23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23"/>
      <c r="AJ543" s="23"/>
    </row>
    <row r="544" spans="1:36" ht="11.25" customHeight="1" x14ac:dyDescent="0.25">
      <c r="A544" s="23"/>
      <c r="B544" s="44"/>
      <c r="C544" s="45"/>
      <c r="D544" s="23"/>
      <c r="E544" s="23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5"/>
      <c r="T544" s="23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23"/>
      <c r="AJ544" s="23"/>
    </row>
    <row r="545" spans="1:36" ht="11.25" customHeight="1" x14ac:dyDescent="0.25">
      <c r="A545" s="23"/>
      <c r="B545" s="44"/>
      <c r="C545" s="45"/>
      <c r="D545" s="23"/>
      <c r="E545" s="23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5"/>
      <c r="T545" s="23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23"/>
      <c r="AJ545" s="23"/>
    </row>
    <row r="546" spans="1:36" ht="11.25" customHeight="1" x14ac:dyDescent="0.25">
      <c r="A546" s="23"/>
      <c r="B546" s="44"/>
      <c r="C546" s="45"/>
      <c r="D546" s="23"/>
      <c r="E546" s="23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5"/>
      <c r="T546" s="23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23"/>
      <c r="AJ546" s="23"/>
    </row>
    <row r="547" spans="1:36" ht="11.25" customHeight="1" x14ac:dyDescent="0.25">
      <c r="A547" s="23"/>
      <c r="B547" s="44"/>
      <c r="C547" s="45"/>
      <c r="D547" s="23"/>
      <c r="E547" s="23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5"/>
      <c r="T547" s="23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23"/>
      <c r="AJ547" s="23"/>
    </row>
    <row r="548" spans="1:36" ht="11.25" customHeight="1" x14ac:dyDescent="0.25">
      <c r="A548" s="23"/>
      <c r="B548" s="44"/>
      <c r="C548" s="45"/>
      <c r="D548" s="23"/>
      <c r="E548" s="23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5"/>
      <c r="T548" s="23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23"/>
      <c r="AJ548" s="23"/>
    </row>
    <row r="549" spans="1:36" ht="11.25" customHeight="1" x14ac:dyDescent="0.25">
      <c r="A549" s="23"/>
      <c r="B549" s="44"/>
      <c r="C549" s="45"/>
      <c r="D549" s="23"/>
      <c r="E549" s="23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5"/>
      <c r="T549" s="23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23"/>
      <c r="AJ549" s="23"/>
    </row>
    <row r="550" spans="1:36" ht="11.25" customHeight="1" x14ac:dyDescent="0.25">
      <c r="A550" s="23"/>
      <c r="B550" s="44"/>
      <c r="C550" s="45"/>
      <c r="D550" s="23"/>
      <c r="E550" s="23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5"/>
      <c r="T550" s="23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23"/>
      <c r="AJ550" s="23"/>
    </row>
    <row r="551" spans="1:36" ht="11.25" customHeight="1" x14ac:dyDescent="0.25">
      <c r="A551" s="23"/>
      <c r="B551" s="44"/>
      <c r="C551" s="45"/>
      <c r="D551" s="23"/>
      <c r="E551" s="23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5"/>
      <c r="T551" s="23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23"/>
      <c r="AJ551" s="23"/>
    </row>
    <row r="552" spans="1:36" ht="11.25" customHeight="1" x14ac:dyDescent="0.25">
      <c r="A552" s="23"/>
      <c r="B552" s="44"/>
      <c r="C552" s="45"/>
      <c r="D552" s="23"/>
      <c r="E552" s="23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5"/>
      <c r="T552" s="23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23"/>
      <c r="AJ552" s="23"/>
    </row>
    <row r="553" spans="1:36" ht="11.25" customHeight="1" x14ac:dyDescent="0.25">
      <c r="A553" s="23"/>
      <c r="B553" s="44"/>
      <c r="C553" s="45"/>
      <c r="D553" s="23"/>
      <c r="E553" s="23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5"/>
      <c r="T553" s="23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23"/>
      <c r="AJ553" s="23"/>
    </row>
    <row r="554" spans="1:36" ht="11.25" customHeight="1" x14ac:dyDescent="0.25">
      <c r="A554" s="23"/>
      <c r="B554" s="44"/>
      <c r="C554" s="45"/>
      <c r="D554" s="23"/>
      <c r="E554" s="23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5"/>
      <c r="T554" s="23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23"/>
      <c r="AJ554" s="23"/>
    </row>
    <row r="555" spans="1:36" ht="11.25" customHeight="1" x14ac:dyDescent="0.25">
      <c r="A555" s="23"/>
      <c r="B555" s="44"/>
      <c r="C555" s="45"/>
      <c r="D555" s="23"/>
      <c r="E555" s="23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5"/>
      <c r="T555" s="23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23"/>
      <c r="AJ555" s="23"/>
    </row>
    <row r="556" spans="1:36" ht="11.25" customHeight="1" x14ac:dyDescent="0.25">
      <c r="A556" s="23"/>
      <c r="B556" s="44"/>
      <c r="C556" s="45"/>
      <c r="D556" s="23"/>
      <c r="E556" s="23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5"/>
      <c r="T556" s="23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23"/>
      <c r="AJ556" s="23"/>
    </row>
    <row r="557" spans="1:36" ht="11.25" customHeight="1" x14ac:dyDescent="0.25">
      <c r="A557" s="23"/>
      <c r="B557" s="44"/>
      <c r="C557" s="45"/>
      <c r="D557" s="23"/>
      <c r="E557" s="23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5"/>
      <c r="T557" s="23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23"/>
      <c r="AJ557" s="23"/>
    </row>
    <row r="558" spans="1:36" ht="11.25" customHeight="1" x14ac:dyDescent="0.25">
      <c r="A558" s="23"/>
      <c r="B558" s="44"/>
      <c r="C558" s="45"/>
      <c r="D558" s="23"/>
      <c r="E558" s="23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5"/>
      <c r="T558" s="23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23"/>
      <c r="AJ558" s="23"/>
    </row>
    <row r="559" spans="1:36" ht="11.25" customHeight="1" x14ac:dyDescent="0.25">
      <c r="A559" s="23"/>
      <c r="B559" s="44"/>
      <c r="C559" s="45"/>
      <c r="D559" s="23"/>
      <c r="E559" s="23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5"/>
      <c r="T559" s="23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23"/>
      <c r="AJ559" s="23"/>
    </row>
    <row r="560" spans="1:36" ht="11.25" customHeight="1" x14ac:dyDescent="0.25">
      <c r="A560" s="23"/>
      <c r="B560" s="44"/>
      <c r="C560" s="45"/>
      <c r="D560" s="23"/>
      <c r="E560" s="23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5"/>
      <c r="T560" s="23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23"/>
      <c r="AJ560" s="23"/>
    </row>
    <row r="561" spans="1:36" ht="11.25" customHeight="1" x14ac:dyDescent="0.25">
      <c r="A561" s="23"/>
      <c r="B561" s="44"/>
      <c r="C561" s="45"/>
      <c r="D561" s="23"/>
      <c r="E561" s="23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5"/>
      <c r="T561" s="23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23"/>
      <c r="AJ561" s="23"/>
    </row>
    <row r="562" spans="1:36" ht="11.25" customHeight="1" x14ac:dyDescent="0.25">
      <c r="A562" s="23"/>
      <c r="B562" s="44"/>
      <c r="C562" s="45"/>
      <c r="D562" s="23"/>
      <c r="E562" s="23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5"/>
      <c r="T562" s="23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23"/>
      <c r="AJ562" s="23"/>
    </row>
    <row r="563" spans="1:36" ht="11.25" customHeight="1" x14ac:dyDescent="0.25">
      <c r="A563" s="23"/>
      <c r="B563" s="44"/>
      <c r="C563" s="45"/>
      <c r="D563" s="23"/>
      <c r="E563" s="23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5"/>
      <c r="T563" s="23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23"/>
      <c r="AJ563" s="23"/>
    </row>
    <row r="564" spans="1:36" ht="11.25" customHeight="1" x14ac:dyDescent="0.25">
      <c r="A564" s="23"/>
      <c r="B564" s="44"/>
      <c r="C564" s="45"/>
      <c r="D564" s="23"/>
      <c r="E564" s="23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5"/>
      <c r="T564" s="23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23"/>
      <c r="AJ564" s="23"/>
    </row>
    <row r="565" spans="1:36" ht="11.25" customHeight="1" x14ac:dyDescent="0.25">
      <c r="A565" s="23"/>
      <c r="B565" s="44"/>
      <c r="C565" s="45"/>
      <c r="D565" s="23"/>
      <c r="E565" s="23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5"/>
      <c r="T565" s="23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23"/>
      <c r="AJ565" s="23"/>
    </row>
    <row r="566" spans="1:36" ht="11.25" customHeight="1" x14ac:dyDescent="0.25">
      <c r="A566" s="23"/>
      <c r="B566" s="44"/>
      <c r="C566" s="45"/>
      <c r="D566" s="23"/>
      <c r="E566" s="23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5"/>
      <c r="T566" s="23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23"/>
      <c r="AJ566" s="23"/>
    </row>
    <row r="567" spans="1:36" ht="11.25" customHeight="1" x14ac:dyDescent="0.25">
      <c r="A567" s="23"/>
      <c r="B567" s="44"/>
      <c r="C567" s="45"/>
      <c r="D567" s="23"/>
      <c r="E567" s="23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5"/>
      <c r="T567" s="23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23"/>
      <c r="AJ567" s="23"/>
    </row>
    <row r="568" spans="1:36" ht="11.25" customHeight="1" x14ac:dyDescent="0.25">
      <c r="A568" s="23"/>
      <c r="B568" s="44"/>
      <c r="C568" s="45"/>
      <c r="D568" s="23"/>
      <c r="E568" s="23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5"/>
      <c r="T568" s="23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23"/>
      <c r="AJ568" s="23"/>
    </row>
    <row r="569" spans="1:36" ht="11.25" customHeight="1" x14ac:dyDescent="0.25">
      <c r="A569" s="23"/>
      <c r="B569" s="44"/>
      <c r="C569" s="45"/>
      <c r="D569" s="23"/>
      <c r="E569" s="23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5"/>
      <c r="T569" s="23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23"/>
      <c r="AJ569" s="23"/>
    </row>
    <row r="570" spans="1:36" ht="11.25" customHeight="1" x14ac:dyDescent="0.25">
      <c r="A570" s="23"/>
      <c r="B570" s="44"/>
      <c r="C570" s="45"/>
      <c r="D570" s="23"/>
      <c r="E570" s="23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5"/>
      <c r="T570" s="23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23"/>
      <c r="AJ570" s="23"/>
    </row>
    <row r="571" spans="1:36" ht="11.25" customHeight="1" x14ac:dyDescent="0.25">
      <c r="A571" s="23"/>
      <c r="B571" s="44"/>
      <c r="C571" s="45"/>
      <c r="D571" s="23"/>
      <c r="E571" s="23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5"/>
      <c r="T571" s="23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23"/>
      <c r="AJ571" s="23"/>
    </row>
    <row r="572" spans="1:36" ht="11.25" customHeight="1" x14ac:dyDescent="0.25">
      <c r="A572" s="23"/>
      <c r="B572" s="44"/>
      <c r="C572" s="45"/>
      <c r="D572" s="23"/>
      <c r="E572" s="23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5"/>
      <c r="T572" s="23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23"/>
      <c r="AJ572" s="23"/>
    </row>
    <row r="573" spans="1:36" ht="11.25" customHeight="1" x14ac:dyDescent="0.25">
      <c r="A573" s="23"/>
      <c r="B573" s="44"/>
      <c r="C573" s="45"/>
      <c r="D573" s="23"/>
      <c r="E573" s="23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5"/>
      <c r="T573" s="23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23"/>
      <c r="AJ573" s="23"/>
    </row>
    <row r="574" spans="1:36" ht="11.25" customHeight="1" x14ac:dyDescent="0.25">
      <c r="A574" s="23"/>
      <c r="B574" s="44"/>
      <c r="C574" s="45"/>
      <c r="D574" s="23"/>
      <c r="E574" s="23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5"/>
      <c r="T574" s="23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23"/>
      <c r="AJ574" s="23"/>
    </row>
    <row r="575" spans="1:36" ht="11.25" customHeight="1" x14ac:dyDescent="0.25">
      <c r="A575" s="23"/>
      <c r="B575" s="44"/>
      <c r="C575" s="45"/>
      <c r="D575" s="23"/>
      <c r="E575" s="23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5"/>
      <c r="T575" s="23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23"/>
      <c r="AJ575" s="23"/>
    </row>
    <row r="576" spans="1:36" ht="11.25" customHeight="1" x14ac:dyDescent="0.25">
      <c r="A576" s="23"/>
      <c r="B576" s="44"/>
      <c r="C576" s="45"/>
      <c r="D576" s="23"/>
      <c r="E576" s="23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5"/>
      <c r="T576" s="23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23"/>
      <c r="AJ576" s="23"/>
    </row>
    <row r="577" spans="1:36" ht="11.25" customHeight="1" x14ac:dyDescent="0.25">
      <c r="A577" s="23"/>
      <c r="B577" s="44"/>
      <c r="C577" s="45"/>
      <c r="D577" s="23"/>
      <c r="E577" s="23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5"/>
      <c r="T577" s="23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23"/>
      <c r="AJ577" s="23"/>
    </row>
    <row r="578" spans="1:36" ht="11.25" customHeight="1" x14ac:dyDescent="0.25">
      <c r="A578" s="23"/>
      <c r="B578" s="44"/>
      <c r="C578" s="45"/>
      <c r="D578" s="23"/>
      <c r="E578" s="23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5"/>
      <c r="T578" s="23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23"/>
      <c r="AJ578" s="23"/>
    </row>
    <row r="579" spans="1:36" ht="11.25" customHeight="1" x14ac:dyDescent="0.25">
      <c r="A579" s="23"/>
      <c r="B579" s="44"/>
      <c r="C579" s="45"/>
      <c r="D579" s="23"/>
      <c r="E579" s="23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5"/>
      <c r="T579" s="23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23"/>
      <c r="AJ579" s="23"/>
    </row>
    <row r="580" spans="1:36" ht="11.25" customHeight="1" x14ac:dyDescent="0.25">
      <c r="A580" s="23"/>
      <c r="B580" s="44"/>
      <c r="C580" s="45"/>
      <c r="D580" s="23"/>
      <c r="E580" s="23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5"/>
      <c r="T580" s="23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23"/>
      <c r="AJ580" s="23"/>
    </row>
    <row r="581" spans="1:36" ht="11.25" customHeight="1" x14ac:dyDescent="0.25">
      <c r="A581" s="23"/>
      <c r="B581" s="44"/>
      <c r="C581" s="45"/>
      <c r="D581" s="23"/>
      <c r="E581" s="23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5"/>
      <c r="T581" s="23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23"/>
      <c r="AJ581" s="23"/>
    </row>
    <row r="582" spans="1:36" ht="11.25" customHeight="1" x14ac:dyDescent="0.25">
      <c r="A582" s="23"/>
      <c r="B582" s="44"/>
      <c r="C582" s="45"/>
      <c r="D582" s="23"/>
      <c r="E582" s="23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5"/>
      <c r="T582" s="23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23"/>
      <c r="AJ582" s="23"/>
    </row>
    <row r="583" spans="1:36" ht="11.25" customHeight="1" x14ac:dyDescent="0.25">
      <c r="A583" s="23"/>
      <c r="B583" s="44"/>
      <c r="C583" s="45"/>
      <c r="D583" s="23"/>
      <c r="E583" s="23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5"/>
      <c r="T583" s="23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23"/>
      <c r="AJ583" s="23"/>
    </row>
    <row r="584" spans="1:36" ht="11.25" customHeight="1" x14ac:dyDescent="0.25">
      <c r="A584" s="23"/>
      <c r="B584" s="44"/>
      <c r="C584" s="45"/>
      <c r="D584" s="23"/>
      <c r="E584" s="23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5"/>
      <c r="T584" s="23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23"/>
      <c r="AJ584" s="23"/>
    </row>
    <row r="585" spans="1:36" ht="11.25" customHeight="1" x14ac:dyDescent="0.25">
      <c r="A585" s="23"/>
      <c r="B585" s="44"/>
      <c r="C585" s="45"/>
      <c r="D585" s="23"/>
      <c r="E585" s="23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5"/>
      <c r="T585" s="23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23"/>
      <c r="AJ585" s="23"/>
    </row>
    <row r="586" spans="1:36" ht="11.25" customHeight="1" x14ac:dyDescent="0.25">
      <c r="A586" s="23"/>
      <c r="B586" s="44"/>
      <c r="C586" s="45"/>
      <c r="D586" s="23"/>
      <c r="E586" s="23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5"/>
      <c r="T586" s="23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23"/>
      <c r="AJ586" s="23"/>
    </row>
    <row r="587" spans="1:36" ht="11.25" customHeight="1" x14ac:dyDescent="0.25">
      <c r="A587" s="23"/>
      <c r="B587" s="44"/>
      <c r="C587" s="45"/>
      <c r="D587" s="23"/>
      <c r="E587" s="23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5"/>
      <c r="T587" s="23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23"/>
      <c r="AJ587" s="23"/>
    </row>
    <row r="588" spans="1:36" ht="11.25" customHeight="1" x14ac:dyDescent="0.25">
      <c r="A588" s="23"/>
      <c r="B588" s="44"/>
      <c r="C588" s="45"/>
      <c r="D588" s="23"/>
      <c r="E588" s="23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5"/>
      <c r="T588" s="23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23"/>
      <c r="AJ588" s="23"/>
    </row>
    <row r="589" spans="1:36" ht="11.25" customHeight="1" x14ac:dyDescent="0.25">
      <c r="A589" s="23"/>
      <c r="B589" s="44"/>
      <c r="C589" s="45"/>
      <c r="D589" s="23"/>
      <c r="E589" s="23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5"/>
      <c r="T589" s="23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23"/>
      <c r="AJ589" s="23"/>
    </row>
    <row r="590" spans="1:36" ht="11.25" customHeight="1" x14ac:dyDescent="0.25">
      <c r="A590" s="23"/>
      <c r="B590" s="44"/>
      <c r="C590" s="45"/>
      <c r="D590" s="23"/>
      <c r="E590" s="23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5"/>
      <c r="T590" s="23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23"/>
      <c r="AJ590" s="23"/>
    </row>
    <row r="591" spans="1:36" ht="11.25" customHeight="1" x14ac:dyDescent="0.25">
      <c r="A591" s="23"/>
      <c r="B591" s="44"/>
      <c r="C591" s="45"/>
      <c r="D591" s="23"/>
      <c r="E591" s="23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5"/>
      <c r="T591" s="23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23"/>
      <c r="AJ591" s="23"/>
    </row>
    <row r="592" spans="1:36" ht="11.25" customHeight="1" x14ac:dyDescent="0.25">
      <c r="A592" s="23"/>
      <c r="B592" s="44"/>
      <c r="C592" s="45"/>
      <c r="D592" s="23"/>
      <c r="E592" s="23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5"/>
      <c r="T592" s="23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23"/>
      <c r="AJ592" s="23"/>
    </row>
    <row r="593" spans="1:36" ht="11.25" customHeight="1" x14ac:dyDescent="0.25">
      <c r="A593" s="23"/>
      <c r="B593" s="44"/>
      <c r="C593" s="45"/>
      <c r="D593" s="23"/>
      <c r="E593" s="23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5"/>
      <c r="T593" s="23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23"/>
      <c r="AJ593" s="23"/>
    </row>
    <row r="594" spans="1:36" ht="11.25" customHeight="1" x14ac:dyDescent="0.25">
      <c r="A594" s="23"/>
      <c r="B594" s="44"/>
      <c r="C594" s="45"/>
      <c r="D594" s="23"/>
      <c r="E594" s="23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5"/>
      <c r="T594" s="23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23"/>
      <c r="AJ594" s="23"/>
    </row>
    <row r="595" spans="1:36" ht="11.25" customHeight="1" x14ac:dyDescent="0.25">
      <c r="A595" s="23"/>
      <c r="B595" s="44"/>
      <c r="C595" s="45"/>
      <c r="D595" s="23"/>
      <c r="E595" s="23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5"/>
      <c r="T595" s="23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23"/>
      <c r="AJ595" s="23"/>
    </row>
    <row r="596" spans="1:36" ht="11.25" customHeight="1" x14ac:dyDescent="0.25">
      <c r="A596" s="23"/>
      <c r="B596" s="44"/>
      <c r="C596" s="45"/>
      <c r="D596" s="23"/>
      <c r="E596" s="23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5"/>
      <c r="T596" s="23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23"/>
      <c r="AJ596" s="23"/>
    </row>
    <row r="597" spans="1:36" ht="11.25" customHeight="1" x14ac:dyDescent="0.25">
      <c r="A597" s="23"/>
      <c r="B597" s="44"/>
      <c r="C597" s="45"/>
      <c r="D597" s="23"/>
      <c r="E597" s="23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5"/>
      <c r="T597" s="23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23"/>
      <c r="AJ597" s="23"/>
    </row>
    <row r="598" spans="1:36" ht="11.25" customHeight="1" x14ac:dyDescent="0.25">
      <c r="A598" s="23"/>
      <c r="B598" s="44"/>
      <c r="C598" s="45"/>
      <c r="D598" s="23"/>
      <c r="E598" s="23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5"/>
      <c r="T598" s="23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23"/>
      <c r="AJ598" s="23"/>
    </row>
    <row r="599" spans="1:36" ht="11.25" customHeight="1" x14ac:dyDescent="0.25">
      <c r="A599" s="23"/>
      <c r="B599" s="44"/>
      <c r="C599" s="45"/>
      <c r="D599" s="23"/>
      <c r="E599" s="23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5"/>
      <c r="T599" s="23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23"/>
      <c r="AJ599" s="23"/>
    </row>
    <row r="600" spans="1:36" ht="11.25" customHeight="1" x14ac:dyDescent="0.25">
      <c r="A600" s="23"/>
      <c r="B600" s="44"/>
      <c r="C600" s="45"/>
      <c r="D600" s="23"/>
      <c r="E600" s="23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5"/>
      <c r="T600" s="23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23"/>
      <c r="AJ600" s="23"/>
    </row>
    <row r="601" spans="1:36" ht="11.25" customHeight="1" x14ac:dyDescent="0.25">
      <c r="A601" s="23"/>
      <c r="B601" s="44"/>
      <c r="C601" s="45"/>
      <c r="D601" s="23"/>
      <c r="E601" s="23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5"/>
      <c r="T601" s="23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23"/>
      <c r="AJ601" s="23"/>
    </row>
    <row r="602" spans="1:36" ht="11.25" customHeight="1" x14ac:dyDescent="0.25">
      <c r="A602" s="23"/>
      <c r="B602" s="44"/>
      <c r="C602" s="45"/>
      <c r="D602" s="23"/>
      <c r="E602" s="23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5"/>
      <c r="T602" s="23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23"/>
      <c r="AJ602" s="23"/>
    </row>
    <row r="603" spans="1:36" ht="11.25" customHeight="1" x14ac:dyDescent="0.25">
      <c r="A603" s="23"/>
      <c r="B603" s="44"/>
      <c r="C603" s="45"/>
      <c r="D603" s="23"/>
      <c r="E603" s="23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5"/>
      <c r="T603" s="23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23"/>
      <c r="AJ603" s="23"/>
    </row>
    <row r="604" spans="1:36" ht="11.25" customHeight="1" x14ac:dyDescent="0.25">
      <c r="A604" s="23"/>
      <c r="B604" s="44"/>
      <c r="C604" s="45"/>
      <c r="D604" s="23"/>
      <c r="E604" s="23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5"/>
      <c r="T604" s="23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23"/>
      <c r="AJ604" s="23"/>
    </row>
    <row r="605" spans="1:36" ht="11.25" customHeight="1" x14ac:dyDescent="0.25">
      <c r="A605" s="23"/>
      <c r="B605" s="44"/>
      <c r="C605" s="45"/>
      <c r="D605" s="23"/>
      <c r="E605" s="23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5"/>
      <c r="T605" s="23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23"/>
      <c r="AJ605" s="23"/>
    </row>
    <row r="606" spans="1:36" ht="11.25" customHeight="1" x14ac:dyDescent="0.25">
      <c r="A606" s="23"/>
      <c r="B606" s="44"/>
      <c r="C606" s="45"/>
      <c r="D606" s="23"/>
      <c r="E606" s="23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5"/>
      <c r="T606" s="23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23"/>
      <c r="AJ606" s="23"/>
    </row>
    <row r="607" spans="1:36" ht="11.25" customHeight="1" x14ac:dyDescent="0.25">
      <c r="A607" s="23"/>
      <c r="B607" s="44"/>
      <c r="C607" s="45"/>
      <c r="D607" s="23"/>
      <c r="E607" s="23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5"/>
      <c r="T607" s="23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23"/>
      <c r="AJ607" s="23"/>
    </row>
    <row r="608" spans="1:36" ht="11.25" customHeight="1" x14ac:dyDescent="0.25">
      <c r="A608" s="23"/>
      <c r="B608" s="44"/>
      <c r="C608" s="45"/>
      <c r="D608" s="23"/>
      <c r="E608" s="23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5"/>
      <c r="T608" s="23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23"/>
      <c r="AJ608" s="23"/>
    </row>
    <row r="609" spans="1:36" ht="11.25" customHeight="1" x14ac:dyDescent="0.25">
      <c r="A609" s="23"/>
      <c r="B609" s="44"/>
      <c r="C609" s="45"/>
      <c r="D609" s="23"/>
      <c r="E609" s="23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5"/>
      <c r="T609" s="23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23"/>
      <c r="AJ609" s="23"/>
    </row>
    <row r="610" spans="1:36" ht="11.25" customHeight="1" x14ac:dyDescent="0.25">
      <c r="A610" s="23"/>
      <c r="B610" s="44"/>
      <c r="C610" s="45"/>
      <c r="D610" s="23"/>
      <c r="E610" s="23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5"/>
      <c r="T610" s="23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23"/>
      <c r="AJ610" s="23"/>
    </row>
    <row r="611" spans="1:36" ht="11.25" customHeight="1" x14ac:dyDescent="0.25">
      <c r="A611" s="23"/>
      <c r="B611" s="44"/>
      <c r="C611" s="45"/>
      <c r="D611" s="23"/>
      <c r="E611" s="23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5"/>
      <c r="T611" s="23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23"/>
      <c r="AJ611" s="23"/>
    </row>
    <row r="612" spans="1:36" ht="11.25" customHeight="1" x14ac:dyDescent="0.25">
      <c r="A612" s="23"/>
      <c r="B612" s="44"/>
      <c r="C612" s="45"/>
      <c r="D612" s="23"/>
      <c r="E612" s="23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5"/>
      <c r="T612" s="23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23"/>
      <c r="AJ612" s="23"/>
    </row>
    <row r="613" spans="1:36" ht="11.25" customHeight="1" x14ac:dyDescent="0.25">
      <c r="A613" s="23"/>
      <c r="B613" s="44"/>
      <c r="C613" s="45"/>
      <c r="D613" s="23"/>
      <c r="E613" s="23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5"/>
      <c r="T613" s="23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23"/>
      <c r="AJ613" s="23"/>
    </row>
    <row r="614" spans="1:36" ht="11.25" customHeight="1" x14ac:dyDescent="0.25">
      <c r="A614" s="23"/>
      <c r="B614" s="44"/>
      <c r="C614" s="45"/>
      <c r="D614" s="23"/>
      <c r="E614" s="23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5"/>
      <c r="T614" s="23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23"/>
      <c r="AJ614" s="23"/>
    </row>
    <row r="615" spans="1:36" ht="11.25" customHeight="1" x14ac:dyDescent="0.25">
      <c r="A615" s="23"/>
      <c r="B615" s="44"/>
      <c r="C615" s="45"/>
      <c r="D615" s="23"/>
      <c r="E615" s="23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5"/>
      <c r="T615" s="23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23"/>
      <c r="AJ615" s="23"/>
    </row>
    <row r="616" spans="1:36" ht="11.25" customHeight="1" x14ac:dyDescent="0.25">
      <c r="A616" s="23"/>
      <c r="B616" s="44"/>
      <c r="C616" s="45"/>
      <c r="D616" s="23"/>
      <c r="E616" s="23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5"/>
      <c r="T616" s="23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23"/>
      <c r="AJ616" s="23"/>
    </row>
    <row r="617" spans="1:36" ht="11.25" customHeight="1" x14ac:dyDescent="0.25">
      <c r="A617" s="23"/>
      <c r="B617" s="44"/>
      <c r="C617" s="45"/>
      <c r="D617" s="23"/>
      <c r="E617" s="23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5"/>
      <c r="T617" s="23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23"/>
      <c r="AJ617" s="23"/>
    </row>
    <row r="618" spans="1:36" ht="11.25" customHeight="1" x14ac:dyDescent="0.25">
      <c r="A618" s="23"/>
      <c r="B618" s="44"/>
      <c r="C618" s="45"/>
      <c r="D618" s="23"/>
      <c r="E618" s="23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5"/>
      <c r="T618" s="23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23"/>
      <c r="AJ618" s="23"/>
    </row>
    <row r="619" spans="1:36" ht="11.25" customHeight="1" x14ac:dyDescent="0.25">
      <c r="A619" s="23"/>
      <c r="B619" s="44"/>
      <c r="C619" s="45"/>
      <c r="D619" s="23"/>
      <c r="E619" s="23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5"/>
      <c r="T619" s="23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23"/>
      <c r="AJ619" s="23"/>
    </row>
    <row r="620" spans="1:36" ht="11.25" customHeight="1" x14ac:dyDescent="0.25">
      <c r="A620" s="23"/>
      <c r="B620" s="44"/>
      <c r="C620" s="45"/>
      <c r="D620" s="23"/>
      <c r="E620" s="23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5"/>
      <c r="T620" s="23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23"/>
      <c r="AJ620" s="23"/>
    </row>
    <row r="621" spans="1:36" ht="11.25" customHeight="1" x14ac:dyDescent="0.25">
      <c r="A621" s="23"/>
      <c r="B621" s="44"/>
      <c r="C621" s="45"/>
      <c r="D621" s="23"/>
      <c r="E621" s="23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5"/>
      <c r="T621" s="23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23"/>
      <c r="AJ621" s="23"/>
    </row>
    <row r="622" spans="1:36" ht="11.25" customHeight="1" x14ac:dyDescent="0.25">
      <c r="A622" s="23"/>
      <c r="B622" s="44"/>
      <c r="C622" s="45"/>
      <c r="D622" s="23"/>
      <c r="E622" s="23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5"/>
      <c r="T622" s="23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23"/>
      <c r="AJ622" s="23"/>
    </row>
    <row r="623" spans="1:36" ht="11.25" customHeight="1" x14ac:dyDescent="0.25">
      <c r="A623" s="23"/>
      <c r="B623" s="44"/>
      <c r="C623" s="45"/>
      <c r="D623" s="23"/>
      <c r="E623" s="23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5"/>
      <c r="T623" s="23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23"/>
      <c r="AJ623" s="23"/>
    </row>
    <row r="624" spans="1:36" ht="11.25" customHeight="1" x14ac:dyDescent="0.25">
      <c r="A624" s="23"/>
      <c r="B624" s="44"/>
      <c r="C624" s="45"/>
      <c r="D624" s="23"/>
      <c r="E624" s="23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5"/>
      <c r="T624" s="23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23"/>
      <c r="AJ624" s="23"/>
    </row>
    <row r="625" spans="1:36" ht="11.25" customHeight="1" x14ac:dyDescent="0.25">
      <c r="A625" s="23"/>
      <c r="B625" s="44"/>
      <c r="C625" s="45"/>
      <c r="D625" s="23"/>
      <c r="E625" s="23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5"/>
      <c r="T625" s="23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23"/>
      <c r="AJ625" s="23"/>
    </row>
    <row r="626" spans="1:36" ht="11.25" customHeight="1" x14ac:dyDescent="0.25">
      <c r="A626" s="23"/>
      <c r="B626" s="44"/>
      <c r="C626" s="45"/>
      <c r="D626" s="23"/>
      <c r="E626" s="23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5"/>
      <c r="T626" s="23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23"/>
      <c r="AJ626" s="23"/>
    </row>
    <row r="627" spans="1:36" ht="11.25" customHeight="1" x14ac:dyDescent="0.25">
      <c r="A627" s="23"/>
      <c r="B627" s="44"/>
      <c r="C627" s="45"/>
      <c r="D627" s="23"/>
      <c r="E627" s="23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5"/>
      <c r="T627" s="23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23"/>
      <c r="AJ627" s="23"/>
    </row>
    <row r="628" spans="1:36" ht="11.25" customHeight="1" x14ac:dyDescent="0.25">
      <c r="A628" s="23"/>
      <c r="B628" s="44"/>
      <c r="C628" s="45"/>
      <c r="D628" s="23"/>
      <c r="E628" s="23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5"/>
      <c r="T628" s="23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23"/>
      <c r="AJ628" s="23"/>
    </row>
    <row r="629" spans="1:36" ht="11.25" customHeight="1" x14ac:dyDescent="0.25">
      <c r="A629" s="23"/>
      <c r="B629" s="44"/>
      <c r="C629" s="45"/>
      <c r="D629" s="23"/>
      <c r="E629" s="23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5"/>
      <c r="T629" s="23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23"/>
      <c r="AJ629" s="23"/>
    </row>
    <row r="630" spans="1:36" ht="11.25" customHeight="1" x14ac:dyDescent="0.25">
      <c r="A630" s="23"/>
      <c r="B630" s="44"/>
      <c r="C630" s="45"/>
      <c r="D630" s="23"/>
      <c r="E630" s="23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5"/>
      <c r="T630" s="23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23"/>
      <c r="AJ630" s="23"/>
    </row>
    <row r="631" spans="1:36" ht="11.25" customHeight="1" x14ac:dyDescent="0.25">
      <c r="A631" s="23"/>
      <c r="B631" s="44"/>
      <c r="C631" s="45"/>
      <c r="D631" s="23"/>
      <c r="E631" s="23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5"/>
      <c r="T631" s="23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23"/>
      <c r="AJ631" s="23"/>
    </row>
    <row r="632" spans="1:36" ht="11.25" customHeight="1" x14ac:dyDescent="0.25">
      <c r="A632" s="23"/>
      <c r="B632" s="44"/>
      <c r="C632" s="45"/>
      <c r="D632" s="23"/>
      <c r="E632" s="23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5"/>
      <c r="T632" s="23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23"/>
      <c r="AJ632" s="23"/>
    </row>
    <row r="633" spans="1:36" ht="11.25" customHeight="1" x14ac:dyDescent="0.25">
      <c r="A633" s="23"/>
      <c r="B633" s="44"/>
      <c r="C633" s="45"/>
      <c r="D633" s="23"/>
      <c r="E633" s="23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5"/>
      <c r="T633" s="23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23"/>
      <c r="AJ633" s="23"/>
    </row>
    <row r="634" spans="1:36" ht="11.25" customHeight="1" x14ac:dyDescent="0.25">
      <c r="A634" s="23"/>
      <c r="B634" s="44"/>
      <c r="C634" s="45"/>
      <c r="D634" s="23"/>
      <c r="E634" s="23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5"/>
      <c r="T634" s="23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23"/>
      <c r="AJ634" s="23"/>
    </row>
    <row r="635" spans="1:36" ht="11.25" customHeight="1" x14ac:dyDescent="0.25">
      <c r="A635" s="23"/>
      <c r="B635" s="44"/>
      <c r="C635" s="45"/>
      <c r="D635" s="23"/>
      <c r="E635" s="23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5"/>
      <c r="T635" s="23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23"/>
      <c r="AJ635" s="23"/>
    </row>
    <row r="636" spans="1:36" ht="11.25" customHeight="1" x14ac:dyDescent="0.25">
      <c r="A636" s="23"/>
      <c r="B636" s="44"/>
      <c r="C636" s="45"/>
      <c r="D636" s="23"/>
      <c r="E636" s="23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5"/>
      <c r="T636" s="23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23"/>
      <c r="AJ636" s="23"/>
    </row>
    <row r="637" spans="1:36" ht="11.25" customHeight="1" x14ac:dyDescent="0.25">
      <c r="A637" s="23"/>
      <c r="B637" s="44"/>
      <c r="C637" s="45"/>
      <c r="D637" s="23"/>
      <c r="E637" s="23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5"/>
      <c r="T637" s="23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23"/>
      <c r="AJ637" s="23"/>
    </row>
    <row r="638" spans="1:36" ht="11.25" customHeight="1" x14ac:dyDescent="0.25">
      <c r="A638" s="23"/>
      <c r="B638" s="44"/>
      <c r="C638" s="45"/>
      <c r="D638" s="23"/>
      <c r="E638" s="23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5"/>
      <c r="T638" s="23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23"/>
      <c r="AJ638" s="23"/>
    </row>
    <row r="639" spans="1:36" ht="11.25" customHeight="1" x14ac:dyDescent="0.25">
      <c r="A639" s="23"/>
      <c r="B639" s="44"/>
      <c r="C639" s="45"/>
      <c r="D639" s="23"/>
      <c r="E639" s="23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5"/>
      <c r="T639" s="23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23"/>
      <c r="AJ639" s="23"/>
    </row>
    <row r="640" spans="1:36" ht="11.25" customHeight="1" x14ac:dyDescent="0.25">
      <c r="A640" s="23"/>
      <c r="B640" s="44"/>
      <c r="C640" s="45"/>
      <c r="D640" s="23"/>
      <c r="E640" s="23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5"/>
      <c r="T640" s="23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23"/>
      <c r="AJ640" s="23"/>
    </row>
    <row r="641" spans="1:36" ht="11.25" customHeight="1" x14ac:dyDescent="0.25">
      <c r="A641" s="23"/>
      <c r="B641" s="44"/>
      <c r="C641" s="45"/>
      <c r="D641" s="23"/>
      <c r="E641" s="23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5"/>
      <c r="T641" s="23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23"/>
      <c r="AJ641" s="23"/>
    </row>
    <row r="642" spans="1:36" ht="11.25" customHeight="1" x14ac:dyDescent="0.25">
      <c r="A642" s="23"/>
      <c r="B642" s="44"/>
      <c r="C642" s="45"/>
      <c r="D642" s="23"/>
      <c r="E642" s="23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5"/>
      <c r="T642" s="23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23"/>
      <c r="AJ642" s="23"/>
    </row>
    <row r="643" spans="1:36" ht="11.25" customHeight="1" x14ac:dyDescent="0.25">
      <c r="A643" s="23"/>
      <c r="B643" s="44"/>
      <c r="C643" s="45"/>
      <c r="D643" s="23"/>
      <c r="E643" s="23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5"/>
      <c r="T643" s="23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23"/>
      <c r="AJ643" s="23"/>
    </row>
    <row r="644" spans="1:36" ht="11.25" customHeight="1" x14ac:dyDescent="0.25">
      <c r="A644" s="23"/>
      <c r="B644" s="44"/>
      <c r="C644" s="45"/>
      <c r="D644" s="23"/>
      <c r="E644" s="23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5"/>
      <c r="T644" s="23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23"/>
      <c r="AJ644" s="23"/>
    </row>
    <row r="645" spans="1:36" ht="11.25" customHeight="1" x14ac:dyDescent="0.25">
      <c r="A645" s="23"/>
      <c r="B645" s="44"/>
      <c r="C645" s="45"/>
      <c r="D645" s="23"/>
      <c r="E645" s="23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5"/>
      <c r="T645" s="23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23"/>
      <c r="AJ645" s="23"/>
    </row>
    <row r="646" spans="1:36" ht="11.25" customHeight="1" x14ac:dyDescent="0.25">
      <c r="A646" s="23"/>
      <c r="B646" s="44"/>
      <c r="C646" s="45"/>
      <c r="D646" s="23"/>
      <c r="E646" s="23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5"/>
      <c r="T646" s="23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23"/>
      <c r="AJ646" s="23"/>
    </row>
    <row r="647" spans="1:36" ht="11.25" customHeight="1" x14ac:dyDescent="0.25">
      <c r="A647" s="23"/>
      <c r="B647" s="44"/>
      <c r="C647" s="45"/>
      <c r="D647" s="23"/>
      <c r="E647" s="23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5"/>
      <c r="T647" s="23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23"/>
      <c r="AJ647" s="23"/>
    </row>
    <row r="648" spans="1:36" ht="11.25" customHeight="1" x14ac:dyDescent="0.25">
      <c r="A648" s="23"/>
      <c r="B648" s="44"/>
      <c r="C648" s="45"/>
      <c r="D648" s="23"/>
      <c r="E648" s="23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5"/>
      <c r="T648" s="23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23"/>
      <c r="AJ648" s="23"/>
    </row>
    <row r="649" spans="1:36" ht="11.25" customHeight="1" x14ac:dyDescent="0.25">
      <c r="A649" s="23"/>
      <c r="B649" s="44"/>
      <c r="C649" s="45"/>
      <c r="D649" s="23"/>
      <c r="E649" s="23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5"/>
      <c r="T649" s="23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23"/>
      <c r="AJ649" s="23"/>
    </row>
    <row r="650" spans="1:36" ht="11.25" customHeight="1" x14ac:dyDescent="0.25">
      <c r="A650" s="23"/>
      <c r="B650" s="44"/>
      <c r="C650" s="45"/>
      <c r="D650" s="23"/>
      <c r="E650" s="23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5"/>
      <c r="T650" s="23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23"/>
      <c r="AJ650" s="23"/>
    </row>
    <row r="651" spans="1:36" ht="11.25" customHeight="1" x14ac:dyDescent="0.25">
      <c r="A651" s="23"/>
      <c r="B651" s="44"/>
      <c r="C651" s="45"/>
      <c r="D651" s="23"/>
      <c r="E651" s="23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5"/>
      <c r="T651" s="23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23"/>
      <c r="AJ651" s="23"/>
    </row>
    <row r="652" spans="1:36" ht="11.25" customHeight="1" x14ac:dyDescent="0.25">
      <c r="A652" s="23"/>
      <c r="B652" s="44"/>
      <c r="C652" s="45"/>
      <c r="D652" s="23"/>
      <c r="E652" s="23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5"/>
      <c r="T652" s="23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23"/>
      <c r="AJ652" s="23"/>
    </row>
    <row r="653" spans="1:36" ht="11.25" customHeight="1" x14ac:dyDescent="0.25">
      <c r="A653" s="23"/>
      <c r="B653" s="44"/>
      <c r="C653" s="45"/>
      <c r="D653" s="23"/>
      <c r="E653" s="23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5"/>
      <c r="T653" s="23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23"/>
      <c r="AJ653" s="23"/>
    </row>
    <row r="654" spans="1:36" ht="11.25" customHeight="1" x14ac:dyDescent="0.25">
      <c r="A654" s="23"/>
      <c r="B654" s="44"/>
      <c r="C654" s="45"/>
      <c r="D654" s="23"/>
      <c r="E654" s="23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5"/>
      <c r="T654" s="23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23"/>
      <c r="AJ654" s="23"/>
    </row>
    <row r="655" spans="1:36" ht="11.25" customHeight="1" x14ac:dyDescent="0.25">
      <c r="A655" s="23"/>
      <c r="B655" s="44"/>
      <c r="C655" s="45"/>
      <c r="D655" s="23"/>
      <c r="E655" s="23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5"/>
      <c r="T655" s="23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23"/>
      <c r="AJ655" s="23"/>
    </row>
    <row r="656" spans="1:36" ht="11.25" customHeight="1" x14ac:dyDescent="0.25">
      <c r="A656" s="23"/>
      <c r="B656" s="44"/>
      <c r="C656" s="45"/>
      <c r="D656" s="23"/>
      <c r="E656" s="23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5"/>
      <c r="T656" s="23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23"/>
      <c r="AJ656" s="23"/>
    </row>
    <row r="657" spans="1:36" ht="11.25" customHeight="1" x14ac:dyDescent="0.25">
      <c r="A657" s="23"/>
      <c r="B657" s="44"/>
      <c r="C657" s="45"/>
      <c r="D657" s="23"/>
      <c r="E657" s="23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5"/>
      <c r="T657" s="23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23"/>
      <c r="AJ657" s="23"/>
    </row>
    <row r="658" spans="1:36" ht="11.25" customHeight="1" x14ac:dyDescent="0.25">
      <c r="A658" s="23"/>
      <c r="B658" s="44"/>
      <c r="C658" s="45"/>
      <c r="D658" s="23"/>
      <c r="E658" s="23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5"/>
      <c r="T658" s="23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23"/>
      <c r="AJ658" s="23"/>
    </row>
    <row r="659" spans="1:36" ht="11.25" customHeight="1" x14ac:dyDescent="0.25">
      <c r="A659" s="23"/>
      <c r="B659" s="44"/>
      <c r="C659" s="45"/>
      <c r="D659" s="23"/>
      <c r="E659" s="23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5"/>
      <c r="T659" s="23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23"/>
      <c r="AJ659" s="23"/>
    </row>
    <row r="660" spans="1:36" ht="11.25" customHeight="1" x14ac:dyDescent="0.25">
      <c r="A660" s="23"/>
      <c r="B660" s="44"/>
      <c r="C660" s="45"/>
      <c r="D660" s="23"/>
      <c r="E660" s="23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5"/>
      <c r="T660" s="23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23"/>
      <c r="AJ660" s="23"/>
    </row>
    <row r="661" spans="1:36" ht="11.25" customHeight="1" x14ac:dyDescent="0.25">
      <c r="A661" s="23"/>
      <c r="B661" s="44"/>
      <c r="C661" s="45"/>
      <c r="D661" s="23"/>
      <c r="E661" s="23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5"/>
      <c r="T661" s="23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23"/>
      <c r="AJ661" s="23"/>
    </row>
    <row r="662" spans="1:36" ht="11.25" customHeight="1" x14ac:dyDescent="0.25">
      <c r="A662" s="23"/>
      <c r="B662" s="44"/>
      <c r="C662" s="45"/>
      <c r="D662" s="23"/>
      <c r="E662" s="23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5"/>
      <c r="T662" s="23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23"/>
      <c r="AJ662" s="23"/>
    </row>
    <row r="663" spans="1:36" ht="11.25" customHeight="1" x14ac:dyDescent="0.25">
      <c r="A663" s="23"/>
      <c r="B663" s="44"/>
      <c r="C663" s="45"/>
      <c r="D663" s="23"/>
      <c r="E663" s="23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5"/>
      <c r="T663" s="23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23"/>
      <c r="AJ663" s="23"/>
    </row>
    <row r="664" spans="1:36" ht="11.25" customHeight="1" x14ac:dyDescent="0.25">
      <c r="A664" s="23"/>
      <c r="B664" s="44"/>
      <c r="C664" s="45"/>
      <c r="D664" s="23"/>
      <c r="E664" s="23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5"/>
      <c r="T664" s="23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23"/>
      <c r="AJ664" s="23"/>
    </row>
    <row r="665" spans="1:36" ht="11.25" customHeight="1" x14ac:dyDescent="0.25">
      <c r="A665" s="23"/>
      <c r="B665" s="44"/>
      <c r="C665" s="45"/>
      <c r="D665" s="23"/>
      <c r="E665" s="23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5"/>
      <c r="T665" s="23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23"/>
      <c r="AJ665" s="23"/>
    </row>
    <row r="666" spans="1:36" ht="11.25" customHeight="1" x14ac:dyDescent="0.25">
      <c r="A666" s="23"/>
      <c r="B666" s="44"/>
      <c r="C666" s="45"/>
      <c r="D666" s="23"/>
      <c r="E666" s="23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5"/>
      <c r="T666" s="23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23"/>
      <c r="AJ666" s="23"/>
    </row>
    <row r="667" spans="1:36" ht="11.25" customHeight="1" x14ac:dyDescent="0.25">
      <c r="A667" s="23"/>
      <c r="B667" s="44"/>
      <c r="C667" s="45"/>
      <c r="D667" s="23"/>
      <c r="E667" s="23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5"/>
      <c r="T667" s="23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23"/>
      <c r="AJ667" s="23"/>
    </row>
    <row r="668" spans="1:36" ht="11.25" customHeight="1" x14ac:dyDescent="0.25">
      <c r="A668" s="23"/>
      <c r="B668" s="44"/>
      <c r="C668" s="45"/>
      <c r="D668" s="23"/>
      <c r="E668" s="23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5"/>
      <c r="T668" s="23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23"/>
      <c r="AJ668" s="23"/>
    </row>
    <row r="669" spans="1:36" ht="11.25" customHeight="1" x14ac:dyDescent="0.25">
      <c r="A669" s="23"/>
      <c r="B669" s="44"/>
      <c r="C669" s="45"/>
      <c r="D669" s="23"/>
      <c r="E669" s="23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5"/>
      <c r="T669" s="23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23"/>
      <c r="AJ669" s="23"/>
    </row>
    <row r="670" spans="1:36" ht="11.25" customHeight="1" x14ac:dyDescent="0.25">
      <c r="A670" s="23"/>
      <c r="B670" s="44"/>
      <c r="C670" s="45"/>
      <c r="D670" s="23"/>
      <c r="E670" s="23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5"/>
      <c r="T670" s="23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23"/>
      <c r="AJ670" s="23"/>
    </row>
    <row r="671" spans="1:36" ht="11.25" customHeight="1" x14ac:dyDescent="0.25">
      <c r="A671" s="23"/>
      <c r="B671" s="44"/>
      <c r="C671" s="45"/>
      <c r="D671" s="23"/>
      <c r="E671" s="23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5"/>
      <c r="T671" s="23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23"/>
      <c r="AJ671" s="23"/>
    </row>
    <row r="672" spans="1:36" ht="11.25" customHeight="1" x14ac:dyDescent="0.25">
      <c r="A672" s="23"/>
      <c r="B672" s="44"/>
      <c r="C672" s="45"/>
      <c r="D672" s="23"/>
      <c r="E672" s="23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5"/>
      <c r="T672" s="23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23"/>
      <c r="AJ672" s="23"/>
    </row>
    <row r="673" spans="1:36" ht="11.25" customHeight="1" x14ac:dyDescent="0.25">
      <c r="A673" s="23"/>
      <c r="B673" s="44"/>
      <c r="C673" s="45"/>
      <c r="D673" s="23"/>
      <c r="E673" s="23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5"/>
      <c r="T673" s="23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23"/>
      <c r="AJ673" s="23"/>
    </row>
    <row r="674" spans="1:36" ht="11.25" customHeight="1" x14ac:dyDescent="0.25">
      <c r="A674" s="23"/>
      <c r="B674" s="44"/>
      <c r="C674" s="45"/>
      <c r="D674" s="23"/>
      <c r="E674" s="23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5"/>
      <c r="T674" s="23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23"/>
      <c r="AJ674" s="23"/>
    </row>
    <row r="675" spans="1:36" ht="11.25" customHeight="1" x14ac:dyDescent="0.25">
      <c r="A675" s="23"/>
      <c r="B675" s="44"/>
      <c r="C675" s="45"/>
      <c r="D675" s="23"/>
      <c r="E675" s="23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5"/>
      <c r="T675" s="23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23"/>
      <c r="AJ675" s="23"/>
    </row>
    <row r="676" spans="1:36" ht="11.25" customHeight="1" x14ac:dyDescent="0.25">
      <c r="A676" s="23"/>
      <c r="B676" s="44"/>
      <c r="C676" s="45"/>
      <c r="D676" s="23"/>
      <c r="E676" s="23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5"/>
      <c r="T676" s="23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23"/>
      <c r="AJ676" s="23"/>
    </row>
    <row r="677" spans="1:36" ht="11.25" customHeight="1" x14ac:dyDescent="0.25">
      <c r="A677" s="23"/>
      <c r="B677" s="44"/>
      <c r="C677" s="45"/>
      <c r="D677" s="23"/>
      <c r="E677" s="23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5"/>
      <c r="T677" s="23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23"/>
      <c r="AJ677" s="23"/>
    </row>
    <row r="678" spans="1:36" ht="11.25" customHeight="1" x14ac:dyDescent="0.25">
      <c r="A678" s="23"/>
      <c r="B678" s="44"/>
      <c r="C678" s="45"/>
      <c r="D678" s="23"/>
      <c r="E678" s="23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5"/>
      <c r="T678" s="23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23"/>
      <c r="AJ678" s="23"/>
    </row>
    <row r="679" spans="1:36" ht="11.25" customHeight="1" x14ac:dyDescent="0.25">
      <c r="A679" s="23"/>
      <c r="B679" s="44"/>
      <c r="C679" s="45"/>
      <c r="D679" s="23"/>
      <c r="E679" s="23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5"/>
      <c r="T679" s="23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23"/>
      <c r="AJ679" s="23"/>
    </row>
    <row r="680" spans="1:36" ht="11.25" customHeight="1" x14ac:dyDescent="0.25">
      <c r="A680" s="23"/>
      <c r="B680" s="44"/>
      <c r="C680" s="45"/>
      <c r="D680" s="23"/>
      <c r="E680" s="23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5"/>
      <c r="T680" s="23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23"/>
      <c r="AJ680" s="23"/>
    </row>
    <row r="681" spans="1:36" ht="11.25" customHeight="1" x14ac:dyDescent="0.25">
      <c r="A681" s="23"/>
      <c r="B681" s="44"/>
      <c r="C681" s="45"/>
      <c r="D681" s="23"/>
      <c r="E681" s="23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5"/>
      <c r="T681" s="23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23"/>
      <c r="AJ681" s="23"/>
    </row>
    <row r="682" spans="1:36" ht="11.25" customHeight="1" x14ac:dyDescent="0.25">
      <c r="A682" s="23"/>
      <c r="B682" s="44"/>
      <c r="C682" s="45"/>
      <c r="D682" s="23"/>
      <c r="E682" s="23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5"/>
      <c r="T682" s="23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23"/>
      <c r="AJ682" s="23"/>
    </row>
    <row r="683" spans="1:36" ht="11.25" customHeight="1" x14ac:dyDescent="0.25">
      <c r="A683" s="23"/>
      <c r="B683" s="44"/>
      <c r="C683" s="45"/>
      <c r="D683" s="23"/>
      <c r="E683" s="23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5"/>
      <c r="T683" s="23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23"/>
      <c r="AJ683" s="23"/>
    </row>
    <row r="684" spans="1:36" ht="11.25" customHeight="1" x14ac:dyDescent="0.25">
      <c r="A684" s="23"/>
      <c r="B684" s="44"/>
      <c r="C684" s="45"/>
      <c r="D684" s="23"/>
      <c r="E684" s="23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5"/>
      <c r="T684" s="23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23"/>
      <c r="AJ684" s="23"/>
    </row>
    <row r="685" spans="1:36" ht="11.25" customHeight="1" x14ac:dyDescent="0.25">
      <c r="A685" s="23"/>
      <c r="B685" s="44"/>
      <c r="C685" s="45"/>
      <c r="D685" s="23"/>
      <c r="E685" s="23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5"/>
      <c r="T685" s="23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23"/>
      <c r="AJ685" s="23"/>
    </row>
    <row r="686" spans="1:36" ht="11.25" customHeight="1" x14ac:dyDescent="0.25">
      <c r="A686" s="23"/>
      <c r="B686" s="44"/>
      <c r="C686" s="45"/>
      <c r="D686" s="23"/>
      <c r="E686" s="23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5"/>
      <c r="T686" s="23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23"/>
      <c r="AJ686" s="23"/>
    </row>
    <row r="687" spans="1:36" ht="11.25" customHeight="1" x14ac:dyDescent="0.25">
      <c r="A687" s="23"/>
      <c r="B687" s="44"/>
      <c r="C687" s="45"/>
      <c r="D687" s="23"/>
      <c r="E687" s="23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5"/>
      <c r="T687" s="23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23"/>
      <c r="AJ687" s="23"/>
    </row>
    <row r="688" spans="1:36" ht="11.25" customHeight="1" x14ac:dyDescent="0.25">
      <c r="A688" s="23"/>
      <c r="B688" s="44"/>
      <c r="C688" s="45"/>
      <c r="D688" s="23"/>
      <c r="E688" s="23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5"/>
      <c r="T688" s="23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23"/>
      <c r="AJ688" s="23"/>
    </row>
    <row r="689" spans="1:36" ht="11.25" customHeight="1" x14ac:dyDescent="0.25">
      <c r="A689" s="23"/>
      <c r="B689" s="44"/>
      <c r="C689" s="45"/>
      <c r="D689" s="23"/>
      <c r="E689" s="23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5"/>
      <c r="T689" s="23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23"/>
      <c r="AJ689" s="23"/>
    </row>
    <row r="690" spans="1:36" ht="11.25" customHeight="1" x14ac:dyDescent="0.25">
      <c r="A690" s="23"/>
      <c r="B690" s="44"/>
      <c r="C690" s="45"/>
      <c r="D690" s="23"/>
      <c r="E690" s="23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5"/>
      <c r="T690" s="23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23"/>
      <c r="AJ690" s="23"/>
    </row>
    <row r="691" spans="1:36" ht="11.25" customHeight="1" x14ac:dyDescent="0.25">
      <c r="A691" s="23"/>
      <c r="B691" s="44"/>
      <c r="C691" s="45"/>
      <c r="D691" s="23"/>
      <c r="E691" s="23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5"/>
      <c r="T691" s="23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23"/>
      <c r="AJ691" s="23"/>
    </row>
    <row r="692" spans="1:36" ht="11.25" customHeight="1" x14ac:dyDescent="0.25">
      <c r="A692" s="23"/>
      <c r="B692" s="44"/>
      <c r="C692" s="45"/>
      <c r="D692" s="23"/>
      <c r="E692" s="23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5"/>
      <c r="T692" s="23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23"/>
      <c r="AJ692" s="23"/>
    </row>
    <row r="693" spans="1:36" ht="11.25" customHeight="1" x14ac:dyDescent="0.25">
      <c r="A693" s="23"/>
      <c r="B693" s="44"/>
      <c r="C693" s="45"/>
      <c r="D693" s="23"/>
      <c r="E693" s="23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5"/>
      <c r="T693" s="23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23"/>
      <c r="AJ693" s="23"/>
    </row>
    <row r="694" spans="1:36" ht="11.25" customHeight="1" x14ac:dyDescent="0.25">
      <c r="A694" s="23"/>
      <c r="B694" s="44"/>
      <c r="C694" s="45"/>
      <c r="D694" s="23"/>
      <c r="E694" s="23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5"/>
      <c r="T694" s="23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23"/>
      <c r="AJ694" s="23"/>
    </row>
    <row r="695" spans="1:36" ht="11.25" customHeight="1" x14ac:dyDescent="0.25">
      <c r="A695" s="23"/>
      <c r="B695" s="44"/>
      <c r="C695" s="45"/>
      <c r="D695" s="23"/>
      <c r="E695" s="23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5"/>
      <c r="T695" s="23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23"/>
      <c r="AJ695" s="23"/>
    </row>
    <row r="696" spans="1:36" ht="11.25" customHeight="1" x14ac:dyDescent="0.25">
      <c r="A696" s="23"/>
      <c r="B696" s="44"/>
      <c r="C696" s="45"/>
      <c r="D696" s="23"/>
      <c r="E696" s="23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5"/>
      <c r="T696" s="23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23"/>
      <c r="AJ696" s="23"/>
    </row>
    <row r="697" spans="1:36" ht="11.25" customHeight="1" x14ac:dyDescent="0.25">
      <c r="A697" s="23"/>
      <c r="B697" s="44"/>
      <c r="C697" s="45"/>
      <c r="D697" s="23"/>
      <c r="E697" s="23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5"/>
      <c r="T697" s="23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23"/>
      <c r="AJ697" s="23"/>
    </row>
    <row r="698" spans="1:36" ht="11.25" customHeight="1" x14ac:dyDescent="0.25">
      <c r="A698" s="23"/>
      <c r="B698" s="44"/>
      <c r="C698" s="45"/>
      <c r="D698" s="23"/>
      <c r="E698" s="23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5"/>
      <c r="T698" s="23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23"/>
      <c r="AJ698" s="23"/>
    </row>
    <row r="699" spans="1:36" ht="11.25" customHeight="1" x14ac:dyDescent="0.25">
      <c r="A699" s="23"/>
      <c r="B699" s="44"/>
      <c r="C699" s="45"/>
      <c r="D699" s="23"/>
      <c r="E699" s="23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5"/>
      <c r="T699" s="23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23"/>
      <c r="AJ699" s="23"/>
    </row>
    <row r="700" spans="1:36" ht="11.25" customHeight="1" x14ac:dyDescent="0.25">
      <c r="A700" s="23"/>
      <c r="B700" s="44"/>
      <c r="C700" s="45"/>
      <c r="D700" s="23"/>
      <c r="E700" s="23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5"/>
      <c r="T700" s="23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23"/>
      <c r="AJ700" s="23"/>
    </row>
    <row r="701" spans="1:36" ht="11.25" customHeight="1" x14ac:dyDescent="0.25">
      <c r="A701" s="23"/>
      <c r="B701" s="44"/>
      <c r="C701" s="45"/>
      <c r="D701" s="23"/>
      <c r="E701" s="23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5"/>
      <c r="T701" s="23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23"/>
      <c r="AJ701" s="23"/>
    </row>
    <row r="702" spans="1:36" ht="11.25" customHeight="1" x14ac:dyDescent="0.25">
      <c r="A702" s="23"/>
      <c r="B702" s="44"/>
      <c r="C702" s="45"/>
      <c r="D702" s="23"/>
      <c r="E702" s="23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5"/>
      <c r="T702" s="23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23"/>
      <c r="AJ702" s="23"/>
    </row>
    <row r="703" spans="1:36" ht="11.25" customHeight="1" x14ac:dyDescent="0.25">
      <c r="A703" s="23"/>
      <c r="B703" s="44"/>
      <c r="C703" s="45"/>
      <c r="D703" s="23"/>
      <c r="E703" s="23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5"/>
      <c r="T703" s="23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23"/>
      <c r="AJ703" s="23"/>
    </row>
    <row r="704" spans="1:36" ht="11.25" customHeight="1" x14ac:dyDescent="0.25">
      <c r="A704" s="23"/>
      <c r="B704" s="44"/>
      <c r="C704" s="45"/>
      <c r="D704" s="23"/>
      <c r="E704" s="23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5"/>
      <c r="T704" s="23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23"/>
      <c r="AJ704" s="23"/>
    </row>
    <row r="705" spans="1:36" ht="11.25" customHeight="1" x14ac:dyDescent="0.25">
      <c r="A705" s="23"/>
      <c r="B705" s="44"/>
      <c r="C705" s="45"/>
      <c r="D705" s="23"/>
      <c r="E705" s="23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5"/>
      <c r="T705" s="23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23"/>
      <c r="AJ705" s="23"/>
    </row>
    <row r="706" spans="1:36" ht="11.25" customHeight="1" x14ac:dyDescent="0.25">
      <c r="A706" s="23"/>
      <c r="B706" s="44"/>
      <c r="C706" s="45"/>
      <c r="D706" s="23"/>
      <c r="E706" s="23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5"/>
      <c r="T706" s="23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23"/>
      <c r="AJ706" s="23"/>
    </row>
    <row r="707" spans="1:36" ht="11.25" customHeight="1" x14ac:dyDescent="0.25">
      <c r="A707" s="23"/>
      <c r="B707" s="44"/>
      <c r="C707" s="45"/>
      <c r="D707" s="23"/>
      <c r="E707" s="23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5"/>
      <c r="T707" s="23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23"/>
      <c r="AJ707" s="23"/>
    </row>
    <row r="708" spans="1:36" ht="11.25" customHeight="1" x14ac:dyDescent="0.25">
      <c r="A708" s="23"/>
      <c r="B708" s="44"/>
      <c r="C708" s="45"/>
      <c r="D708" s="23"/>
      <c r="E708" s="23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5"/>
      <c r="T708" s="23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23"/>
      <c r="AJ708" s="23"/>
    </row>
    <row r="709" spans="1:36" ht="11.25" customHeight="1" x14ac:dyDescent="0.25">
      <c r="A709" s="23"/>
      <c r="B709" s="44"/>
      <c r="C709" s="45"/>
      <c r="D709" s="23"/>
      <c r="E709" s="23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5"/>
      <c r="T709" s="23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23"/>
      <c r="AJ709" s="23"/>
    </row>
    <row r="710" spans="1:36" ht="11.25" customHeight="1" x14ac:dyDescent="0.25">
      <c r="A710" s="23"/>
      <c r="B710" s="44"/>
      <c r="C710" s="45"/>
      <c r="D710" s="23"/>
      <c r="E710" s="23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5"/>
      <c r="T710" s="23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23"/>
      <c r="AJ710" s="23"/>
    </row>
    <row r="711" spans="1:36" ht="11.25" customHeight="1" x14ac:dyDescent="0.25">
      <c r="A711" s="23"/>
      <c r="B711" s="44"/>
      <c r="C711" s="45"/>
      <c r="D711" s="23"/>
      <c r="E711" s="23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5"/>
      <c r="T711" s="23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23"/>
      <c r="AJ711" s="23"/>
    </row>
    <row r="712" spans="1:36" ht="11.25" customHeight="1" x14ac:dyDescent="0.25">
      <c r="A712" s="23"/>
      <c r="B712" s="44"/>
      <c r="C712" s="45"/>
      <c r="D712" s="23"/>
      <c r="E712" s="23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5"/>
      <c r="T712" s="23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23"/>
      <c r="AJ712" s="23"/>
    </row>
    <row r="713" spans="1:36" ht="11.25" customHeight="1" x14ac:dyDescent="0.25">
      <c r="A713" s="23"/>
      <c r="B713" s="44"/>
      <c r="C713" s="45"/>
      <c r="D713" s="23"/>
      <c r="E713" s="23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5"/>
      <c r="T713" s="23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23"/>
      <c r="AJ713" s="23"/>
    </row>
    <row r="714" spans="1:36" ht="11.25" customHeight="1" x14ac:dyDescent="0.25">
      <c r="A714" s="23"/>
      <c r="B714" s="44"/>
      <c r="C714" s="45"/>
      <c r="D714" s="23"/>
      <c r="E714" s="23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5"/>
      <c r="T714" s="23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23"/>
      <c r="AJ714" s="23"/>
    </row>
    <row r="715" spans="1:36" ht="11.25" customHeight="1" x14ac:dyDescent="0.25">
      <c r="A715" s="23"/>
      <c r="B715" s="44"/>
      <c r="C715" s="45"/>
      <c r="D715" s="23"/>
      <c r="E715" s="23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5"/>
      <c r="T715" s="23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23"/>
      <c r="AJ715" s="23"/>
    </row>
    <row r="716" spans="1:36" ht="11.25" customHeight="1" x14ac:dyDescent="0.25">
      <c r="A716" s="23"/>
      <c r="B716" s="44"/>
      <c r="C716" s="45"/>
      <c r="D716" s="23"/>
      <c r="E716" s="23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5"/>
      <c r="T716" s="23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23"/>
      <c r="AJ716" s="23"/>
    </row>
    <row r="717" spans="1:36" ht="11.25" customHeight="1" x14ac:dyDescent="0.25">
      <c r="A717" s="23"/>
      <c r="B717" s="44"/>
      <c r="C717" s="45"/>
      <c r="D717" s="23"/>
      <c r="E717" s="23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5"/>
      <c r="T717" s="23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23"/>
      <c r="AJ717" s="23"/>
    </row>
    <row r="718" spans="1:36" ht="11.25" customHeight="1" x14ac:dyDescent="0.25">
      <c r="A718" s="23"/>
      <c r="B718" s="44"/>
      <c r="C718" s="45"/>
      <c r="D718" s="23"/>
      <c r="E718" s="23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5"/>
      <c r="T718" s="23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23"/>
      <c r="AJ718" s="23"/>
    </row>
    <row r="719" spans="1:36" ht="11.25" customHeight="1" x14ac:dyDescent="0.25">
      <c r="A719" s="23"/>
      <c r="B719" s="44"/>
      <c r="C719" s="45"/>
      <c r="D719" s="23"/>
      <c r="E719" s="23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5"/>
      <c r="T719" s="23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23"/>
      <c r="AJ719" s="23"/>
    </row>
    <row r="720" spans="1:36" ht="11.25" customHeight="1" x14ac:dyDescent="0.25">
      <c r="A720" s="23"/>
      <c r="B720" s="44"/>
      <c r="C720" s="45"/>
      <c r="D720" s="23"/>
      <c r="E720" s="23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5"/>
      <c r="T720" s="23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23"/>
      <c r="AJ720" s="23"/>
    </row>
    <row r="721" spans="1:36" ht="11.25" customHeight="1" x14ac:dyDescent="0.25">
      <c r="A721" s="23"/>
      <c r="B721" s="44"/>
      <c r="C721" s="45"/>
      <c r="D721" s="23"/>
      <c r="E721" s="23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5"/>
      <c r="T721" s="23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23"/>
      <c r="AJ721" s="23"/>
    </row>
    <row r="722" spans="1:36" ht="11.25" customHeight="1" x14ac:dyDescent="0.25">
      <c r="A722" s="23"/>
      <c r="B722" s="44"/>
      <c r="C722" s="45"/>
      <c r="D722" s="23"/>
      <c r="E722" s="23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5"/>
      <c r="T722" s="23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23"/>
      <c r="AJ722" s="23"/>
    </row>
    <row r="723" spans="1:36" ht="11.25" customHeight="1" x14ac:dyDescent="0.25">
      <c r="A723" s="23"/>
      <c r="B723" s="44"/>
      <c r="C723" s="45"/>
      <c r="D723" s="23"/>
      <c r="E723" s="23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5"/>
      <c r="T723" s="23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23"/>
      <c r="AJ723" s="23"/>
    </row>
    <row r="724" spans="1:36" ht="11.25" customHeight="1" x14ac:dyDescent="0.25">
      <c r="A724" s="23"/>
      <c r="B724" s="44"/>
      <c r="C724" s="45"/>
      <c r="D724" s="23"/>
      <c r="E724" s="23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5"/>
      <c r="T724" s="23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23"/>
      <c r="AJ724" s="23"/>
    </row>
    <row r="725" spans="1:36" ht="11.25" customHeight="1" x14ac:dyDescent="0.25">
      <c r="A725" s="23"/>
      <c r="B725" s="44"/>
      <c r="C725" s="45"/>
      <c r="D725" s="23"/>
      <c r="E725" s="23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5"/>
      <c r="T725" s="23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23"/>
      <c r="AJ725" s="23"/>
    </row>
    <row r="726" spans="1:36" ht="11.25" customHeight="1" x14ac:dyDescent="0.25">
      <c r="A726" s="23"/>
      <c r="B726" s="44"/>
      <c r="C726" s="45"/>
      <c r="D726" s="23"/>
      <c r="E726" s="23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5"/>
      <c r="T726" s="23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23"/>
      <c r="AJ726" s="23"/>
    </row>
    <row r="727" spans="1:36" ht="11.25" customHeight="1" x14ac:dyDescent="0.25">
      <c r="A727" s="23"/>
      <c r="B727" s="44"/>
      <c r="C727" s="45"/>
      <c r="D727" s="23"/>
      <c r="E727" s="23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5"/>
      <c r="T727" s="23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23"/>
      <c r="AJ727" s="23"/>
    </row>
    <row r="728" spans="1:36" ht="11.25" customHeight="1" x14ac:dyDescent="0.25">
      <c r="A728" s="23"/>
      <c r="B728" s="44"/>
      <c r="C728" s="45"/>
      <c r="D728" s="23"/>
      <c r="E728" s="23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5"/>
      <c r="T728" s="23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23"/>
      <c r="AJ728" s="23"/>
    </row>
    <row r="729" spans="1:36" ht="11.25" customHeight="1" x14ac:dyDescent="0.25">
      <c r="A729" s="23"/>
      <c r="B729" s="44"/>
      <c r="C729" s="45"/>
      <c r="D729" s="23"/>
      <c r="E729" s="23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5"/>
      <c r="T729" s="23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23"/>
      <c r="AJ729" s="23"/>
    </row>
    <row r="730" spans="1:36" ht="11.25" customHeight="1" x14ac:dyDescent="0.25">
      <c r="A730" s="23"/>
      <c r="B730" s="44"/>
      <c r="C730" s="45"/>
      <c r="D730" s="23"/>
      <c r="E730" s="23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5"/>
      <c r="T730" s="23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23"/>
      <c r="AJ730" s="23"/>
    </row>
    <row r="731" spans="1:36" ht="11.25" customHeight="1" x14ac:dyDescent="0.25">
      <c r="A731" s="23"/>
      <c r="B731" s="44"/>
      <c r="C731" s="45"/>
      <c r="D731" s="23"/>
      <c r="E731" s="23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5"/>
      <c r="T731" s="23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23"/>
      <c r="AJ731" s="23"/>
    </row>
    <row r="732" spans="1:36" ht="11.25" customHeight="1" x14ac:dyDescent="0.25">
      <c r="A732" s="23"/>
      <c r="B732" s="44"/>
      <c r="C732" s="45"/>
      <c r="D732" s="23"/>
      <c r="E732" s="23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5"/>
      <c r="T732" s="23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23"/>
      <c r="AJ732" s="23"/>
    </row>
    <row r="733" spans="1:36" ht="11.25" customHeight="1" x14ac:dyDescent="0.25">
      <c r="A733" s="23"/>
      <c r="B733" s="44"/>
      <c r="C733" s="45"/>
      <c r="D733" s="23"/>
      <c r="E733" s="23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5"/>
      <c r="T733" s="23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23"/>
      <c r="AJ733" s="23"/>
    </row>
    <row r="734" spans="1:36" ht="11.25" customHeight="1" x14ac:dyDescent="0.25">
      <c r="A734" s="23"/>
      <c r="B734" s="44"/>
      <c r="C734" s="45"/>
      <c r="D734" s="23"/>
      <c r="E734" s="23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5"/>
      <c r="T734" s="23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23"/>
      <c r="AJ734" s="23"/>
    </row>
    <row r="735" spans="1:36" ht="11.25" customHeight="1" x14ac:dyDescent="0.25">
      <c r="A735" s="23"/>
      <c r="B735" s="44"/>
      <c r="C735" s="45"/>
      <c r="D735" s="23"/>
      <c r="E735" s="23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5"/>
      <c r="T735" s="23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23"/>
      <c r="AJ735" s="23"/>
    </row>
    <row r="736" spans="1:36" ht="11.25" customHeight="1" x14ac:dyDescent="0.25">
      <c r="A736" s="23"/>
      <c r="B736" s="44"/>
      <c r="C736" s="45"/>
      <c r="D736" s="23"/>
      <c r="E736" s="23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5"/>
      <c r="T736" s="23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23"/>
      <c r="AJ736" s="23"/>
    </row>
    <row r="737" spans="1:36" ht="11.25" customHeight="1" x14ac:dyDescent="0.25">
      <c r="A737" s="23"/>
      <c r="B737" s="44"/>
      <c r="C737" s="45"/>
      <c r="D737" s="23"/>
      <c r="E737" s="23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5"/>
      <c r="T737" s="23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23"/>
      <c r="AJ737" s="23"/>
    </row>
    <row r="738" spans="1:36" ht="11.25" customHeight="1" x14ac:dyDescent="0.25">
      <c r="A738" s="23"/>
      <c r="B738" s="44"/>
      <c r="C738" s="45"/>
      <c r="D738" s="23"/>
      <c r="E738" s="23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5"/>
      <c r="T738" s="23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23"/>
      <c r="AJ738" s="23"/>
    </row>
    <row r="739" spans="1:36" ht="11.25" customHeight="1" x14ac:dyDescent="0.25">
      <c r="A739" s="23"/>
      <c r="B739" s="44"/>
      <c r="C739" s="45"/>
      <c r="D739" s="23"/>
      <c r="E739" s="23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5"/>
      <c r="T739" s="23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23"/>
      <c r="AJ739" s="23"/>
    </row>
    <row r="740" spans="1:36" ht="11.25" customHeight="1" x14ac:dyDescent="0.25">
      <c r="A740" s="23"/>
      <c r="B740" s="44"/>
      <c r="C740" s="45"/>
      <c r="D740" s="23"/>
      <c r="E740" s="23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5"/>
      <c r="T740" s="23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23"/>
      <c r="AJ740" s="23"/>
    </row>
    <row r="741" spans="1:36" ht="11.25" customHeight="1" x14ac:dyDescent="0.25">
      <c r="A741" s="23"/>
      <c r="B741" s="44"/>
      <c r="C741" s="45"/>
      <c r="D741" s="23"/>
      <c r="E741" s="23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5"/>
      <c r="T741" s="23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23"/>
      <c r="AJ741" s="23"/>
    </row>
    <row r="742" spans="1:36" ht="11.25" customHeight="1" x14ac:dyDescent="0.25">
      <c r="A742" s="23"/>
      <c r="B742" s="44"/>
      <c r="C742" s="45"/>
      <c r="D742" s="23"/>
      <c r="E742" s="23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5"/>
      <c r="T742" s="23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23"/>
      <c r="AJ742" s="23"/>
    </row>
    <row r="743" spans="1:36" ht="11.25" customHeight="1" x14ac:dyDescent="0.25">
      <c r="A743" s="23"/>
      <c r="B743" s="44"/>
      <c r="C743" s="45"/>
      <c r="D743" s="23"/>
      <c r="E743" s="23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5"/>
      <c r="T743" s="23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23"/>
      <c r="AJ743" s="23"/>
    </row>
    <row r="744" spans="1:36" ht="11.25" customHeight="1" x14ac:dyDescent="0.25">
      <c r="A744" s="23"/>
      <c r="B744" s="44"/>
      <c r="C744" s="45"/>
      <c r="D744" s="23"/>
      <c r="E744" s="23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5"/>
      <c r="T744" s="23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23"/>
      <c r="AJ744" s="23"/>
    </row>
    <row r="745" spans="1:36" ht="11.25" customHeight="1" x14ac:dyDescent="0.25">
      <c r="A745" s="23"/>
      <c r="B745" s="44"/>
      <c r="C745" s="45"/>
      <c r="D745" s="23"/>
      <c r="E745" s="23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5"/>
      <c r="T745" s="23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23"/>
      <c r="AJ745" s="23"/>
    </row>
    <row r="746" spans="1:36" ht="11.25" customHeight="1" x14ac:dyDescent="0.25">
      <c r="A746" s="23"/>
      <c r="B746" s="44"/>
      <c r="C746" s="45"/>
      <c r="D746" s="23"/>
      <c r="E746" s="23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5"/>
      <c r="T746" s="23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23"/>
      <c r="AJ746" s="23"/>
    </row>
    <row r="747" spans="1:36" ht="11.25" customHeight="1" x14ac:dyDescent="0.25">
      <c r="A747" s="23"/>
      <c r="B747" s="44"/>
      <c r="C747" s="45"/>
      <c r="D747" s="23"/>
      <c r="E747" s="23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5"/>
      <c r="T747" s="23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23"/>
      <c r="AJ747" s="23"/>
    </row>
    <row r="748" spans="1:36" ht="11.25" customHeight="1" x14ac:dyDescent="0.25">
      <c r="A748" s="23"/>
      <c r="B748" s="44"/>
      <c r="C748" s="45"/>
      <c r="D748" s="23"/>
      <c r="E748" s="23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5"/>
      <c r="T748" s="23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23"/>
      <c r="AJ748" s="23"/>
    </row>
    <row r="749" spans="1:36" ht="11.25" customHeight="1" x14ac:dyDescent="0.25">
      <c r="A749" s="23"/>
      <c r="B749" s="44"/>
      <c r="C749" s="45"/>
      <c r="D749" s="23"/>
      <c r="E749" s="23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5"/>
      <c r="T749" s="23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23"/>
      <c r="AJ749" s="23"/>
    </row>
    <row r="750" spans="1:36" ht="11.25" customHeight="1" x14ac:dyDescent="0.25">
      <c r="A750" s="23"/>
      <c r="B750" s="44"/>
      <c r="C750" s="45"/>
      <c r="D750" s="23"/>
      <c r="E750" s="23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5"/>
      <c r="T750" s="23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23"/>
      <c r="AJ750" s="23"/>
    </row>
    <row r="751" spans="1:36" ht="11.25" customHeight="1" x14ac:dyDescent="0.25">
      <c r="A751" s="23"/>
      <c r="B751" s="44"/>
      <c r="C751" s="45"/>
      <c r="D751" s="23"/>
      <c r="E751" s="23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5"/>
      <c r="T751" s="23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23"/>
      <c r="AJ751" s="23"/>
    </row>
    <row r="752" spans="1:36" ht="11.25" customHeight="1" x14ac:dyDescent="0.25">
      <c r="A752" s="23"/>
      <c r="B752" s="44"/>
      <c r="C752" s="45"/>
      <c r="D752" s="23"/>
      <c r="E752" s="23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5"/>
      <c r="T752" s="23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23"/>
      <c r="AJ752" s="23"/>
    </row>
    <row r="753" spans="1:36" ht="11.25" customHeight="1" x14ac:dyDescent="0.25">
      <c r="A753" s="23"/>
      <c r="B753" s="44"/>
      <c r="C753" s="45"/>
      <c r="D753" s="23"/>
      <c r="E753" s="23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5"/>
      <c r="T753" s="23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23"/>
      <c r="AJ753" s="23"/>
    </row>
    <row r="754" spans="1:36" ht="11.25" customHeight="1" x14ac:dyDescent="0.25">
      <c r="A754" s="23"/>
      <c r="B754" s="44"/>
      <c r="C754" s="45"/>
      <c r="D754" s="23"/>
      <c r="E754" s="23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5"/>
      <c r="T754" s="23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23"/>
      <c r="AJ754" s="23"/>
    </row>
    <row r="755" spans="1:36" ht="11.25" customHeight="1" x14ac:dyDescent="0.25">
      <c r="A755" s="23"/>
      <c r="B755" s="44"/>
      <c r="C755" s="45"/>
      <c r="D755" s="23"/>
      <c r="E755" s="23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5"/>
      <c r="T755" s="23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23"/>
      <c r="AJ755" s="23"/>
    </row>
    <row r="756" spans="1:36" ht="11.25" customHeight="1" x14ac:dyDescent="0.25">
      <c r="A756" s="23"/>
      <c r="B756" s="44"/>
      <c r="C756" s="45"/>
      <c r="D756" s="23"/>
      <c r="E756" s="23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5"/>
      <c r="T756" s="23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23"/>
      <c r="AJ756" s="23"/>
    </row>
    <row r="757" spans="1:36" ht="11.25" customHeight="1" x14ac:dyDescent="0.25">
      <c r="A757" s="23"/>
      <c r="B757" s="44"/>
      <c r="C757" s="45"/>
      <c r="D757" s="23"/>
      <c r="E757" s="23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5"/>
      <c r="T757" s="23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23"/>
      <c r="AJ757" s="23"/>
    </row>
    <row r="758" spans="1:36" ht="11.25" customHeight="1" x14ac:dyDescent="0.25">
      <c r="A758" s="23"/>
      <c r="B758" s="44"/>
      <c r="C758" s="45"/>
      <c r="D758" s="23"/>
      <c r="E758" s="23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5"/>
      <c r="T758" s="23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23"/>
      <c r="AJ758" s="23"/>
    </row>
    <row r="759" spans="1:36" ht="11.25" customHeight="1" x14ac:dyDescent="0.25">
      <c r="A759" s="23"/>
      <c r="B759" s="44"/>
      <c r="C759" s="45"/>
      <c r="D759" s="23"/>
      <c r="E759" s="23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5"/>
      <c r="T759" s="23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23"/>
      <c r="AJ759" s="23"/>
    </row>
    <row r="760" spans="1:36" ht="11.25" customHeight="1" x14ac:dyDescent="0.25">
      <c r="A760" s="23"/>
      <c r="B760" s="44"/>
      <c r="C760" s="45"/>
      <c r="D760" s="23"/>
      <c r="E760" s="23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5"/>
      <c r="T760" s="23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23"/>
      <c r="AJ760" s="23"/>
    </row>
    <row r="761" spans="1:36" ht="11.25" customHeight="1" x14ac:dyDescent="0.25">
      <c r="A761" s="23"/>
      <c r="B761" s="44"/>
      <c r="C761" s="45"/>
      <c r="D761" s="23"/>
      <c r="E761" s="23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5"/>
      <c r="T761" s="23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23"/>
      <c r="AJ761" s="23"/>
    </row>
    <row r="762" spans="1:36" ht="11.25" customHeight="1" x14ac:dyDescent="0.25">
      <c r="A762" s="23"/>
      <c r="B762" s="44"/>
      <c r="C762" s="45"/>
      <c r="D762" s="23"/>
      <c r="E762" s="23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5"/>
      <c r="T762" s="23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23"/>
      <c r="AJ762" s="23"/>
    </row>
    <row r="763" spans="1:36" ht="11.25" customHeight="1" x14ac:dyDescent="0.25">
      <c r="A763" s="23"/>
      <c r="B763" s="44"/>
      <c r="C763" s="45"/>
      <c r="D763" s="23"/>
      <c r="E763" s="23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5"/>
      <c r="T763" s="23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23"/>
      <c r="AJ763" s="23"/>
    </row>
    <row r="764" spans="1:36" ht="11.25" customHeight="1" x14ac:dyDescent="0.25">
      <c r="A764" s="23"/>
      <c r="B764" s="44"/>
      <c r="C764" s="45"/>
      <c r="D764" s="23"/>
      <c r="E764" s="23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5"/>
      <c r="T764" s="23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23"/>
      <c r="AJ764" s="23"/>
    </row>
    <row r="765" spans="1:36" ht="11.25" customHeight="1" x14ac:dyDescent="0.25">
      <c r="A765" s="23"/>
      <c r="B765" s="44"/>
      <c r="C765" s="45"/>
      <c r="D765" s="23"/>
      <c r="E765" s="23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5"/>
      <c r="T765" s="23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23"/>
      <c r="AJ765" s="23"/>
    </row>
    <row r="766" spans="1:36" ht="11.25" customHeight="1" x14ac:dyDescent="0.25">
      <c r="A766" s="23"/>
      <c r="B766" s="44"/>
      <c r="C766" s="45"/>
      <c r="D766" s="23"/>
      <c r="E766" s="23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5"/>
      <c r="T766" s="23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23"/>
      <c r="AJ766" s="23"/>
    </row>
    <row r="767" spans="1:36" ht="11.25" customHeight="1" x14ac:dyDescent="0.25">
      <c r="A767" s="23"/>
      <c r="B767" s="44"/>
      <c r="C767" s="45"/>
      <c r="D767" s="23"/>
      <c r="E767" s="23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5"/>
      <c r="T767" s="23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23"/>
      <c r="AJ767" s="23"/>
    </row>
    <row r="768" spans="1:36" ht="11.25" customHeight="1" x14ac:dyDescent="0.25">
      <c r="A768" s="23"/>
      <c r="B768" s="44"/>
      <c r="C768" s="45"/>
      <c r="D768" s="23"/>
      <c r="E768" s="23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5"/>
      <c r="T768" s="23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23"/>
      <c r="AJ768" s="23"/>
    </row>
    <row r="769" spans="1:36" ht="11.25" customHeight="1" x14ac:dyDescent="0.25">
      <c r="A769" s="23"/>
      <c r="B769" s="44"/>
      <c r="C769" s="45"/>
      <c r="D769" s="23"/>
      <c r="E769" s="23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5"/>
      <c r="T769" s="23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23"/>
      <c r="AJ769" s="23"/>
    </row>
    <row r="770" spans="1:36" ht="11.25" customHeight="1" x14ac:dyDescent="0.25">
      <c r="A770" s="23"/>
      <c r="B770" s="44"/>
      <c r="C770" s="45"/>
      <c r="D770" s="23"/>
      <c r="E770" s="23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5"/>
      <c r="T770" s="23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23"/>
      <c r="AJ770" s="23"/>
    </row>
    <row r="771" spans="1:36" ht="11.25" customHeight="1" x14ac:dyDescent="0.25">
      <c r="A771" s="23"/>
      <c r="B771" s="44"/>
      <c r="C771" s="45"/>
      <c r="D771" s="23"/>
      <c r="E771" s="23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5"/>
      <c r="T771" s="23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23"/>
      <c r="AJ771" s="23"/>
    </row>
    <row r="772" spans="1:36" ht="11.25" customHeight="1" x14ac:dyDescent="0.25">
      <c r="A772" s="23"/>
      <c r="B772" s="44"/>
      <c r="C772" s="45"/>
      <c r="D772" s="23"/>
      <c r="E772" s="23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5"/>
      <c r="T772" s="23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23"/>
      <c r="AJ772" s="23"/>
    </row>
    <row r="773" spans="1:36" ht="11.25" customHeight="1" x14ac:dyDescent="0.25">
      <c r="A773" s="23"/>
      <c r="B773" s="44"/>
      <c r="C773" s="45"/>
      <c r="D773" s="23"/>
      <c r="E773" s="23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5"/>
      <c r="T773" s="23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23"/>
      <c r="AJ773" s="23"/>
    </row>
    <row r="774" spans="1:36" ht="11.25" customHeight="1" x14ac:dyDescent="0.25">
      <c r="A774" s="23"/>
      <c r="B774" s="44"/>
      <c r="C774" s="45"/>
      <c r="D774" s="23"/>
      <c r="E774" s="23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5"/>
      <c r="T774" s="23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23"/>
      <c r="AJ774" s="23"/>
    </row>
    <row r="775" spans="1:36" ht="11.25" customHeight="1" x14ac:dyDescent="0.25">
      <c r="A775" s="23"/>
      <c r="B775" s="44"/>
      <c r="C775" s="45"/>
      <c r="D775" s="23"/>
      <c r="E775" s="23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5"/>
      <c r="T775" s="23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23"/>
      <c r="AJ775" s="23"/>
    </row>
    <row r="776" spans="1:36" ht="11.25" customHeight="1" x14ac:dyDescent="0.25">
      <c r="A776" s="23"/>
      <c r="B776" s="44"/>
      <c r="C776" s="45"/>
      <c r="D776" s="23"/>
      <c r="E776" s="23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5"/>
      <c r="T776" s="23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23"/>
      <c r="AJ776" s="23"/>
    </row>
    <row r="777" spans="1:36" ht="11.25" customHeight="1" x14ac:dyDescent="0.25">
      <c r="A777" s="23"/>
      <c r="B777" s="44"/>
      <c r="C777" s="45"/>
      <c r="D777" s="23"/>
      <c r="E777" s="23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5"/>
      <c r="T777" s="23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23"/>
      <c r="AJ777" s="23"/>
    </row>
    <row r="778" spans="1:36" ht="11.25" customHeight="1" x14ac:dyDescent="0.25">
      <c r="A778" s="23"/>
      <c r="B778" s="44"/>
      <c r="C778" s="45"/>
      <c r="D778" s="23"/>
      <c r="E778" s="23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5"/>
      <c r="T778" s="23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23"/>
      <c r="AJ778" s="23"/>
    </row>
    <row r="779" spans="1:36" ht="11.25" customHeight="1" x14ac:dyDescent="0.25">
      <c r="A779" s="23"/>
      <c r="B779" s="44"/>
      <c r="C779" s="45"/>
      <c r="D779" s="23"/>
      <c r="E779" s="23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5"/>
      <c r="T779" s="23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23"/>
      <c r="AJ779" s="23"/>
    </row>
    <row r="780" spans="1:36" ht="11.25" customHeight="1" x14ac:dyDescent="0.25">
      <c r="A780" s="23"/>
      <c r="B780" s="44"/>
      <c r="C780" s="45"/>
      <c r="D780" s="23"/>
      <c r="E780" s="23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5"/>
      <c r="T780" s="23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23"/>
      <c r="AJ780" s="23"/>
    </row>
    <row r="781" spans="1:36" ht="11.25" customHeight="1" x14ac:dyDescent="0.25">
      <c r="A781" s="23"/>
      <c r="B781" s="44"/>
      <c r="C781" s="45"/>
      <c r="D781" s="23"/>
      <c r="E781" s="23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5"/>
      <c r="T781" s="23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23"/>
      <c r="AJ781" s="23"/>
    </row>
    <row r="782" spans="1:36" ht="11.25" customHeight="1" x14ac:dyDescent="0.25">
      <c r="A782" s="23"/>
      <c r="B782" s="44"/>
      <c r="C782" s="45"/>
      <c r="D782" s="23"/>
      <c r="E782" s="23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5"/>
      <c r="T782" s="23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23"/>
      <c r="AJ782" s="23"/>
    </row>
    <row r="783" spans="1:36" ht="11.25" customHeight="1" x14ac:dyDescent="0.25">
      <c r="A783" s="23"/>
      <c r="B783" s="44"/>
      <c r="C783" s="45"/>
      <c r="D783" s="23"/>
      <c r="E783" s="23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5"/>
      <c r="T783" s="23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23"/>
      <c r="AJ783" s="23"/>
    </row>
    <row r="784" spans="1:36" ht="11.25" customHeight="1" x14ac:dyDescent="0.25">
      <c r="A784" s="23"/>
      <c r="B784" s="44"/>
      <c r="C784" s="45"/>
      <c r="D784" s="23"/>
      <c r="E784" s="23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5"/>
      <c r="T784" s="23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23"/>
      <c r="AJ784" s="23"/>
    </row>
    <row r="785" spans="1:36" ht="11.25" customHeight="1" x14ac:dyDescent="0.25">
      <c r="A785" s="23"/>
      <c r="B785" s="44"/>
      <c r="C785" s="45"/>
      <c r="D785" s="23"/>
      <c r="E785" s="23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5"/>
      <c r="T785" s="23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23"/>
      <c r="AJ785" s="23"/>
    </row>
    <row r="786" spans="1:36" ht="11.25" customHeight="1" x14ac:dyDescent="0.25">
      <c r="A786" s="23"/>
      <c r="B786" s="44"/>
      <c r="C786" s="45"/>
      <c r="D786" s="23"/>
      <c r="E786" s="23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5"/>
      <c r="T786" s="23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23"/>
      <c r="AJ786" s="23"/>
    </row>
    <row r="787" spans="1:36" ht="11.25" customHeight="1" x14ac:dyDescent="0.25">
      <c r="A787" s="23"/>
      <c r="B787" s="44"/>
      <c r="C787" s="45"/>
      <c r="D787" s="23"/>
      <c r="E787" s="23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5"/>
      <c r="T787" s="23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23"/>
      <c r="AJ787" s="23"/>
    </row>
    <row r="788" spans="1:36" ht="11.25" customHeight="1" x14ac:dyDescent="0.25">
      <c r="A788" s="23"/>
      <c r="B788" s="44"/>
      <c r="C788" s="45"/>
      <c r="D788" s="23"/>
      <c r="E788" s="23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5"/>
      <c r="T788" s="23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23"/>
      <c r="AJ788" s="23"/>
    </row>
    <row r="789" spans="1:36" ht="11.25" customHeight="1" x14ac:dyDescent="0.25">
      <c r="A789" s="23"/>
      <c r="B789" s="44"/>
      <c r="C789" s="45"/>
      <c r="D789" s="23"/>
      <c r="E789" s="23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5"/>
      <c r="T789" s="23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23"/>
      <c r="AJ789" s="23"/>
    </row>
    <row r="790" spans="1:36" ht="11.25" customHeight="1" x14ac:dyDescent="0.25">
      <c r="A790" s="23"/>
      <c r="B790" s="44"/>
      <c r="C790" s="45"/>
      <c r="D790" s="23"/>
      <c r="E790" s="23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5"/>
      <c r="T790" s="23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23"/>
      <c r="AJ790" s="23"/>
    </row>
    <row r="791" spans="1:36" ht="11.25" customHeight="1" x14ac:dyDescent="0.25">
      <c r="A791" s="23"/>
      <c r="B791" s="44"/>
      <c r="C791" s="45"/>
      <c r="D791" s="23"/>
      <c r="E791" s="23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5"/>
      <c r="T791" s="23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23"/>
      <c r="AJ791" s="23"/>
    </row>
    <row r="792" spans="1:36" ht="11.25" customHeight="1" x14ac:dyDescent="0.25">
      <c r="A792" s="23"/>
      <c r="B792" s="44"/>
      <c r="C792" s="45"/>
      <c r="D792" s="23"/>
      <c r="E792" s="23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5"/>
      <c r="T792" s="23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23"/>
      <c r="AJ792" s="23"/>
    </row>
    <row r="793" spans="1:36" ht="11.25" customHeight="1" x14ac:dyDescent="0.25">
      <c r="A793" s="23"/>
      <c r="B793" s="44"/>
      <c r="C793" s="45"/>
      <c r="D793" s="23"/>
      <c r="E793" s="23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5"/>
      <c r="T793" s="23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23"/>
      <c r="AJ793" s="23"/>
    </row>
    <row r="794" spans="1:36" ht="11.25" customHeight="1" x14ac:dyDescent="0.25">
      <c r="A794" s="23"/>
      <c r="B794" s="44"/>
      <c r="C794" s="45"/>
      <c r="D794" s="23"/>
      <c r="E794" s="23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5"/>
      <c r="T794" s="23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23"/>
      <c r="AJ794" s="23"/>
    </row>
    <row r="795" spans="1:36" ht="11.25" customHeight="1" x14ac:dyDescent="0.25">
      <c r="A795" s="23"/>
      <c r="B795" s="44"/>
      <c r="C795" s="45"/>
      <c r="D795" s="23"/>
      <c r="E795" s="23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5"/>
      <c r="T795" s="23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23"/>
      <c r="AJ795" s="23"/>
    </row>
    <row r="796" spans="1:36" ht="11.25" customHeight="1" x14ac:dyDescent="0.25">
      <c r="A796" s="23"/>
      <c r="B796" s="44"/>
      <c r="C796" s="45"/>
      <c r="D796" s="23"/>
      <c r="E796" s="23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5"/>
      <c r="T796" s="23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23"/>
      <c r="AJ796" s="23"/>
    </row>
    <row r="797" spans="1:36" ht="11.25" customHeight="1" x14ac:dyDescent="0.25">
      <c r="A797" s="23"/>
      <c r="B797" s="44"/>
      <c r="C797" s="45"/>
      <c r="D797" s="23"/>
      <c r="E797" s="23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5"/>
      <c r="T797" s="23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23"/>
      <c r="AJ797" s="23"/>
    </row>
    <row r="798" spans="1:36" ht="11.25" customHeight="1" x14ac:dyDescent="0.25">
      <c r="A798" s="23"/>
      <c r="B798" s="44"/>
      <c r="C798" s="45"/>
      <c r="D798" s="23"/>
      <c r="E798" s="23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5"/>
      <c r="T798" s="23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23"/>
      <c r="AJ798" s="23"/>
    </row>
    <row r="799" spans="1:36" ht="11.25" customHeight="1" x14ac:dyDescent="0.25">
      <c r="A799" s="23"/>
      <c r="B799" s="44"/>
      <c r="C799" s="45"/>
      <c r="D799" s="23"/>
      <c r="E799" s="23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5"/>
      <c r="T799" s="23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23"/>
      <c r="AJ799" s="23"/>
    </row>
    <row r="800" spans="1:36" ht="11.25" customHeight="1" x14ac:dyDescent="0.25">
      <c r="A800" s="23"/>
      <c r="B800" s="44"/>
      <c r="C800" s="45"/>
      <c r="D800" s="23"/>
      <c r="E800" s="23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5"/>
      <c r="T800" s="23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23"/>
      <c r="AJ800" s="23"/>
    </row>
    <row r="801" spans="1:36" ht="11.25" customHeight="1" x14ac:dyDescent="0.25">
      <c r="A801" s="23"/>
      <c r="B801" s="44"/>
      <c r="C801" s="45"/>
      <c r="D801" s="23"/>
      <c r="E801" s="23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5"/>
      <c r="T801" s="23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23"/>
      <c r="AJ801" s="23"/>
    </row>
    <row r="802" spans="1:36" ht="11.25" customHeight="1" x14ac:dyDescent="0.25">
      <c r="A802" s="23"/>
      <c r="B802" s="44"/>
      <c r="C802" s="45"/>
      <c r="D802" s="23"/>
      <c r="E802" s="23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5"/>
      <c r="T802" s="23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23"/>
      <c r="AJ802" s="23"/>
    </row>
    <row r="803" spans="1:36" ht="11.25" customHeight="1" x14ac:dyDescent="0.25">
      <c r="A803" s="23"/>
      <c r="B803" s="44"/>
      <c r="C803" s="45"/>
      <c r="D803" s="23"/>
      <c r="E803" s="23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5"/>
      <c r="T803" s="23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23"/>
      <c r="AJ803" s="23"/>
    </row>
    <row r="804" spans="1:36" ht="11.25" customHeight="1" x14ac:dyDescent="0.25">
      <c r="A804" s="23"/>
      <c r="B804" s="44"/>
      <c r="C804" s="45"/>
      <c r="D804" s="23"/>
      <c r="E804" s="23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5"/>
      <c r="T804" s="23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23"/>
      <c r="AJ804" s="23"/>
    </row>
    <row r="805" spans="1:36" ht="11.25" customHeight="1" x14ac:dyDescent="0.25">
      <c r="A805" s="23"/>
      <c r="B805" s="44"/>
      <c r="C805" s="45"/>
      <c r="D805" s="23"/>
      <c r="E805" s="23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5"/>
      <c r="T805" s="23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23"/>
      <c r="AJ805" s="23"/>
    </row>
    <row r="806" spans="1:36" ht="11.25" customHeight="1" x14ac:dyDescent="0.25">
      <c r="A806" s="23"/>
      <c r="B806" s="44"/>
      <c r="C806" s="45"/>
      <c r="D806" s="23"/>
      <c r="E806" s="23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5"/>
      <c r="T806" s="23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23"/>
      <c r="AJ806" s="23"/>
    </row>
    <row r="807" spans="1:36" ht="11.25" customHeight="1" x14ac:dyDescent="0.25">
      <c r="A807" s="23"/>
      <c r="B807" s="44"/>
      <c r="C807" s="45"/>
      <c r="D807" s="23"/>
      <c r="E807" s="23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5"/>
      <c r="T807" s="23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23"/>
      <c r="AJ807" s="23"/>
    </row>
    <row r="808" spans="1:36" ht="11.25" customHeight="1" x14ac:dyDescent="0.25">
      <c r="A808" s="23"/>
      <c r="B808" s="44"/>
      <c r="C808" s="45"/>
      <c r="D808" s="23"/>
      <c r="E808" s="23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5"/>
      <c r="T808" s="23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23"/>
      <c r="AJ808" s="23"/>
    </row>
    <row r="809" spans="1:36" ht="11.25" customHeight="1" x14ac:dyDescent="0.25">
      <c r="A809" s="23"/>
      <c r="B809" s="44"/>
      <c r="C809" s="45"/>
      <c r="D809" s="23"/>
      <c r="E809" s="23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5"/>
      <c r="T809" s="23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23"/>
      <c r="AJ809" s="23"/>
    </row>
    <row r="810" spans="1:36" ht="11.25" customHeight="1" x14ac:dyDescent="0.25">
      <c r="A810" s="23"/>
      <c r="B810" s="44"/>
      <c r="C810" s="45"/>
      <c r="D810" s="23"/>
      <c r="E810" s="23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5"/>
      <c r="T810" s="23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23"/>
      <c r="AJ810" s="23"/>
    </row>
    <row r="811" spans="1:36" ht="11.25" customHeight="1" x14ac:dyDescent="0.25">
      <c r="A811" s="23"/>
      <c r="B811" s="44"/>
      <c r="C811" s="45"/>
      <c r="D811" s="23"/>
      <c r="E811" s="23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5"/>
      <c r="T811" s="23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23"/>
      <c r="AJ811" s="23"/>
    </row>
    <row r="812" spans="1:36" ht="11.25" customHeight="1" x14ac:dyDescent="0.25">
      <c r="A812" s="23"/>
      <c r="B812" s="44"/>
      <c r="C812" s="45"/>
      <c r="D812" s="23"/>
      <c r="E812" s="23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5"/>
      <c r="T812" s="23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23"/>
      <c r="AJ812" s="23"/>
    </row>
    <row r="813" spans="1:36" ht="11.25" customHeight="1" x14ac:dyDescent="0.25">
      <c r="A813" s="23"/>
      <c r="B813" s="44"/>
      <c r="C813" s="45"/>
      <c r="D813" s="23"/>
      <c r="E813" s="23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5"/>
      <c r="T813" s="23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23"/>
      <c r="AJ813" s="23"/>
    </row>
    <row r="814" spans="1:36" ht="11.25" customHeight="1" x14ac:dyDescent="0.25">
      <c r="A814" s="23"/>
      <c r="B814" s="44"/>
      <c r="C814" s="45"/>
      <c r="D814" s="23"/>
      <c r="E814" s="23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5"/>
      <c r="T814" s="23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23"/>
      <c r="AJ814" s="23"/>
    </row>
    <row r="815" spans="1:36" ht="11.25" customHeight="1" x14ac:dyDescent="0.25">
      <c r="A815" s="23"/>
      <c r="B815" s="44"/>
      <c r="C815" s="45"/>
      <c r="D815" s="23"/>
      <c r="E815" s="23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5"/>
      <c r="T815" s="23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23"/>
      <c r="AJ815" s="23"/>
    </row>
    <row r="816" spans="1:36" ht="11.25" customHeight="1" x14ac:dyDescent="0.25">
      <c r="A816" s="23"/>
      <c r="B816" s="44"/>
      <c r="C816" s="45"/>
      <c r="D816" s="23"/>
      <c r="E816" s="23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5"/>
      <c r="T816" s="23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23"/>
      <c r="AJ816" s="23"/>
    </row>
    <row r="817" spans="1:36" ht="11.25" customHeight="1" x14ac:dyDescent="0.25">
      <c r="A817" s="23"/>
      <c r="B817" s="44"/>
      <c r="C817" s="45"/>
      <c r="D817" s="23"/>
      <c r="E817" s="23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5"/>
      <c r="T817" s="23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23"/>
      <c r="AJ817" s="23"/>
    </row>
    <row r="818" spans="1:36" ht="11.25" customHeight="1" x14ac:dyDescent="0.25">
      <c r="A818" s="23"/>
      <c r="B818" s="44"/>
      <c r="C818" s="45"/>
      <c r="D818" s="23"/>
      <c r="E818" s="23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5"/>
      <c r="T818" s="23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23"/>
      <c r="AJ818" s="23"/>
    </row>
    <row r="819" spans="1:36" ht="11.25" customHeight="1" x14ac:dyDescent="0.25">
      <c r="A819" s="23"/>
      <c r="B819" s="44"/>
      <c r="C819" s="45"/>
      <c r="D819" s="23"/>
      <c r="E819" s="23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5"/>
      <c r="T819" s="23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23"/>
      <c r="AJ819" s="23"/>
    </row>
    <row r="820" spans="1:36" ht="11.25" customHeight="1" x14ac:dyDescent="0.25">
      <c r="A820" s="23"/>
      <c r="B820" s="44"/>
      <c r="C820" s="45"/>
      <c r="D820" s="23"/>
      <c r="E820" s="23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5"/>
      <c r="T820" s="23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23"/>
      <c r="AJ820" s="23"/>
    </row>
    <row r="821" spans="1:36" ht="11.25" customHeight="1" x14ac:dyDescent="0.25">
      <c r="A821" s="23"/>
      <c r="B821" s="44"/>
      <c r="C821" s="45"/>
      <c r="D821" s="23"/>
      <c r="E821" s="23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5"/>
      <c r="T821" s="23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23"/>
      <c r="AJ821" s="23"/>
    </row>
    <row r="822" spans="1:36" ht="11.25" customHeight="1" x14ac:dyDescent="0.25">
      <c r="A822" s="23"/>
      <c r="B822" s="44"/>
      <c r="C822" s="45"/>
      <c r="D822" s="23"/>
      <c r="E822" s="23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5"/>
      <c r="T822" s="23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23"/>
      <c r="AJ822" s="23"/>
    </row>
    <row r="823" spans="1:36" ht="11.25" customHeight="1" x14ac:dyDescent="0.25">
      <c r="A823" s="23"/>
      <c r="B823" s="44"/>
      <c r="C823" s="45"/>
      <c r="D823" s="23"/>
      <c r="E823" s="23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5"/>
      <c r="T823" s="23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23"/>
      <c r="AJ823" s="23"/>
    </row>
    <row r="824" spans="1:36" ht="11.25" customHeight="1" x14ac:dyDescent="0.25">
      <c r="A824" s="23"/>
      <c r="B824" s="44"/>
      <c r="C824" s="45"/>
      <c r="D824" s="23"/>
      <c r="E824" s="23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5"/>
      <c r="T824" s="23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23"/>
      <c r="AJ824" s="23"/>
    </row>
    <row r="825" spans="1:36" ht="11.25" customHeight="1" x14ac:dyDescent="0.25">
      <c r="A825" s="23"/>
      <c r="B825" s="44"/>
      <c r="C825" s="45"/>
      <c r="D825" s="23"/>
      <c r="E825" s="23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5"/>
      <c r="T825" s="23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23"/>
      <c r="AJ825" s="23"/>
    </row>
    <row r="826" spans="1:36" ht="11.25" customHeight="1" x14ac:dyDescent="0.25">
      <c r="A826" s="23"/>
      <c r="B826" s="44"/>
      <c r="C826" s="45"/>
      <c r="D826" s="23"/>
      <c r="E826" s="23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5"/>
      <c r="T826" s="23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23"/>
      <c r="AJ826" s="23"/>
    </row>
    <row r="827" spans="1:36" ht="11.25" customHeight="1" x14ac:dyDescent="0.25">
      <c r="A827" s="23"/>
      <c r="B827" s="44"/>
      <c r="C827" s="45"/>
      <c r="D827" s="23"/>
      <c r="E827" s="23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5"/>
      <c r="T827" s="23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23"/>
      <c r="AJ827" s="23"/>
    </row>
    <row r="828" spans="1:36" ht="11.25" customHeight="1" x14ac:dyDescent="0.25">
      <c r="A828" s="23"/>
      <c r="B828" s="44"/>
      <c r="C828" s="45"/>
      <c r="D828" s="23"/>
      <c r="E828" s="23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5"/>
      <c r="T828" s="23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23"/>
      <c r="AJ828" s="23"/>
    </row>
    <row r="829" spans="1:36" ht="11.25" customHeight="1" x14ac:dyDescent="0.25">
      <c r="A829" s="23"/>
      <c r="B829" s="44"/>
      <c r="C829" s="45"/>
      <c r="D829" s="23"/>
      <c r="E829" s="23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5"/>
      <c r="T829" s="23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23"/>
      <c r="AJ829" s="23"/>
    </row>
    <row r="830" spans="1:36" ht="11.25" customHeight="1" x14ac:dyDescent="0.25">
      <c r="A830" s="23"/>
      <c r="B830" s="44"/>
      <c r="C830" s="45"/>
      <c r="D830" s="23"/>
      <c r="E830" s="23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5"/>
      <c r="T830" s="23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23"/>
      <c r="AJ830" s="23"/>
    </row>
    <row r="831" spans="1:36" ht="11.25" customHeight="1" x14ac:dyDescent="0.25">
      <c r="A831" s="23"/>
      <c r="B831" s="44"/>
      <c r="C831" s="45"/>
      <c r="D831" s="23"/>
      <c r="E831" s="23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5"/>
      <c r="T831" s="23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23"/>
      <c r="AJ831" s="23"/>
    </row>
    <row r="832" spans="1:36" ht="11.25" customHeight="1" x14ac:dyDescent="0.25">
      <c r="A832" s="23"/>
      <c r="B832" s="44"/>
      <c r="C832" s="45"/>
      <c r="D832" s="23"/>
      <c r="E832" s="23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5"/>
      <c r="T832" s="23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23"/>
      <c r="AJ832" s="23"/>
    </row>
    <row r="833" spans="1:36" ht="11.25" customHeight="1" x14ac:dyDescent="0.25">
      <c r="A833" s="23"/>
      <c r="B833" s="44"/>
      <c r="C833" s="45"/>
      <c r="D833" s="23"/>
      <c r="E833" s="23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5"/>
      <c r="T833" s="23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23"/>
      <c r="AJ833" s="23"/>
    </row>
    <row r="834" spans="1:36" ht="11.25" customHeight="1" x14ac:dyDescent="0.25">
      <c r="A834" s="23"/>
      <c r="B834" s="44"/>
      <c r="C834" s="45"/>
      <c r="D834" s="23"/>
      <c r="E834" s="23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5"/>
      <c r="T834" s="23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23"/>
      <c r="AJ834" s="23"/>
    </row>
    <row r="835" spans="1:36" ht="11.25" customHeight="1" x14ac:dyDescent="0.25">
      <c r="A835" s="23"/>
      <c r="B835" s="44"/>
      <c r="C835" s="45"/>
      <c r="D835" s="23"/>
      <c r="E835" s="23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5"/>
      <c r="T835" s="23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23"/>
      <c r="AJ835" s="23"/>
    </row>
    <row r="836" spans="1:36" ht="11.25" customHeight="1" x14ac:dyDescent="0.25">
      <c r="A836" s="23"/>
      <c r="B836" s="44"/>
      <c r="C836" s="45"/>
      <c r="D836" s="23"/>
      <c r="E836" s="23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5"/>
      <c r="T836" s="23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23"/>
      <c r="AJ836" s="23"/>
    </row>
    <row r="837" spans="1:36" ht="11.25" customHeight="1" x14ac:dyDescent="0.25">
      <c r="A837" s="23"/>
      <c r="B837" s="44"/>
      <c r="C837" s="45"/>
      <c r="D837" s="23"/>
      <c r="E837" s="23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5"/>
      <c r="T837" s="23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23"/>
      <c r="AJ837" s="23"/>
    </row>
    <row r="838" spans="1:36" ht="11.25" customHeight="1" x14ac:dyDescent="0.25">
      <c r="A838" s="23"/>
      <c r="B838" s="44"/>
      <c r="C838" s="45"/>
      <c r="D838" s="23"/>
      <c r="E838" s="23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5"/>
      <c r="T838" s="23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23"/>
      <c r="AJ838" s="23"/>
    </row>
    <row r="839" spans="1:36" ht="11.25" customHeight="1" x14ac:dyDescent="0.25">
      <c r="A839" s="23"/>
      <c r="B839" s="44"/>
      <c r="C839" s="45"/>
      <c r="D839" s="23"/>
      <c r="E839" s="23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5"/>
      <c r="T839" s="23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23"/>
      <c r="AJ839" s="23"/>
    </row>
    <row r="840" spans="1:36" ht="11.25" customHeight="1" x14ac:dyDescent="0.25">
      <c r="A840" s="23"/>
      <c r="B840" s="44"/>
      <c r="C840" s="45"/>
      <c r="D840" s="23"/>
      <c r="E840" s="23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5"/>
      <c r="T840" s="23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23"/>
      <c r="AJ840" s="23"/>
    </row>
    <row r="841" spans="1:36" ht="11.25" customHeight="1" x14ac:dyDescent="0.25">
      <c r="A841" s="23"/>
      <c r="B841" s="44"/>
      <c r="C841" s="45"/>
      <c r="D841" s="23"/>
      <c r="E841" s="23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5"/>
      <c r="T841" s="23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23"/>
      <c r="AJ841" s="23"/>
    </row>
    <row r="842" spans="1:36" ht="11.25" customHeight="1" x14ac:dyDescent="0.25">
      <c r="A842" s="23"/>
      <c r="B842" s="44"/>
      <c r="C842" s="45"/>
      <c r="D842" s="23"/>
      <c r="E842" s="23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5"/>
      <c r="T842" s="23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23"/>
      <c r="AJ842" s="23"/>
    </row>
    <row r="843" spans="1:36" ht="11.25" customHeight="1" x14ac:dyDescent="0.25">
      <c r="A843" s="23"/>
      <c r="B843" s="44"/>
      <c r="C843" s="45"/>
      <c r="D843" s="23"/>
      <c r="E843" s="23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5"/>
      <c r="T843" s="23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23"/>
      <c r="AJ843" s="23"/>
    </row>
    <row r="844" spans="1:36" ht="11.25" customHeight="1" x14ac:dyDescent="0.25">
      <c r="A844" s="23"/>
      <c r="B844" s="44"/>
      <c r="C844" s="45"/>
      <c r="D844" s="23"/>
      <c r="E844" s="23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5"/>
      <c r="T844" s="23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23"/>
      <c r="AJ844" s="23"/>
    </row>
    <row r="845" spans="1:36" ht="11.25" customHeight="1" x14ac:dyDescent="0.25">
      <c r="A845" s="23"/>
      <c r="B845" s="44"/>
      <c r="C845" s="45"/>
      <c r="D845" s="23"/>
      <c r="E845" s="23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5"/>
      <c r="T845" s="23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23"/>
      <c r="AJ845" s="23"/>
    </row>
    <row r="846" spans="1:36" ht="11.25" customHeight="1" x14ac:dyDescent="0.25">
      <c r="A846" s="23"/>
      <c r="B846" s="44"/>
      <c r="C846" s="45"/>
      <c r="D846" s="23"/>
      <c r="E846" s="23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5"/>
      <c r="T846" s="23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23"/>
      <c r="AJ846" s="23"/>
    </row>
    <row r="847" spans="1:36" ht="11.25" customHeight="1" x14ac:dyDescent="0.25">
      <c r="A847" s="23"/>
      <c r="B847" s="44"/>
      <c r="C847" s="45"/>
      <c r="D847" s="23"/>
      <c r="E847" s="23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5"/>
      <c r="T847" s="23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23"/>
      <c r="AJ847" s="23"/>
    </row>
    <row r="848" spans="1:36" ht="11.25" customHeight="1" x14ac:dyDescent="0.25">
      <c r="A848" s="23"/>
      <c r="B848" s="44"/>
      <c r="C848" s="45"/>
      <c r="D848" s="23"/>
      <c r="E848" s="23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5"/>
      <c r="T848" s="23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23"/>
      <c r="AJ848" s="23"/>
    </row>
    <row r="849" spans="1:36" ht="11.25" customHeight="1" x14ac:dyDescent="0.25">
      <c r="A849" s="23"/>
      <c r="B849" s="44"/>
      <c r="C849" s="45"/>
      <c r="D849" s="23"/>
      <c r="E849" s="23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5"/>
      <c r="T849" s="23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23"/>
      <c r="AJ849" s="23"/>
    </row>
    <row r="850" spans="1:36" ht="11.25" customHeight="1" x14ac:dyDescent="0.25">
      <c r="A850" s="23"/>
      <c r="B850" s="44"/>
      <c r="C850" s="45"/>
      <c r="D850" s="23"/>
      <c r="E850" s="23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5"/>
      <c r="T850" s="23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23"/>
      <c r="AJ850" s="23"/>
    </row>
    <row r="851" spans="1:36" ht="11.25" customHeight="1" x14ac:dyDescent="0.25">
      <c r="A851" s="23"/>
      <c r="B851" s="44"/>
      <c r="C851" s="45"/>
      <c r="D851" s="23"/>
      <c r="E851" s="23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5"/>
      <c r="T851" s="23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23"/>
      <c r="AJ851" s="23"/>
    </row>
    <row r="852" spans="1:36" ht="11.25" customHeight="1" x14ac:dyDescent="0.25">
      <c r="A852" s="23"/>
      <c r="B852" s="44"/>
      <c r="C852" s="45"/>
      <c r="D852" s="23"/>
      <c r="E852" s="23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5"/>
      <c r="T852" s="23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23"/>
      <c r="AJ852" s="23"/>
    </row>
    <row r="853" spans="1:36" ht="11.25" customHeight="1" x14ac:dyDescent="0.25">
      <c r="A853" s="23"/>
      <c r="B853" s="44"/>
      <c r="C853" s="45"/>
      <c r="D853" s="23"/>
      <c r="E853" s="23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5"/>
      <c r="T853" s="23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23"/>
      <c r="AJ853" s="23"/>
    </row>
    <row r="854" spans="1:36" ht="11.25" customHeight="1" x14ac:dyDescent="0.25">
      <c r="A854" s="23"/>
      <c r="B854" s="44"/>
      <c r="C854" s="45"/>
      <c r="D854" s="23"/>
      <c r="E854" s="23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5"/>
      <c r="T854" s="23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23"/>
      <c r="AJ854" s="23"/>
    </row>
    <row r="855" spans="1:36" ht="11.25" customHeight="1" x14ac:dyDescent="0.25">
      <c r="A855" s="23"/>
      <c r="B855" s="44"/>
      <c r="C855" s="45"/>
      <c r="D855" s="23"/>
      <c r="E855" s="23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5"/>
      <c r="T855" s="23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23"/>
      <c r="AJ855" s="23"/>
    </row>
    <row r="856" spans="1:36" ht="11.25" customHeight="1" x14ac:dyDescent="0.25">
      <c r="A856" s="23"/>
      <c r="B856" s="44"/>
      <c r="C856" s="45"/>
      <c r="D856" s="23"/>
      <c r="E856" s="23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5"/>
      <c r="T856" s="23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23"/>
      <c r="AJ856" s="23"/>
    </row>
    <row r="857" spans="1:36" ht="11.25" customHeight="1" x14ac:dyDescent="0.25">
      <c r="A857" s="23"/>
      <c r="B857" s="44"/>
      <c r="C857" s="45"/>
      <c r="D857" s="23"/>
      <c r="E857" s="23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5"/>
      <c r="T857" s="23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23"/>
      <c r="AJ857" s="23"/>
    </row>
    <row r="858" spans="1:36" ht="11.25" customHeight="1" x14ac:dyDescent="0.25">
      <c r="A858" s="23"/>
      <c r="B858" s="44"/>
      <c r="C858" s="45"/>
      <c r="D858" s="23"/>
      <c r="E858" s="23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5"/>
      <c r="T858" s="23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23"/>
      <c r="AJ858" s="23"/>
    </row>
    <row r="859" spans="1:36" ht="11.25" customHeight="1" x14ac:dyDescent="0.25">
      <c r="A859" s="23"/>
      <c r="B859" s="44"/>
      <c r="C859" s="45"/>
      <c r="D859" s="23"/>
      <c r="E859" s="23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5"/>
      <c r="T859" s="23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23"/>
      <c r="AJ859" s="23"/>
    </row>
    <row r="860" spans="1:36" ht="11.25" customHeight="1" x14ac:dyDescent="0.25">
      <c r="A860" s="23"/>
      <c r="B860" s="44"/>
      <c r="C860" s="45"/>
      <c r="D860" s="23"/>
      <c r="E860" s="23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5"/>
      <c r="T860" s="23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23"/>
      <c r="AJ860" s="23"/>
    </row>
    <row r="861" spans="1:36" ht="11.25" customHeight="1" x14ac:dyDescent="0.25">
      <c r="A861" s="23"/>
      <c r="B861" s="44"/>
      <c r="C861" s="45"/>
      <c r="D861" s="23"/>
      <c r="E861" s="23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5"/>
      <c r="T861" s="23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23"/>
      <c r="AJ861" s="23"/>
    </row>
    <row r="862" spans="1:36" ht="11.25" customHeight="1" x14ac:dyDescent="0.25">
      <c r="A862" s="23"/>
      <c r="B862" s="44"/>
      <c r="C862" s="45"/>
      <c r="D862" s="23"/>
      <c r="E862" s="23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5"/>
      <c r="T862" s="23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23"/>
      <c r="AJ862" s="23"/>
    </row>
    <row r="863" spans="1:36" ht="11.25" customHeight="1" x14ac:dyDescent="0.25">
      <c r="A863" s="23"/>
      <c r="B863" s="44"/>
      <c r="C863" s="45"/>
      <c r="D863" s="23"/>
      <c r="E863" s="23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5"/>
      <c r="T863" s="23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23"/>
      <c r="AJ863" s="23"/>
    </row>
    <row r="864" spans="1:36" ht="11.25" customHeight="1" x14ac:dyDescent="0.25">
      <c r="A864" s="23"/>
      <c r="B864" s="44"/>
      <c r="C864" s="45"/>
      <c r="D864" s="23"/>
      <c r="E864" s="23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5"/>
      <c r="T864" s="23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23"/>
      <c r="AJ864" s="23"/>
    </row>
    <row r="865" spans="1:36" ht="11.25" customHeight="1" x14ac:dyDescent="0.25">
      <c r="A865" s="23"/>
      <c r="B865" s="44"/>
      <c r="C865" s="45"/>
      <c r="D865" s="23"/>
      <c r="E865" s="23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5"/>
      <c r="T865" s="23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23"/>
      <c r="AJ865" s="23"/>
    </row>
    <row r="866" spans="1:36" ht="11.25" customHeight="1" x14ac:dyDescent="0.25">
      <c r="A866" s="23"/>
      <c r="B866" s="44"/>
      <c r="C866" s="45"/>
      <c r="D866" s="23"/>
      <c r="E866" s="23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5"/>
      <c r="T866" s="23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23"/>
      <c r="AJ866" s="23"/>
    </row>
    <row r="867" spans="1:36" ht="11.25" customHeight="1" x14ac:dyDescent="0.25">
      <c r="A867" s="23"/>
      <c r="B867" s="44"/>
      <c r="C867" s="45"/>
      <c r="D867" s="23"/>
      <c r="E867" s="23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5"/>
      <c r="T867" s="23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23"/>
      <c r="AJ867" s="23"/>
    </row>
    <row r="868" spans="1:36" ht="11.25" customHeight="1" x14ac:dyDescent="0.25">
      <c r="A868" s="23"/>
      <c r="B868" s="44"/>
      <c r="C868" s="45"/>
      <c r="D868" s="23"/>
      <c r="E868" s="23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5"/>
      <c r="T868" s="23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23"/>
      <c r="AJ868" s="23"/>
    </row>
    <row r="869" spans="1:36" ht="11.25" customHeight="1" x14ac:dyDescent="0.25">
      <c r="A869" s="23"/>
      <c r="B869" s="44"/>
      <c r="C869" s="45"/>
      <c r="D869" s="23"/>
      <c r="E869" s="23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5"/>
      <c r="T869" s="23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23"/>
      <c r="AJ869" s="23"/>
    </row>
    <row r="870" spans="1:36" ht="11.25" customHeight="1" x14ac:dyDescent="0.25">
      <c r="A870" s="23"/>
      <c r="B870" s="44"/>
      <c r="C870" s="45"/>
      <c r="D870" s="23"/>
      <c r="E870" s="23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5"/>
      <c r="T870" s="23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23"/>
      <c r="AJ870" s="23"/>
    </row>
    <row r="871" spans="1:36" ht="11.25" customHeight="1" x14ac:dyDescent="0.25">
      <c r="A871" s="23"/>
      <c r="B871" s="44"/>
      <c r="C871" s="45"/>
      <c r="D871" s="23"/>
      <c r="E871" s="23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5"/>
      <c r="T871" s="23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23"/>
      <c r="AJ871" s="23"/>
    </row>
    <row r="872" spans="1:36" ht="11.25" customHeight="1" x14ac:dyDescent="0.25">
      <c r="A872" s="23"/>
      <c r="B872" s="44"/>
      <c r="C872" s="45"/>
      <c r="D872" s="23"/>
      <c r="E872" s="23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5"/>
      <c r="T872" s="23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23"/>
      <c r="AJ872" s="23"/>
    </row>
    <row r="873" spans="1:36" ht="11.25" customHeight="1" x14ac:dyDescent="0.25">
      <c r="A873" s="23"/>
      <c r="B873" s="44"/>
      <c r="C873" s="45"/>
      <c r="D873" s="23"/>
      <c r="E873" s="23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5"/>
      <c r="T873" s="23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23"/>
      <c r="AJ873" s="23"/>
    </row>
    <row r="874" spans="1:36" ht="11.25" customHeight="1" x14ac:dyDescent="0.25">
      <c r="A874" s="23"/>
      <c r="B874" s="44"/>
      <c r="C874" s="45"/>
      <c r="D874" s="23"/>
      <c r="E874" s="23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5"/>
      <c r="T874" s="23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23"/>
      <c r="AJ874" s="23"/>
    </row>
    <row r="875" spans="1:36" ht="11.25" customHeight="1" x14ac:dyDescent="0.25">
      <c r="A875" s="23"/>
      <c r="B875" s="44"/>
      <c r="C875" s="45"/>
      <c r="D875" s="23"/>
      <c r="E875" s="23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5"/>
      <c r="T875" s="23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23"/>
      <c r="AJ875" s="23"/>
    </row>
    <row r="876" spans="1:36" ht="11.25" customHeight="1" x14ac:dyDescent="0.25">
      <c r="A876" s="23"/>
      <c r="B876" s="44"/>
      <c r="C876" s="45"/>
      <c r="D876" s="23"/>
      <c r="E876" s="23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5"/>
      <c r="T876" s="23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23"/>
      <c r="AJ876" s="23"/>
    </row>
    <row r="877" spans="1:36" ht="11.25" customHeight="1" x14ac:dyDescent="0.25">
      <c r="A877" s="23"/>
      <c r="B877" s="44"/>
      <c r="C877" s="45"/>
      <c r="D877" s="23"/>
      <c r="E877" s="23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5"/>
      <c r="T877" s="23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23"/>
      <c r="AJ877" s="23"/>
    </row>
    <row r="878" spans="1:36" ht="11.25" customHeight="1" x14ac:dyDescent="0.25">
      <c r="A878" s="23"/>
      <c r="B878" s="44"/>
      <c r="C878" s="45"/>
      <c r="D878" s="23"/>
      <c r="E878" s="23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5"/>
      <c r="T878" s="23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23"/>
      <c r="AJ878" s="23"/>
    </row>
    <row r="879" spans="1:36" ht="11.25" customHeight="1" x14ac:dyDescent="0.25">
      <c r="A879" s="23"/>
      <c r="B879" s="44"/>
      <c r="C879" s="45"/>
      <c r="D879" s="23"/>
      <c r="E879" s="23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5"/>
      <c r="T879" s="23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23"/>
      <c r="AJ879" s="23"/>
    </row>
    <row r="880" spans="1:36" ht="11.25" customHeight="1" x14ac:dyDescent="0.25">
      <c r="A880" s="23"/>
      <c r="B880" s="44"/>
      <c r="C880" s="45"/>
      <c r="D880" s="23"/>
      <c r="E880" s="23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5"/>
      <c r="T880" s="23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23"/>
      <c r="AJ880" s="23"/>
    </row>
    <row r="881" spans="1:36" ht="11.25" customHeight="1" x14ac:dyDescent="0.25">
      <c r="A881" s="23"/>
      <c r="B881" s="44"/>
      <c r="C881" s="45"/>
      <c r="D881" s="23"/>
      <c r="E881" s="23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5"/>
      <c r="T881" s="23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23"/>
      <c r="AJ881" s="23"/>
    </row>
    <row r="882" spans="1:36" ht="11.25" customHeight="1" x14ac:dyDescent="0.25">
      <c r="A882" s="23"/>
      <c r="B882" s="44"/>
      <c r="C882" s="45"/>
      <c r="D882" s="23"/>
      <c r="E882" s="23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5"/>
      <c r="T882" s="23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23"/>
      <c r="AJ882" s="23"/>
    </row>
    <row r="883" spans="1:36" ht="11.25" customHeight="1" x14ac:dyDescent="0.25">
      <c r="A883" s="23"/>
      <c r="B883" s="44"/>
      <c r="C883" s="45"/>
      <c r="D883" s="23"/>
      <c r="E883" s="23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5"/>
      <c r="T883" s="23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23"/>
      <c r="AJ883" s="23"/>
    </row>
    <row r="884" spans="1:36" ht="11.25" customHeight="1" x14ac:dyDescent="0.25">
      <c r="A884" s="23"/>
      <c r="B884" s="44"/>
      <c r="C884" s="45"/>
      <c r="D884" s="23"/>
      <c r="E884" s="23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5"/>
      <c r="T884" s="23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23"/>
      <c r="AJ884" s="23"/>
    </row>
    <row r="885" spans="1:36" ht="11.25" customHeight="1" x14ac:dyDescent="0.25">
      <c r="A885" s="23"/>
      <c r="B885" s="44"/>
      <c r="C885" s="45"/>
      <c r="D885" s="23"/>
      <c r="E885" s="23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5"/>
      <c r="T885" s="23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23"/>
      <c r="AJ885" s="23"/>
    </row>
    <row r="886" spans="1:36" ht="11.25" customHeight="1" x14ac:dyDescent="0.25">
      <c r="A886" s="23"/>
      <c r="B886" s="44"/>
      <c r="C886" s="45"/>
      <c r="D886" s="23"/>
      <c r="E886" s="23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5"/>
      <c r="T886" s="23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23"/>
      <c r="AJ886" s="23"/>
    </row>
    <row r="887" spans="1:36" ht="11.25" customHeight="1" x14ac:dyDescent="0.25">
      <c r="A887" s="23"/>
      <c r="B887" s="44"/>
      <c r="C887" s="45"/>
      <c r="D887" s="23"/>
      <c r="E887" s="23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5"/>
      <c r="T887" s="23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23"/>
      <c r="AJ887" s="23"/>
    </row>
    <row r="888" spans="1:36" ht="11.25" customHeight="1" x14ac:dyDescent="0.25">
      <c r="A888" s="23"/>
      <c r="B888" s="44"/>
      <c r="C888" s="45"/>
      <c r="D888" s="23"/>
      <c r="E888" s="23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5"/>
      <c r="T888" s="23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23"/>
      <c r="AJ888" s="23"/>
    </row>
    <row r="889" spans="1:36" ht="11.25" customHeight="1" x14ac:dyDescent="0.25">
      <c r="A889" s="23"/>
      <c r="B889" s="44"/>
      <c r="C889" s="45"/>
      <c r="D889" s="23"/>
      <c r="E889" s="23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5"/>
      <c r="T889" s="23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23"/>
      <c r="AJ889" s="23"/>
    </row>
    <row r="890" spans="1:36" ht="11.25" customHeight="1" x14ac:dyDescent="0.25">
      <c r="A890" s="23"/>
      <c r="B890" s="44"/>
      <c r="C890" s="45"/>
      <c r="D890" s="23"/>
      <c r="E890" s="23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5"/>
      <c r="T890" s="23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23"/>
      <c r="AJ890" s="23"/>
    </row>
    <row r="891" spans="1:36" ht="11.25" customHeight="1" x14ac:dyDescent="0.25">
      <c r="A891" s="23"/>
      <c r="B891" s="44"/>
      <c r="C891" s="45"/>
      <c r="D891" s="23"/>
      <c r="E891" s="23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5"/>
      <c r="T891" s="23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23"/>
      <c r="AJ891" s="23"/>
    </row>
    <row r="892" spans="1:36" ht="11.25" customHeight="1" x14ac:dyDescent="0.25">
      <c r="A892" s="23"/>
      <c r="B892" s="44"/>
      <c r="C892" s="45"/>
      <c r="D892" s="23"/>
      <c r="E892" s="23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5"/>
      <c r="T892" s="23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23"/>
      <c r="AJ892" s="23"/>
    </row>
    <row r="893" spans="1:36" ht="11.25" customHeight="1" x14ac:dyDescent="0.25">
      <c r="A893" s="23"/>
      <c r="B893" s="44"/>
      <c r="C893" s="45"/>
      <c r="D893" s="23"/>
      <c r="E893" s="23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5"/>
      <c r="T893" s="23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23"/>
      <c r="AJ893" s="23"/>
    </row>
    <row r="894" spans="1:36" ht="11.25" customHeight="1" x14ac:dyDescent="0.25">
      <c r="A894" s="23"/>
      <c r="B894" s="44"/>
      <c r="C894" s="45"/>
      <c r="D894" s="23"/>
      <c r="E894" s="23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5"/>
      <c r="T894" s="23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23"/>
      <c r="AJ894" s="23"/>
    </row>
    <row r="895" spans="1:36" ht="11.25" customHeight="1" x14ac:dyDescent="0.25">
      <c r="A895" s="23"/>
      <c r="B895" s="44"/>
      <c r="C895" s="45"/>
      <c r="D895" s="23"/>
      <c r="E895" s="23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5"/>
      <c r="T895" s="23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23"/>
      <c r="AJ895" s="23"/>
    </row>
    <row r="896" spans="1:36" ht="11.25" customHeight="1" x14ac:dyDescent="0.25">
      <c r="A896" s="23"/>
      <c r="B896" s="44"/>
      <c r="C896" s="45"/>
      <c r="D896" s="23"/>
      <c r="E896" s="23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5"/>
      <c r="T896" s="23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23"/>
      <c r="AJ896" s="23"/>
    </row>
    <row r="897" spans="1:36" ht="11.25" customHeight="1" x14ac:dyDescent="0.25">
      <c r="A897" s="23"/>
      <c r="B897" s="44"/>
      <c r="C897" s="45"/>
      <c r="D897" s="23"/>
      <c r="E897" s="23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5"/>
      <c r="T897" s="23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23"/>
      <c r="AJ897" s="23"/>
    </row>
    <row r="898" spans="1:36" ht="11.25" customHeight="1" x14ac:dyDescent="0.25">
      <c r="A898" s="23"/>
      <c r="B898" s="44"/>
      <c r="C898" s="45"/>
      <c r="D898" s="23"/>
      <c r="E898" s="23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5"/>
      <c r="T898" s="23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23"/>
      <c r="AJ898" s="23"/>
    </row>
    <row r="899" spans="1:36" ht="11.25" customHeight="1" x14ac:dyDescent="0.25">
      <c r="A899" s="23"/>
      <c r="B899" s="44"/>
      <c r="C899" s="45"/>
      <c r="D899" s="23"/>
      <c r="E899" s="23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5"/>
      <c r="T899" s="23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23"/>
      <c r="AJ899" s="23"/>
    </row>
    <row r="900" spans="1:36" ht="11.25" customHeight="1" x14ac:dyDescent="0.25">
      <c r="A900" s="23"/>
      <c r="B900" s="44"/>
      <c r="C900" s="45"/>
      <c r="D900" s="23"/>
      <c r="E900" s="23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5"/>
      <c r="T900" s="23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23"/>
      <c r="AJ900" s="23"/>
    </row>
    <row r="901" spans="1:36" ht="11.25" customHeight="1" x14ac:dyDescent="0.25">
      <c r="A901" s="23"/>
      <c r="B901" s="44"/>
      <c r="C901" s="45"/>
      <c r="D901" s="23"/>
      <c r="E901" s="23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5"/>
      <c r="T901" s="23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23"/>
      <c r="AJ901" s="23"/>
    </row>
    <row r="902" spans="1:36" ht="11.25" customHeight="1" x14ac:dyDescent="0.25">
      <c r="A902" s="23"/>
      <c r="B902" s="44"/>
      <c r="C902" s="45"/>
      <c r="D902" s="23"/>
      <c r="E902" s="23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5"/>
      <c r="T902" s="23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23"/>
      <c r="AJ902" s="23"/>
    </row>
    <row r="903" spans="1:36" ht="11.25" customHeight="1" x14ac:dyDescent="0.25">
      <c r="A903" s="23"/>
      <c r="B903" s="44"/>
      <c r="C903" s="45"/>
      <c r="D903" s="23"/>
      <c r="E903" s="23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5"/>
      <c r="T903" s="23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23"/>
      <c r="AJ903" s="23"/>
    </row>
    <row r="904" spans="1:36" ht="11.25" customHeight="1" x14ac:dyDescent="0.25">
      <c r="A904" s="23"/>
      <c r="B904" s="44"/>
      <c r="C904" s="45"/>
      <c r="D904" s="23"/>
      <c r="E904" s="23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5"/>
      <c r="T904" s="23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23"/>
      <c r="AJ904" s="23"/>
    </row>
    <row r="905" spans="1:36" ht="11.25" customHeight="1" x14ac:dyDescent="0.25">
      <c r="A905" s="23"/>
      <c r="B905" s="44"/>
      <c r="C905" s="45"/>
      <c r="D905" s="23"/>
      <c r="E905" s="23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5"/>
      <c r="T905" s="23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23"/>
      <c r="AJ905" s="23"/>
    </row>
    <row r="906" spans="1:36" ht="11.25" customHeight="1" x14ac:dyDescent="0.25">
      <c r="A906" s="23"/>
      <c r="B906" s="44"/>
      <c r="C906" s="45"/>
      <c r="D906" s="23"/>
      <c r="E906" s="23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5"/>
      <c r="T906" s="23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23"/>
      <c r="AJ906" s="23"/>
    </row>
    <row r="907" spans="1:36" ht="11.25" customHeight="1" x14ac:dyDescent="0.25">
      <c r="A907" s="23"/>
      <c r="B907" s="44"/>
      <c r="C907" s="45"/>
      <c r="D907" s="23"/>
      <c r="E907" s="23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5"/>
      <c r="T907" s="23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23"/>
      <c r="AJ907" s="23"/>
    </row>
    <row r="908" spans="1:36" ht="11.25" customHeight="1" x14ac:dyDescent="0.25">
      <c r="A908" s="23"/>
      <c r="B908" s="44"/>
      <c r="C908" s="45"/>
      <c r="D908" s="23"/>
      <c r="E908" s="23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5"/>
      <c r="T908" s="23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23"/>
      <c r="AJ908" s="23"/>
    </row>
    <row r="909" spans="1:36" ht="11.25" customHeight="1" x14ac:dyDescent="0.25">
      <c r="A909" s="23"/>
      <c r="B909" s="44"/>
      <c r="C909" s="45"/>
      <c r="D909" s="23"/>
      <c r="E909" s="23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5"/>
      <c r="T909" s="23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23"/>
      <c r="AJ909" s="23"/>
    </row>
    <row r="910" spans="1:36" ht="11.25" customHeight="1" x14ac:dyDescent="0.25">
      <c r="A910" s="23"/>
      <c r="B910" s="44"/>
      <c r="C910" s="45"/>
      <c r="D910" s="23"/>
      <c r="E910" s="23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5"/>
      <c r="T910" s="23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23"/>
      <c r="AJ910" s="23"/>
    </row>
    <row r="911" spans="1:36" ht="11.25" customHeight="1" x14ac:dyDescent="0.25">
      <c r="A911" s="23"/>
      <c r="B911" s="44"/>
      <c r="C911" s="45"/>
      <c r="D911" s="23"/>
      <c r="E911" s="23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5"/>
      <c r="T911" s="23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23"/>
      <c r="AJ911" s="23"/>
    </row>
    <row r="912" spans="1:36" ht="11.25" customHeight="1" x14ac:dyDescent="0.25">
      <c r="A912" s="23"/>
      <c r="B912" s="44"/>
      <c r="C912" s="45"/>
      <c r="D912" s="23"/>
      <c r="E912" s="23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5"/>
      <c r="T912" s="23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23"/>
      <c r="AJ912" s="23"/>
    </row>
    <row r="913" spans="1:36" ht="11.25" customHeight="1" x14ac:dyDescent="0.25">
      <c r="A913" s="23"/>
      <c r="B913" s="44"/>
      <c r="C913" s="45"/>
      <c r="D913" s="23"/>
      <c r="E913" s="23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5"/>
      <c r="T913" s="23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23"/>
      <c r="AJ913" s="23"/>
    </row>
    <row r="914" spans="1:36" ht="11.25" customHeight="1" x14ac:dyDescent="0.25">
      <c r="A914" s="23"/>
      <c r="B914" s="44"/>
      <c r="C914" s="45"/>
      <c r="D914" s="23"/>
      <c r="E914" s="23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5"/>
      <c r="T914" s="23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23"/>
      <c r="AJ914" s="23"/>
    </row>
    <row r="915" spans="1:36" ht="11.25" customHeight="1" x14ac:dyDescent="0.25">
      <c r="A915" s="23"/>
      <c r="B915" s="44"/>
      <c r="C915" s="45"/>
      <c r="D915" s="23"/>
      <c r="E915" s="23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5"/>
      <c r="T915" s="23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23"/>
      <c r="AJ915" s="23"/>
    </row>
    <row r="916" spans="1:36" ht="11.25" customHeight="1" x14ac:dyDescent="0.25">
      <c r="A916" s="23"/>
      <c r="B916" s="44"/>
      <c r="C916" s="45"/>
      <c r="D916" s="23"/>
      <c r="E916" s="23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5"/>
      <c r="T916" s="23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23"/>
      <c r="AJ916" s="23"/>
    </row>
    <row r="917" spans="1:36" ht="11.25" customHeight="1" x14ac:dyDescent="0.25">
      <c r="A917" s="23"/>
      <c r="B917" s="44"/>
      <c r="C917" s="45"/>
      <c r="D917" s="23"/>
      <c r="E917" s="23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5"/>
      <c r="T917" s="23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23"/>
      <c r="AJ917" s="23"/>
    </row>
    <row r="918" spans="1:36" ht="11.25" customHeight="1" x14ac:dyDescent="0.25">
      <c r="A918" s="23"/>
      <c r="B918" s="44"/>
      <c r="C918" s="45"/>
      <c r="D918" s="23"/>
      <c r="E918" s="23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5"/>
      <c r="T918" s="23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23"/>
      <c r="AJ918" s="23"/>
    </row>
    <row r="919" spans="1:36" ht="11.25" customHeight="1" x14ac:dyDescent="0.25">
      <c r="A919" s="23"/>
      <c r="B919" s="44"/>
      <c r="C919" s="45"/>
      <c r="D919" s="23"/>
      <c r="E919" s="23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5"/>
      <c r="T919" s="23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23"/>
      <c r="AJ919" s="23"/>
    </row>
    <row r="920" spans="1:36" ht="11.25" customHeight="1" x14ac:dyDescent="0.25">
      <c r="A920" s="23"/>
      <c r="B920" s="44"/>
      <c r="C920" s="45"/>
      <c r="D920" s="23"/>
      <c r="E920" s="23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5"/>
      <c r="T920" s="23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23"/>
      <c r="AJ920" s="23"/>
    </row>
    <row r="921" spans="1:36" ht="11.25" customHeight="1" x14ac:dyDescent="0.25">
      <c r="A921" s="23"/>
      <c r="B921" s="44"/>
      <c r="C921" s="45"/>
      <c r="D921" s="23"/>
      <c r="E921" s="23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5"/>
      <c r="T921" s="23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23"/>
      <c r="AJ921" s="23"/>
    </row>
    <row r="922" spans="1:36" ht="11.25" customHeight="1" x14ac:dyDescent="0.25">
      <c r="A922" s="23"/>
      <c r="B922" s="44"/>
      <c r="C922" s="45"/>
      <c r="D922" s="23"/>
      <c r="E922" s="23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5"/>
      <c r="T922" s="23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23"/>
      <c r="AJ922" s="23"/>
    </row>
    <row r="923" spans="1:36" ht="11.25" customHeight="1" x14ac:dyDescent="0.25">
      <c r="A923" s="23"/>
      <c r="B923" s="44"/>
      <c r="C923" s="45"/>
      <c r="D923" s="23"/>
      <c r="E923" s="23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5"/>
      <c r="T923" s="23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23"/>
      <c r="AJ923" s="23"/>
    </row>
    <row r="924" spans="1:36" ht="11.25" customHeight="1" x14ac:dyDescent="0.25">
      <c r="A924" s="23"/>
      <c r="B924" s="44"/>
      <c r="C924" s="45"/>
      <c r="D924" s="23"/>
      <c r="E924" s="23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5"/>
      <c r="T924" s="23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23"/>
      <c r="AJ924" s="23"/>
    </row>
    <row r="925" spans="1:36" ht="11.25" customHeight="1" x14ac:dyDescent="0.25">
      <c r="A925" s="23"/>
      <c r="B925" s="44"/>
      <c r="C925" s="45"/>
      <c r="D925" s="23"/>
      <c r="E925" s="23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5"/>
      <c r="T925" s="23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23"/>
      <c r="AJ925" s="23"/>
    </row>
    <row r="926" spans="1:36" ht="11.25" customHeight="1" x14ac:dyDescent="0.25">
      <c r="A926" s="23"/>
      <c r="B926" s="44"/>
      <c r="C926" s="45"/>
      <c r="D926" s="23"/>
      <c r="E926" s="23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5"/>
      <c r="T926" s="23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23"/>
      <c r="AJ926" s="23"/>
    </row>
    <row r="927" spans="1:36" ht="11.25" customHeight="1" x14ac:dyDescent="0.25">
      <c r="A927" s="23"/>
      <c r="B927" s="44"/>
      <c r="C927" s="45"/>
      <c r="D927" s="23"/>
      <c r="E927" s="23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5"/>
      <c r="T927" s="23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23"/>
      <c r="AJ927" s="23"/>
    </row>
    <row r="928" spans="1:36" ht="11.25" customHeight="1" x14ac:dyDescent="0.25">
      <c r="A928" s="23"/>
      <c r="B928" s="44"/>
      <c r="C928" s="45"/>
      <c r="D928" s="23"/>
      <c r="E928" s="23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5"/>
      <c r="T928" s="23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23"/>
      <c r="AJ928" s="23"/>
    </row>
    <row r="929" spans="1:36" ht="11.25" customHeight="1" x14ac:dyDescent="0.25">
      <c r="A929" s="23"/>
      <c r="B929" s="44"/>
      <c r="C929" s="45"/>
      <c r="D929" s="23"/>
      <c r="E929" s="23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5"/>
      <c r="T929" s="23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23"/>
      <c r="AJ929" s="23"/>
    </row>
    <row r="930" spans="1:36" ht="11.25" customHeight="1" x14ac:dyDescent="0.25">
      <c r="A930" s="23"/>
      <c r="B930" s="44"/>
      <c r="C930" s="45"/>
      <c r="D930" s="23"/>
      <c r="E930" s="23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5"/>
      <c r="T930" s="23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23"/>
      <c r="AJ930" s="23"/>
    </row>
    <row r="931" spans="1:36" ht="11.25" customHeight="1" x14ac:dyDescent="0.25">
      <c r="A931" s="23"/>
      <c r="B931" s="44"/>
      <c r="C931" s="45"/>
      <c r="D931" s="23"/>
      <c r="E931" s="23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5"/>
      <c r="T931" s="23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23"/>
      <c r="AJ931" s="23"/>
    </row>
    <row r="932" spans="1:36" ht="11.25" customHeight="1" x14ac:dyDescent="0.25">
      <c r="A932" s="23"/>
      <c r="B932" s="44"/>
      <c r="C932" s="45"/>
      <c r="D932" s="23"/>
      <c r="E932" s="23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5"/>
      <c r="T932" s="23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23"/>
      <c r="AJ932" s="23"/>
    </row>
    <row r="933" spans="1:36" ht="11.25" customHeight="1" x14ac:dyDescent="0.25">
      <c r="A933" s="23"/>
      <c r="B933" s="44"/>
      <c r="C933" s="45"/>
      <c r="D933" s="23"/>
      <c r="E933" s="23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5"/>
      <c r="T933" s="23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23"/>
      <c r="AJ933" s="23"/>
    </row>
    <row r="934" spans="1:36" ht="11.25" customHeight="1" x14ac:dyDescent="0.25">
      <c r="A934" s="23"/>
      <c r="B934" s="44"/>
      <c r="C934" s="45"/>
      <c r="D934" s="23"/>
      <c r="E934" s="23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5"/>
      <c r="T934" s="23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23"/>
      <c r="AJ934" s="23"/>
    </row>
    <row r="935" spans="1:36" ht="11.25" customHeight="1" x14ac:dyDescent="0.25">
      <c r="A935" s="23"/>
      <c r="B935" s="44"/>
      <c r="C935" s="45"/>
      <c r="D935" s="23"/>
      <c r="E935" s="23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5"/>
      <c r="T935" s="23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23"/>
      <c r="AJ935" s="23"/>
    </row>
    <row r="936" spans="1:36" ht="11.25" customHeight="1" x14ac:dyDescent="0.25">
      <c r="A936" s="23"/>
      <c r="B936" s="44"/>
      <c r="C936" s="45"/>
      <c r="D936" s="23"/>
      <c r="E936" s="23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5"/>
      <c r="T936" s="23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23"/>
      <c r="AJ936" s="23"/>
    </row>
    <row r="937" spans="1:36" ht="11.25" customHeight="1" x14ac:dyDescent="0.25">
      <c r="A937" s="23"/>
      <c r="B937" s="44"/>
      <c r="C937" s="45"/>
      <c r="D937" s="23"/>
      <c r="E937" s="23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5"/>
      <c r="T937" s="23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23"/>
      <c r="AJ937" s="23"/>
    </row>
    <row r="938" spans="1:36" ht="11.25" customHeight="1" x14ac:dyDescent="0.25">
      <c r="A938" s="23"/>
      <c r="B938" s="44"/>
      <c r="C938" s="45"/>
      <c r="D938" s="23"/>
      <c r="E938" s="23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5"/>
      <c r="T938" s="23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23"/>
      <c r="AJ938" s="23"/>
    </row>
    <row r="939" spans="1:36" ht="11.25" customHeight="1" x14ac:dyDescent="0.25">
      <c r="A939" s="23"/>
      <c r="B939" s="44"/>
      <c r="C939" s="45"/>
      <c r="D939" s="23"/>
      <c r="E939" s="23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5"/>
      <c r="T939" s="23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23"/>
      <c r="AJ939" s="23"/>
    </row>
    <row r="940" spans="1:36" ht="11.25" customHeight="1" x14ac:dyDescent="0.25">
      <c r="A940" s="23"/>
      <c r="B940" s="44"/>
      <c r="C940" s="45"/>
      <c r="D940" s="23"/>
      <c r="E940" s="23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5"/>
      <c r="T940" s="23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23"/>
      <c r="AJ940" s="23"/>
    </row>
    <row r="941" spans="1:36" ht="11.25" customHeight="1" x14ac:dyDescent="0.25">
      <c r="A941" s="23"/>
      <c r="B941" s="44"/>
      <c r="C941" s="45"/>
      <c r="D941" s="23"/>
      <c r="E941" s="23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5"/>
      <c r="T941" s="23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23"/>
      <c r="AJ941" s="23"/>
    </row>
    <row r="942" spans="1:36" ht="11.25" customHeight="1" x14ac:dyDescent="0.25">
      <c r="A942" s="23"/>
      <c r="B942" s="44"/>
      <c r="C942" s="45"/>
      <c r="D942" s="23"/>
      <c r="E942" s="23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5"/>
      <c r="T942" s="23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23"/>
      <c r="AJ942" s="23"/>
    </row>
    <row r="943" spans="1:36" ht="11.25" customHeight="1" x14ac:dyDescent="0.25">
      <c r="A943" s="23"/>
      <c r="B943" s="44"/>
      <c r="C943" s="45"/>
      <c r="D943" s="23"/>
      <c r="E943" s="23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5"/>
      <c r="T943" s="23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23"/>
      <c r="AJ943" s="23"/>
    </row>
    <row r="944" spans="1:36" ht="11.25" customHeight="1" x14ac:dyDescent="0.25">
      <c r="A944" s="23"/>
      <c r="B944" s="44"/>
      <c r="C944" s="45"/>
      <c r="D944" s="23"/>
      <c r="E944" s="23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5"/>
      <c r="T944" s="23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23"/>
      <c r="AJ944" s="23"/>
    </row>
    <row r="945" spans="1:36" ht="11.25" customHeight="1" x14ac:dyDescent="0.25">
      <c r="A945" s="23"/>
      <c r="B945" s="44"/>
      <c r="C945" s="45"/>
      <c r="D945" s="23"/>
      <c r="E945" s="23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5"/>
      <c r="T945" s="23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23"/>
      <c r="AJ945" s="23"/>
    </row>
    <row r="946" spans="1:36" ht="11.25" customHeight="1" x14ac:dyDescent="0.25">
      <c r="A946" s="23"/>
      <c r="B946" s="44"/>
      <c r="C946" s="45"/>
      <c r="D946" s="23"/>
      <c r="E946" s="23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5"/>
      <c r="T946" s="23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23"/>
      <c r="AJ946" s="23"/>
    </row>
    <row r="947" spans="1:36" ht="11.25" customHeight="1" x14ac:dyDescent="0.25">
      <c r="A947" s="23"/>
      <c r="B947" s="44"/>
      <c r="C947" s="45"/>
      <c r="D947" s="23"/>
      <c r="E947" s="23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5"/>
      <c r="T947" s="23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23"/>
      <c r="AJ947" s="23"/>
    </row>
    <row r="948" spans="1:36" ht="11.25" customHeight="1" x14ac:dyDescent="0.25">
      <c r="A948" s="23"/>
      <c r="B948" s="44"/>
      <c r="C948" s="45"/>
      <c r="D948" s="23"/>
      <c r="E948" s="23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5"/>
      <c r="T948" s="23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23"/>
      <c r="AJ948" s="23"/>
    </row>
    <row r="949" spans="1:36" ht="11.25" customHeight="1" x14ac:dyDescent="0.25">
      <c r="A949" s="23"/>
      <c r="B949" s="44"/>
      <c r="C949" s="45"/>
      <c r="D949" s="23"/>
      <c r="E949" s="23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5"/>
      <c r="T949" s="23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23"/>
      <c r="AJ949" s="23"/>
    </row>
    <row r="950" spans="1:36" ht="11.25" customHeight="1" x14ac:dyDescent="0.25">
      <c r="A950" s="23"/>
      <c r="B950" s="44"/>
      <c r="C950" s="45"/>
      <c r="D950" s="23"/>
      <c r="E950" s="23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5"/>
      <c r="T950" s="23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23"/>
      <c r="AJ950" s="23"/>
    </row>
    <row r="951" spans="1:36" ht="11.25" customHeight="1" x14ac:dyDescent="0.25">
      <c r="A951" s="23"/>
      <c r="B951" s="44"/>
      <c r="C951" s="45"/>
      <c r="D951" s="23"/>
      <c r="E951" s="23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5"/>
      <c r="T951" s="23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23"/>
      <c r="AJ951" s="23"/>
    </row>
    <row r="952" spans="1:36" ht="11.25" customHeight="1" x14ac:dyDescent="0.25">
      <c r="A952" s="23"/>
      <c r="B952" s="44"/>
      <c r="C952" s="45"/>
      <c r="D952" s="23"/>
      <c r="E952" s="23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5"/>
      <c r="T952" s="23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23"/>
      <c r="AJ952" s="23"/>
    </row>
    <row r="953" spans="1:36" ht="11.25" customHeight="1" x14ac:dyDescent="0.25">
      <c r="A953" s="23"/>
      <c r="B953" s="44"/>
      <c r="C953" s="45"/>
      <c r="D953" s="23"/>
      <c r="E953" s="23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5"/>
      <c r="T953" s="23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23"/>
      <c r="AJ953" s="23"/>
    </row>
    <row r="954" spans="1:36" ht="11.25" customHeight="1" x14ac:dyDescent="0.25">
      <c r="A954" s="23"/>
      <c r="B954" s="44"/>
      <c r="C954" s="45"/>
      <c r="D954" s="23"/>
      <c r="E954" s="23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5"/>
      <c r="T954" s="23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23"/>
      <c r="AJ954" s="23"/>
    </row>
    <row r="955" spans="1:36" ht="11.25" customHeight="1" x14ac:dyDescent="0.25">
      <c r="A955" s="23"/>
      <c r="B955" s="44"/>
      <c r="C955" s="45"/>
      <c r="D955" s="23"/>
      <c r="E955" s="23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5"/>
      <c r="T955" s="23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23"/>
      <c r="AJ955" s="23"/>
    </row>
    <row r="956" spans="1:36" ht="11.25" customHeight="1" x14ac:dyDescent="0.25">
      <c r="A956" s="23"/>
      <c r="B956" s="44"/>
      <c r="C956" s="45"/>
      <c r="D956" s="23"/>
      <c r="E956" s="23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5"/>
      <c r="T956" s="23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23"/>
      <c r="AJ956" s="23"/>
    </row>
    <row r="957" spans="1:36" ht="11.25" customHeight="1" x14ac:dyDescent="0.25">
      <c r="A957" s="23"/>
      <c r="B957" s="44"/>
      <c r="C957" s="45"/>
      <c r="D957" s="23"/>
      <c r="E957" s="23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5"/>
      <c r="T957" s="23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23"/>
      <c r="AJ957" s="23"/>
    </row>
    <row r="958" spans="1:36" ht="11.25" customHeight="1" x14ac:dyDescent="0.25">
      <c r="A958" s="23"/>
      <c r="B958" s="44"/>
      <c r="C958" s="45"/>
      <c r="D958" s="23"/>
      <c r="E958" s="23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5"/>
      <c r="T958" s="23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23"/>
      <c r="AJ958" s="23"/>
    </row>
    <row r="959" spans="1:36" ht="11.25" customHeight="1" x14ac:dyDescent="0.25">
      <c r="A959" s="23"/>
      <c r="B959" s="44"/>
      <c r="C959" s="45"/>
      <c r="D959" s="23"/>
      <c r="E959" s="23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5"/>
      <c r="T959" s="23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23"/>
      <c r="AJ959" s="23"/>
    </row>
    <row r="960" spans="1:36" ht="11.25" customHeight="1" x14ac:dyDescent="0.25">
      <c r="A960" s="23"/>
      <c r="B960" s="44"/>
      <c r="C960" s="45"/>
      <c r="D960" s="23"/>
      <c r="E960" s="23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5"/>
      <c r="T960" s="23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23"/>
      <c r="AJ960" s="23"/>
    </row>
    <row r="961" spans="1:36" ht="11.25" customHeight="1" x14ac:dyDescent="0.25">
      <c r="A961" s="23"/>
      <c r="B961" s="44"/>
      <c r="C961" s="45"/>
      <c r="D961" s="23"/>
      <c r="E961" s="23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5"/>
      <c r="T961" s="23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23"/>
      <c r="AJ961" s="23"/>
    </row>
    <row r="962" spans="1:36" ht="11.25" customHeight="1" x14ac:dyDescent="0.25">
      <c r="A962" s="23"/>
      <c r="B962" s="44"/>
      <c r="C962" s="45"/>
      <c r="D962" s="23"/>
      <c r="E962" s="23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5"/>
      <c r="T962" s="23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23"/>
      <c r="AJ962" s="23"/>
    </row>
    <row r="963" spans="1:36" ht="11.25" customHeight="1" x14ac:dyDescent="0.25">
      <c r="A963" s="23"/>
      <c r="B963" s="44"/>
      <c r="C963" s="45"/>
      <c r="D963" s="23"/>
      <c r="E963" s="23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5"/>
      <c r="T963" s="23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23"/>
      <c r="AJ963" s="23"/>
    </row>
    <row r="964" spans="1:36" ht="11.25" customHeight="1" x14ac:dyDescent="0.25">
      <c r="A964" s="23"/>
      <c r="B964" s="44"/>
      <c r="C964" s="45"/>
      <c r="D964" s="23"/>
      <c r="E964" s="23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5"/>
      <c r="T964" s="23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23"/>
      <c r="AJ964" s="23"/>
    </row>
    <row r="965" spans="1:36" ht="11.25" customHeight="1" x14ac:dyDescent="0.25">
      <c r="A965" s="23"/>
      <c r="B965" s="44"/>
      <c r="C965" s="45"/>
      <c r="D965" s="23"/>
      <c r="E965" s="23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5"/>
      <c r="T965" s="23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23"/>
      <c r="AJ965" s="23"/>
    </row>
    <row r="966" spans="1:36" ht="11.25" customHeight="1" x14ac:dyDescent="0.25">
      <c r="A966" s="23"/>
      <c r="B966" s="44"/>
      <c r="C966" s="45"/>
      <c r="D966" s="23"/>
      <c r="E966" s="23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5"/>
      <c r="T966" s="23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23"/>
      <c r="AJ966" s="23"/>
    </row>
    <row r="967" spans="1:36" ht="11.25" customHeight="1" x14ac:dyDescent="0.25">
      <c r="A967" s="23"/>
      <c r="B967" s="44"/>
      <c r="C967" s="45"/>
      <c r="D967" s="23"/>
      <c r="E967" s="23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5"/>
      <c r="T967" s="23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23"/>
      <c r="AJ967" s="23"/>
    </row>
    <row r="968" spans="1:36" ht="11.25" customHeight="1" x14ac:dyDescent="0.25">
      <c r="A968" s="23"/>
      <c r="B968" s="44"/>
      <c r="C968" s="45"/>
      <c r="D968" s="23"/>
      <c r="E968" s="23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5"/>
      <c r="T968" s="23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23"/>
      <c r="AJ968" s="23"/>
    </row>
    <row r="969" spans="1:36" ht="11.25" customHeight="1" x14ac:dyDescent="0.25">
      <c r="A969" s="23"/>
      <c r="B969" s="44"/>
      <c r="C969" s="45"/>
      <c r="D969" s="23"/>
      <c r="E969" s="23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5"/>
      <c r="T969" s="23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23"/>
      <c r="AJ969" s="23"/>
    </row>
    <row r="970" spans="1:36" ht="11.25" customHeight="1" x14ac:dyDescent="0.25">
      <c r="A970" s="23"/>
      <c r="B970" s="44"/>
      <c r="C970" s="45"/>
      <c r="D970" s="23"/>
      <c r="E970" s="23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5"/>
      <c r="T970" s="23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23"/>
      <c r="AJ970" s="23"/>
    </row>
    <row r="971" spans="1:36" ht="11.25" customHeight="1" x14ac:dyDescent="0.25">
      <c r="A971" s="23"/>
      <c r="B971" s="44"/>
      <c r="C971" s="45"/>
      <c r="D971" s="23"/>
      <c r="E971" s="23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5"/>
      <c r="T971" s="23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23"/>
      <c r="AJ971" s="23"/>
    </row>
    <row r="972" spans="1:36" ht="11.25" customHeight="1" x14ac:dyDescent="0.25">
      <c r="A972" s="23"/>
      <c r="B972" s="44"/>
      <c r="C972" s="45"/>
      <c r="D972" s="23"/>
      <c r="E972" s="23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5"/>
      <c r="T972" s="23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23"/>
      <c r="AJ972" s="23"/>
    </row>
    <row r="973" spans="1:36" ht="11.25" customHeight="1" x14ac:dyDescent="0.25">
      <c r="A973" s="23"/>
      <c r="B973" s="44"/>
      <c r="C973" s="45"/>
      <c r="D973" s="23"/>
      <c r="E973" s="23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5"/>
      <c r="T973" s="23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23"/>
      <c r="AJ973" s="23"/>
    </row>
    <row r="974" spans="1:36" ht="11.25" customHeight="1" x14ac:dyDescent="0.25">
      <c r="A974" s="23"/>
      <c r="B974" s="44"/>
      <c r="C974" s="45"/>
      <c r="D974" s="23"/>
      <c r="E974" s="23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5"/>
      <c r="T974" s="23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23"/>
      <c r="AJ974" s="23"/>
    </row>
    <row r="975" spans="1:36" ht="11.25" customHeight="1" x14ac:dyDescent="0.25">
      <c r="A975" s="23"/>
      <c r="B975" s="44"/>
      <c r="C975" s="45"/>
      <c r="D975" s="23"/>
      <c r="E975" s="23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5"/>
      <c r="T975" s="23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23"/>
      <c r="AJ975" s="23"/>
    </row>
    <row r="976" spans="1:36" ht="11.25" customHeight="1" x14ac:dyDescent="0.25">
      <c r="A976" s="23"/>
      <c r="B976" s="44"/>
      <c r="C976" s="45"/>
      <c r="D976" s="23"/>
      <c r="E976" s="23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5"/>
      <c r="T976" s="23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23"/>
      <c r="AJ976" s="23"/>
    </row>
    <row r="977" spans="1:36" ht="11.25" customHeight="1" x14ac:dyDescent="0.25">
      <c r="A977" s="23"/>
      <c r="B977" s="44"/>
      <c r="C977" s="45"/>
      <c r="D977" s="23"/>
      <c r="E977" s="23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5"/>
      <c r="T977" s="23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23"/>
      <c r="AJ977" s="23"/>
    </row>
    <row r="978" spans="1:36" ht="11.25" customHeight="1" x14ac:dyDescent="0.25">
      <c r="A978" s="23"/>
      <c r="B978" s="44"/>
      <c r="C978" s="45"/>
      <c r="D978" s="23"/>
      <c r="E978" s="23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5"/>
      <c r="T978" s="23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23"/>
      <c r="AJ978" s="23"/>
    </row>
    <row r="979" spans="1:36" ht="11.25" customHeight="1" x14ac:dyDescent="0.25">
      <c r="A979" s="23"/>
      <c r="B979" s="44"/>
      <c r="C979" s="45"/>
      <c r="D979" s="23"/>
      <c r="E979" s="23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5"/>
      <c r="T979" s="23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23"/>
      <c r="AJ979" s="23"/>
    </row>
    <row r="980" spans="1:36" ht="11.25" customHeight="1" x14ac:dyDescent="0.25">
      <c r="A980" s="23"/>
      <c r="B980" s="44"/>
      <c r="C980" s="45"/>
      <c r="D980" s="23"/>
      <c r="E980" s="23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5"/>
      <c r="T980" s="23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23"/>
      <c r="AJ980" s="23"/>
    </row>
    <row r="981" spans="1:36" ht="11.25" customHeight="1" x14ac:dyDescent="0.25">
      <c r="A981" s="23"/>
      <c r="B981" s="44"/>
      <c r="C981" s="45"/>
      <c r="D981" s="23"/>
      <c r="E981" s="23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5"/>
      <c r="T981" s="23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23"/>
      <c r="AJ981" s="23"/>
    </row>
    <row r="982" spans="1:36" ht="11.25" customHeight="1" x14ac:dyDescent="0.25">
      <c r="A982" s="23"/>
      <c r="B982" s="44"/>
      <c r="C982" s="45"/>
      <c r="D982" s="23"/>
      <c r="E982" s="23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5"/>
      <c r="T982" s="23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23"/>
      <c r="AJ982" s="23"/>
    </row>
    <row r="983" spans="1:36" ht="11.25" customHeight="1" x14ac:dyDescent="0.25">
      <c r="A983" s="23"/>
      <c r="B983" s="44"/>
      <c r="C983" s="45"/>
      <c r="D983" s="23"/>
      <c r="E983" s="23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5"/>
      <c r="T983" s="23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23"/>
      <c r="AJ983" s="23"/>
    </row>
    <row r="984" spans="1:36" ht="11.25" customHeight="1" x14ac:dyDescent="0.25">
      <c r="A984" s="23"/>
      <c r="B984" s="44"/>
      <c r="C984" s="45"/>
      <c r="D984" s="23"/>
      <c r="E984" s="23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5"/>
      <c r="T984" s="23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23"/>
      <c r="AJ984" s="23"/>
    </row>
    <row r="985" spans="1:36" ht="11.25" customHeight="1" x14ac:dyDescent="0.25">
      <c r="A985" s="23"/>
      <c r="B985" s="44"/>
      <c r="C985" s="45"/>
      <c r="D985" s="23"/>
      <c r="E985" s="23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5"/>
      <c r="T985" s="23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23"/>
      <c r="AJ985" s="23"/>
    </row>
    <row r="986" spans="1:36" ht="11.25" customHeight="1" x14ac:dyDescent="0.25">
      <c r="A986" s="23"/>
      <c r="B986" s="44"/>
      <c r="C986" s="45"/>
      <c r="D986" s="23"/>
      <c r="E986" s="23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5"/>
      <c r="T986" s="23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23"/>
      <c r="AJ986" s="23"/>
    </row>
    <row r="987" spans="1:36" ht="11.25" customHeight="1" x14ac:dyDescent="0.25">
      <c r="A987" s="23"/>
      <c r="B987" s="44"/>
      <c r="C987" s="45"/>
      <c r="D987" s="23"/>
      <c r="E987" s="23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5"/>
      <c r="T987" s="23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23"/>
      <c r="AJ987" s="23"/>
    </row>
    <row r="988" spans="1:36" ht="11.25" customHeight="1" x14ac:dyDescent="0.25">
      <c r="A988" s="23"/>
      <c r="B988" s="44"/>
      <c r="C988" s="45"/>
      <c r="D988" s="23"/>
      <c r="E988" s="23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5"/>
      <c r="T988" s="23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23"/>
      <c r="AJ988" s="23"/>
    </row>
    <row r="989" spans="1:36" ht="11.25" customHeight="1" x14ac:dyDescent="0.25">
      <c r="A989" s="23"/>
      <c r="B989" s="44"/>
      <c r="C989" s="45"/>
      <c r="D989" s="23"/>
      <c r="E989" s="23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5"/>
      <c r="T989" s="23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23"/>
      <c r="AJ989" s="23"/>
    </row>
    <row r="990" spans="1:36" ht="11.25" customHeight="1" x14ac:dyDescent="0.25">
      <c r="A990" s="23"/>
      <c r="B990" s="44"/>
      <c r="C990" s="45"/>
      <c r="D990" s="23"/>
      <c r="E990" s="23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5"/>
      <c r="T990" s="23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23"/>
      <c r="AJ990" s="23"/>
    </row>
    <row r="991" spans="1:36" ht="11.25" customHeight="1" x14ac:dyDescent="0.25">
      <c r="A991" s="23"/>
      <c r="B991" s="44"/>
      <c r="C991" s="45"/>
      <c r="D991" s="23"/>
      <c r="E991" s="23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5"/>
      <c r="T991" s="23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23"/>
      <c r="AJ991" s="23"/>
    </row>
    <row r="992" spans="1:36" ht="11.25" customHeight="1" x14ac:dyDescent="0.25">
      <c r="A992" s="23"/>
      <c r="B992" s="44"/>
      <c r="C992" s="45"/>
      <c r="D992" s="23"/>
      <c r="E992" s="23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5"/>
      <c r="T992" s="23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23"/>
      <c r="AJ992" s="23"/>
    </row>
    <row r="993" spans="1:36" ht="11.25" customHeight="1" x14ac:dyDescent="0.25">
      <c r="A993" s="23"/>
      <c r="B993" s="44"/>
      <c r="C993" s="45"/>
      <c r="D993" s="23"/>
      <c r="E993" s="23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5"/>
      <c r="T993" s="23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23"/>
      <c r="AJ993" s="23"/>
    </row>
    <row r="994" spans="1:36" ht="11.25" customHeight="1" x14ac:dyDescent="0.25">
      <c r="A994" s="23"/>
      <c r="B994" s="44"/>
      <c r="C994" s="45"/>
      <c r="D994" s="23"/>
      <c r="E994" s="23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5"/>
      <c r="T994" s="23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23"/>
      <c r="AJ994" s="23"/>
    </row>
    <row r="995" spans="1:36" ht="11.25" customHeight="1" x14ac:dyDescent="0.25">
      <c r="A995" s="23"/>
      <c r="B995" s="44"/>
      <c r="C995" s="45"/>
      <c r="D995" s="23"/>
      <c r="E995" s="23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5"/>
      <c r="T995" s="23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23"/>
      <c r="AJ995" s="23"/>
    </row>
    <row r="996" spans="1:36" ht="11.25" customHeight="1" x14ac:dyDescent="0.25">
      <c r="A996" s="23"/>
      <c r="B996" s="44"/>
      <c r="C996" s="45"/>
      <c r="D996" s="23"/>
      <c r="E996" s="23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5"/>
      <c r="T996" s="23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23"/>
      <c r="AJ996" s="23"/>
    </row>
    <row r="997" spans="1:36" ht="11.25" customHeight="1" x14ac:dyDescent="0.25">
      <c r="A997" s="23"/>
      <c r="B997" s="44"/>
      <c r="C997" s="45"/>
      <c r="D997" s="23"/>
      <c r="E997" s="23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5"/>
      <c r="T997" s="23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23"/>
      <c r="AJ997" s="23"/>
    </row>
    <row r="998" spans="1:36" ht="11.25" customHeight="1" x14ac:dyDescent="0.25">
      <c r="A998" s="23"/>
      <c r="B998" s="44"/>
      <c r="C998" s="45"/>
      <c r="D998" s="23"/>
      <c r="E998" s="23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5"/>
      <c r="T998" s="23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23"/>
      <c r="AJ998" s="23"/>
    </row>
    <row r="999" spans="1:36" ht="11.25" customHeight="1" x14ac:dyDescent="0.25">
      <c r="A999" s="23"/>
      <c r="B999" s="44"/>
      <c r="C999" s="45"/>
      <c r="D999" s="23"/>
      <c r="E999" s="23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5"/>
      <c r="T999" s="23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23"/>
      <c r="AJ999" s="23"/>
    </row>
    <row r="1000" spans="1:36" ht="11.25" customHeight="1" x14ac:dyDescent="0.25">
      <c r="A1000" s="23"/>
      <c r="B1000" s="44"/>
      <c r="C1000" s="45"/>
      <c r="D1000" s="23"/>
      <c r="E1000" s="23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5"/>
      <c r="T1000" s="23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23"/>
      <c r="AJ1000" s="23"/>
    </row>
  </sheetData>
  <autoFilter ref="B8:AJ8" xr:uid="{00000000-0009-0000-0000-000002000000}"/>
  <conditionalFormatting sqref="B7 B4 B9:B1000">
    <cfRule type="colorScale" priority="3">
      <colorScale>
        <cfvo type="formula" val="1"/>
        <cfvo type="formula" val="5"/>
        <cfvo type="formula" val="8"/>
        <color rgb="FFFFFFCC"/>
        <color theme="9"/>
        <color rgb="FFC00000"/>
      </colorScale>
    </cfRule>
  </conditionalFormatting>
  <conditionalFormatting sqref="D1:D1000">
    <cfRule type="colorScale" priority="1">
      <colorScale>
        <cfvo type="formula" val="18"/>
        <cfvo type="percentile" val="50"/>
        <cfvo type="percent" val="70"/>
        <color rgb="FFFFFFCC"/>
        <color rgb="FFFFEB84"/>
        <color rgb="FF63BE7B"/>
      </colorScale>
    </cfRule>
  </conditionalFormatting>
  <conditionalFormatting sqref="F4:S4">
    <cfRule type="colorScale" priority="2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F9:S1000">
    <cfRule type="colorScale" priority="6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U4:AH4">
    <cfRule type="colorScale" priority="5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U6:AH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:AH1000">
    <cfRule type="colorScale" priority="7">
      <colorScale>
        <cfvo type="min"/>
        <cfvo type="percentile" val="50"/>
        <cfvo type="max"/>
        <color rgb="FFADB9CA"/>
        <color theme="0"/>
        <color rgb="FFEA8684"/>
      </colorScale>
    </cfRule>
  </conditionalFormatting>
  <pageMargins left="0.25" right="0.25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82"/>
  <sheetViews>
    <sheetView workbookViewId="0"/>
  </sheetViews>
  <sheetFormatPr baseColWidth="10" defaultColWidth="14.42578125" defaultRowHeight="15" customHeight="1" x14ac:dyDescent="0.25"/>
  <sheetData>
    <row r="1" spans="1:15" x14ac:dyDescent="0.25">
      <c r="A1" s="30" t="s">
        <v>77</v>
      </c>
      <c r="B1" s="53" t="s">
        <v>68</v>
      </c>
      <c r="C1" s="53" t="s">
        <v>16</v>
      </c>
      <c r="D1" s="53" t="s">
        <v>17</v>
      </c>
      <c r="E1" s="53" t="s">
        <v>69</v>
      </c>
      <c r="F1" s="53" t="s">
        <v>19</v>
      </c>
      <c r="G1" s="53" t="s">
        <v>70</v>
      </c>
      <c r="H1" s="53" t="s">
        <v>71</v>
      </c>
      <c r="I1" s="53" t="s">
        <v>72</v>
      </c>
      <c r="J1" s="53" t="s">
        <v>73</v>
      </c>
      <c r="K1" s="53" t="s">
        <v>74</v>
      </c>
      <c r="L1" s="53" t="s">
        <v>25</v>
      </c>
      <c r="M1" s="54" t="s">
        <v>26</v>
      </c>
      <c r="N1" s="54" t="s">
        <v>75</v>
      </c>
      <c r="O1" s="54" t="s">
        <v>28</v>
      </c>
    </row>
    <row r="2" spans="1:15" x14ac:dyDescent="0.25">
      <c r="A2" s="23">
        <v>1</v>
      </c>
      <c r="B2" s="5"/>
      <c r="C2" s="5">
        <v>3.6700000000000003E-2</v>
      </c>
      <c r="D2" s="5">
        <v>1.56E-4</v>
      </c>
      <c r="E2" s="5">
        <v>0.54710000000000003</v>
      </c>
      <c r="F2" s="5">
        <v>0.48580000000000001</v>
      </c>
      <c r="G2" s="5">
        <v>2.64E-2</v>
      </c>
      <c r="H2" s="5">
        <v>1.77E-2</v>
      </c>
      <c r="I2" s="5">
        <v>1.0399999999999999E-3</v>
      </c>
      <c r="J2" s="5">
        <v>0.1026</v>
      </c>
      <c r="K2" s="5">
        <v>1.8580000000000001</v>
      </c>
      <c r="L2" s="5">
        <v>1.56E-4</v>
      </c>
      <c r="M2" s="5">
        <v>7.5700000000000003E-2</v>
      </c>
      <c r="N2" s="5">
        <v>1.9900000000000001E-2</v>
      </c>
      <c r="O2" s="5">
        <v>0.34300000000000003</v>
      </c>
    </row>
    <row r="3" spans="1:15" x14ac:dyDescent="0.25">
      <c r="A3" s="23">
        <v>1</v>
      </c>
      <c r="B3" s="5"/>
      <c r="C3" s="5">
        <v>1.9300000000000001E-2</v>
      </c>
      <c r="D3" s="5"/>
      <c r="E3" s="5"/>
      <c r="F3" s="5">
        <v>7.2300000000000003E-3</v>
      </c>
      <c r="G3" s="5">
        <v>3.0599999999999999E-2</v>
      </c>
      <c r="H3" s="5"/>
      <c r="I3" s="5"/>
      <c r="J3" s="5"/>
      <c r="K3" s="5">
        <v>0.17169999999999999</v>
      </c>
      <c r="L3" s="5">
        <v>2.0100000000000001E-5</v>
      </c>
      <c r="M3" s="5">
        <v>0.68779999999999997</v>
      </c>
      <c r="N3" s="5">
        <v>5.8199999999999998E-5</v>
      </c>
      <c r="O3" s="5">
        <v>0.21149999999999999</v>
      </c>
    </row>
    <row r="4" spans="1:15" x14ac:dyDescent="0.25">
      <c r="A4" s="23">
        <v>1</v>
      </c>
      <c r="B4" s="5"/>
      <c r="C4" s="5">
        <v>0.27860000000000001</v>
      </c>
      <c r="D4" s="5"/>
      <c r="E4" s="5">
        <v>0.61350000000000005</v>
      </c>
      <c r="F4" s="5">
        <v>0.33950000000000002</v>
      </c>
      <c r="G4" s="5">
        <v>0.14099999999999999</v>
      </c>
      <c r="H4" s="5">
        <v>1.09E-2</v>
      </c>
      <c r="I4" s="5"/>
      <c r="J4" s="5">
        <v>6.2200000000000004E-7</v>
      </c>
      <c r="K4" s="5">
        <v>0.7097</v>
      </c>
      <c r="L4" s="5">
        <v>2.3900000000000001E-4</v>
      </c>
      <c r="M4" s="5">
        <v>0.16189999999999999</v>
      </c>
      <c r="N4" s="5">
        <v>6.9899999999999997E-3</v>
      </c>
      <c r="O4" s="5">
        <v>0.2276</v>
      </c>
    </row>
    <row r="5" spans="1:15" x14ac:dyDescent="0.25">
      <c r="A5" s="23">
        <v>1</v>
      </c>
      <c r="B5" s="5">
        <v>1.15E-2</v>
      </c>
      <c r="C5" s="5">
        <v>4.3799999999999999E-2</v>
      </c>
      <c r="D5" s="5">
        <v>1.67E-2</v>
      </c>
      <c r="E5" s="5">
        <v>1.2549999999999999</v>
      </c>
      <c r="F5" s="5">
        <v>2.9159999999999999</v>
      </c>
      <c r="G5" s="5">
        <v>9.6100000000000005E-2</v>
      </c>
      <c r="H5" s="5">
        <v>4.7699999999999999E-2</v>
      </c>
      <c r="I5" s="5">
        <v>2.22E-7</v>
      </c>
      <c r="J5" s="5">
        <v>0.6421</v>
      </c>
      <c r="K5" s="5">
        <v>4.726</v>
      </c>
      <c r="L5" s="5">
        <v>1.9599999999999999E-3</v>
      </c>
      <c r="M5" s="5">
        <v>1.907</v>
      </c>
      <c r="N5" s="5">
        <v>2.8899999999999999E-2</v>
      </c>
      <c r="O5" s="5">
        <v>8.5699999999999998E-2</v>
      </c>
    </row>
    <row r="6" spans="1:15" x14ac:dyDescent="0.25">
      <c r="A6" s="23">
        <v>1</v>
      </c>
      <c r="B6" s="5"/>
      <c r="C6" s="5"/>
      <c r="D6" s="5">
        <v>0.13239999999999999</v>
      </c>
      <c r="E6" s="5">
        <v>1.37</v>
      </c>
      <c r="F6" s="5">
        <v>49.68</v>
      </c>
      <c r="G6" s="5">
        <v>0.14710000000000001</v>
      </c>
      <c r="H6" s="5">
        <v>1.6</v>
      </c>
      <c r="I6" s="5"/>
      <c r="J6" s="5">
        <v>0.26640000000000003</v>
      </c>
      <c r="K6" s="5">
        <v>3.6509999999999998</v>
      </c>
      <c r="L6" s="5"/>
      <c r="M6" s="5">
        <v>159.30000000000001</v>
      </c>
      <c r="N6" s="5">
        <v>1.917</v>
      </c>
      <c r="O6" s="5"/>
    </row>
    <row r="7" spans="1:15" x14ac:dyDescent="0.25">
      <c r="A7" s="23">
        <v>1</v>
      </c>
      <c r="B7" s="5">
        <v>3.6600000000000001E-4</v>
      </c>
      <c r="C7" s="5"/>
      <c r="D7" s="5">
        <v>1.1399999999999999E-5</v>
      </c>
      <c r="E7" s="5">
        <v>0.96740000000000004</v>
      </c>
      <c r="F7" s="5">
        <v>0.69340000000000002</v>
      </c>
      <c r="G7" s="5">
        <v>0.6361</v>
      </c>
      <c r="H7" s="5"/>
      <c r="I7" s="5">
        <v>9.6600000000000007E-6</v>
      </c>
      <c r="J7" s="5">
        <v>4.6199999999999998E-2</v>
      </c>
      <c r="K7" s="5">
        <v>3.1760000000000002</v>
      </c>
      <c r="L7" s="5">
        <v>2.3E-3</v>
      </c>
      <c r="M7" s="5">
        <v>0.88039999999999996</v>
      </c>
      <c r="N7" s="5">
        <v>2.79E-6</v>
      </c>
      <c r="O7" s="5">
        <v>1.8E-5</v>
      </c>
    </row>
    <row r="8" spans="1:15" x14ac:dyDescent="0.25">
      <c r="A8" s="23">
        <v>1</v>
      </c>
      <c r="B8" s="5">
        <v>1.4570000000000001</v>
      </c>
      <c r="C8" s="5"/>
      <c r="D8" s="5">
        <v>0.12720000000000001</v>
      </c>
      <c r="E8" s="5">
        <v>7.6639999999999997</v>
      </c>
      <c r="F8" s="5">
        <v>19.61</v>
      </c>
      <c r="G8" s="5">
        <v>15.39</v>
      </c>
      <c r="H8" s="5"/>
      <c r="I8" s="5">
        <v>0.02</v>
      </c>
      <c r="J8" s="5">
        <v>0.02</v>
      </c>
      <c r="K8" s="5">
        <v>8.0799999999999997E-2</v>
      </c>
      <c r="L8" s="5">
        <v>2.8000000000000001E-2</v>
      </c>
      <c r="M8" s="5">
        <v>61.53</v>
      </c>
      <c r="N8" s="5">
        <v>23.19</v>
      </c>
      <c r="O8" s="5">
        <v>0.02</v>
      </c>
    </row>
    <row r="9" spans="1:15" x14ac:dyDescent="0.25">
      <c r="A9" s="23">
        <v>1</v>
      </c>
      <c r="B9" s="5"/>
      <c r="C9" s="5"/>
      <c r="D9" s="5">
        <v>8.3100000000000003E-4</v>
      </c>
      <c r="E9" s="5">
        <v>0.47810000000000002</v>
      </c>
      <c r="F9" s="5">
        <v>0.72640000000000005</v>
      </c>
      <c r="G9" s="5">
        <v>0.20860000000000001</v>
      </c>
      <c r="H9" s="5">
        <v>6.7299999999999999E-2</v>
      </c>
      <c r="I9" s="5">
        <v>8.3100000000000003E-4</v>
      </c>
      <c r="J9" s="5">
        <v>8.3100000000000003E-4</v>
      </c>
      <c r="K9" s="5">
        <v>8.3100000000000003E-4</v>
      </c>
      <c r="L9" s="5"/>
      <c r="M9" s="5">
        <v>2.71</v>
      </c>
      <c r="N9" s="5">
        <v>0.49730000000000002</v>
      </c>
      <c r="O9" s="5">
        <v>0.31969999999999998</v>
      </c>
    </row>
    <row r="10" spans="1:15" x14ac:dyDescent="0.25">
      <c r="A10" s="23">
        <v>1</v>
      </c>
      <c r="B10" s="5">
        <v>44.81</v>
      </c>
      <c r="C10" s="5"/>
      <c r="D10" s="5">
        <v>5.0900000000000001E-2</v>
      </c>
      <c r="E10" s="5">
        <v>51.12</v>
      </c>
      <c r="F10" s="5">
        <v>574.20000000000005</v>
      </c>
      <c r="G10" s="5"/>
      <c r="H10" s="5">
        <v>19.75</v>
      </c>
      <c r="I10" s="5"/>
      <c r="J10" s="5">
        <v>0.27479999999999999</v>
      </c>
      <c r="K10" s="5">
        <v>0.16900000000000001</v>
      </c>
      <c r="L10" s="5"/>
      <c r="M10" s="5">
        <v>1161</v>
      </c>
      <c r="N10" s="5"/>
      <c r="O10" s="5">
        <v>212.9</v>
      </c>
    </row>
    <row r="11" spans="1:15" x14ac:dyDescent="0.25">
      <c r="A11" s="23">
        <v>1</v>
      </c>
      <c r="B11" s="5">
        <v>9.4E-2</v>
      </c>
      <c r="C11" s="5"/>
      <c r="D11" s="5">
        <v>0.43059999999999998</v>
      </c>
      <c r="E11" s="5">
        <v>3.7759999999999998</v>
      </c>
      <c r="F11" s="5">
        <v>26.96</v>
      </c>
      <c r="G11" s="5">
        <v>5.218</v>
      </c>
      <c r="H11" s="5"/>
      <c r="I11" s="5"/>
      <c r="J11" s="5">
        <v>3.15E-3</v>
      </c>
      <c r="K11" s="5">
        <v>0.1212</v>
      </c>
      <c r="L11" s="5"/>
      <c r="M11" s="5">
        <v>134.80000000000001</v>
      </c>
      <c r="N11" s="5">
        <v>1.8879999999999999</v>
      </c>
      <c r="O11" s="5">
        <v>9.8299999999999993E-4</v>
      </c>
    </row>
    <row r="12" spans="1:15" x14ac:dyDescent="0.25">
      <c r="A12" s="23">
        <v>1</v>
      </c>
      <c r="B12" s="5">
        <v>0.77810000000000001</v>
      </c>
      <c r="C12" s="5">
        <v>1.6899999999999999E-4</v>
      </c>
      <c r="D12" s="5">
        <v>4.8700000000000002E-4</v>
      </c>
      <c r="E12" s="5">
        <v>6.28E-3</v>
      </c>
      <c r="F12" s="5">
        <v>0.75049999999999994</v>
      </c>
      <c r="G12" s="5">
        <v>0.55659999999999998</v>
      </c>
      <c r="H12" s="5">
        <v>0.71589999999999998</v>
      </c>
      <c r="I12" s="5">
        <v>5.9800000000000001E-4</v>
      </c>
      <c r="J12" s="5">
        <v>7.2999999999999996E-4</v>
      </c>
      <c r="K12" s="5">
        <v>2.8600000000000001E-6</v>
      </c>
      <c r="L12" s="5">
        <v>0.59509999999999996</v>
      </c>
      <c r="M12" s="5">
        <v>0.5655</v>
      </c>
      <c r="N12" s="5">
        <v>1.0740000000000001</v>
      </c>
      <c r="O12" s="5">
        <v>7.5800000000000006E-2</v>
      </c>
    </row>
    <row r="13" spans="1:15" x14ac:dyDescent="0.25">
      <c r="A13" s="23">
        <v>1</v>
      </c>
      <c r="B13" s="5"/>
      <c r="C13" s="5"/>
      <c r="D13" s="5">
        <v>3.0400000000000002E-4</v>
      </c>
      <c r="E13" s="5">
        <v>2.7900000000000001E-2</v>
      </c>
      <c r="F13" s="5">
        <v>5.0209999999999999</v>
      </c>
      <c r="G13" s="5">
        <v>3.7100000000000002E-3</v>
      </c>
      <c r="H13" s="5">
        <v>0.75790000000000002</v>
      </c>
      <c r="I13" s="5"/>
      <c r="J13" s="5">
        <v>8.9099999999999997E-4</v>
      </c>
      <c r="K13" s="5"/>
      <c r="L13" s="5">
        <v>3.9199999999999997E-6</v>
      </c>
      <c r="M13" s="5">
        <v>30.03</v>
      </c>
      <c r="N13" s="5">
        <v>0.2392</v>
      </c>
      <c r="O13" s="5">
        <v>7.5899999999999995E-2</v>
      </c>
    </row>
    <row r="14" spans="1:15" x14ac:dyDescent="0.25">
      <c r="A14" s="23">
        <v>1</v>
      </c>
      <c r="B14" s="5"/>
      <c r="C14" s="5"/>
      <c r="D14" s="5">
        <v>6.0999999999999998E-7</v>
      </c>
      <c r="E14" s="5">
        <v>0.47120000000000001</v>
      </c>
      <c r="F14" s="5">
        <v>5.8599999999999999E-2</v>
      </c>
      <c r="G14" s="5"/>
      <c r="H14" s="5">
        <v>7.6499999999999999E-2</v>
      </c>
      <c r="I14" s="5"/>
      <c r="J14" s="5">
        <v>2.05E-7</v>
      </c>
      <c r="K14" s="5">
        <v>0.95209999999999995</v>
      </c>
      <c r="L14" s="5">
        <v>1.8699999999999999E-3</v>
      </c>
      <c r="M14" s="5">
        <v>0.19750000000000001</v>
      </c>
      <c r="N14" s="5">
        <v>0.1014</v>
      </c>
      <c r="O14" s="5">
        <v>8.8099999999999998E-2</v>
      </c>
    </row>
    <row r="15" spans="1:15" x14ac:dyDescent="0.25">
      <c r="A15" s="23">
        <v>1</v>
      </c>
      <c r="B15" s="5"/>
      <c r="C15" s="5"/>
      <c r="D15" s="5"/>
      <c r="E15" s="5">
        <v>0.81759999999999999</v>
      </c>
      <c r="F15" s="5">
        <v>0.51819999999999999</v>
      </c>
      <c r="G15" s="5">
        <v>0.27189999999999998</v>
      </c>
      <c r="H15" s="5">
        <v>1.01E-4</v>
      </c>
      <c r="I15" s="5"/>
      <c r="J15" s="5">
        <v>7.06E-7</v>
      </c>
      <c r="K15" s="5">
        <v>1.171</v>
      </c>
      <c r="L15" s="5">
        <v>4.9899999999999999E-4</v>
      </c>
      <c r="M15" s="5">
        <v>0.40920000000000001</v>
      </c>
      <c r="N15" s="5">
        <v>0.2016</v>
      </c>
      <c r="O15" s="5">
        <v>0.42380000000000001</v>
      </c>
    </row>
    <row r="16" spans="1:15" x14ac:dyDescent="0.25">
      <c r="A16" s="23">
        <v>1</v>
      </c>
      <c r="B16" s="5">
        <v>3.4300000000000002E-6</v>
      </c>
      <c r="C16" s="5"/>
      <c r="D16" s="5"/>
      <c r="E16" s="5">
        <v>0.37880000000000003</v>
      </c>
      <c r="F16" s="5">
        <v>6.0750000000000002</v>
      </c>
      <c r="G16" s="5">
        <v>3.4000000000000002E-2</v>
      </c>
      <c r="H16" s="5"/>
      <c r="I16" s="5"/>
      <c r="J16" s="5">
        <v>3.1300000000000002E-4</v>
      </c>
      <c r="K16" s="5">
        <v>4.7190000000000003</v>
      </c>
      <c r="L16" s="5">
        <v>1.9699999999999999E-4</v>
      </c>
      <c r="M16" s="5">
        <v>1.4990000000000001</v>
      </c>
      <c r="N16" s="5"/>
      <c r="O16" s="5">
        <v>7.5500000000000006E-5</v>
      </c>
    </row>
    <row r="17" spans="1:15" x14ac:dyDescent="0.25">
      <c r="A17" s="23">
        <v>1</v>
      </c>
      <c r="B17" s="5">
        <v>1.37E-4</v>
      </c>
      <c r="C17" s="5">
        <v>0.4219</v>
      </c>
      <c r="D17" s="5">
        <v>1.3799999999999999E-3</v>
      </c>
      <c r="E17" s="5">
        <v>1.1299999999999999</v>
      </c>
      <c r="F17" s="5">
        <v>5.0699999999999999E-5</v>
      </c>
      <c r="G17" s="5">
        <v>0.6865</v>
      </c>
      <c r="H17" s="5">
        <v>2.2800000000000002E-6</v>
      </c>
      <c r="I17" s="5">
        <v>5.21E-2</v>
      </c>
      <c r="J17" s="5"/>
      <c r="K17" s="5">
        <v>0.77810000000000001</v>
      </c>
      <c r="L17" s="5">
        <v>2.2800000000000002E-6</v>
      </c>
      <c r="M17" s="5">
        <v>0.69450000000000001</v>
      </c>
      <c r="N17" s="5"/>
      <c r="O17" s="5">
        <v>1.1299999999999999E-2</v>
      </c>
    </row>
    <row r="18" spans="1:15" x14ac:dyDescent="0.25">
      <c r="A18" s="23">
        <v>1</v>
      </c>
      <c r="B18" s="5">
        <v>1.5400000000000001E-6</v>
      </c>
      <c r="C18" s="5">
        <v>0.29870000000000002</v>
      </c>
      <c r="D18" s="5">
        <v>3.7999999999999999E-2</v>
      </c>
      <c r="E18" s="5">
        <v>0.82110000000000005</v>
      </c>
      <c r="F18" s="5">
        <v>1.6519999999999999</v>
      </c>
      <c r="G18" s="5">
        <v>0.24959999999999999</v>
      </c>
      <c r="H18" s="5">
        <v>3.6200000000000002E-4</v>
      </c>
      <c r="I18" s="5">
        <v>3.3500000000000001E-5</v>
      </c>
      <c r="J18" s="5">
        <v>0.41870000000000002</v>
      </c>
      <c r="K18" s="5">
        <v>7.0659999999999998</v>
      </c>
      <c r="L18" s="5">
        <v>1.9599999999999999E-3</v>
      </c>
      <c r="M18" s="5">
        <v>1.5400000000000001E-6</v>
      </c>
      <c r="N18" s="5"/>
      <c r="O18" s="5">
        <v>0.44280000000000003</v>
      </c>
    </row>
    <row r="19" spans="1:15" x14ac:dyDescent="0.25">
      <c r="A19" s="23">
        <v>1</v>
      </c>
      <c r="B19" s="5"/>
      <c r="C19" s="5"/>
      <c r="D19" s="5"/>
      <c r="E19" s="5">
        <v>1.2789999999999999</v>
      </c>
      <c r="F19" s="5">
        <v>0.21329999999999999</v>
      </c>
      <c r="G19" s="5">
        <v>5.8100000000000003E-4</v>
      </c>
      <c r="H19" s="5">
        <v>1.6700000000000001E-6</v>
      </c>
      <c r="I19" s="5">
        <v>1.6700000000000001E-6</v>
      </c>
      <c r="J19" s="5"/>
      <c r="K19" s="5"/>
      <c r="L19" s="5"/>
      <c r="M19" s="5">
        <v>0.45150000000000001</v>
      </c>
      <c r="N19" s="5">
        <v>1.6700000000000001E-6</v>
      </c>
      <c r="O19" s="5">
        <v>1.07</v>
      </c>
    </row>
    <row r="20" spans="1:15" x14ac:dyDescent="0.25">
      <c r="A20" s="23">
        <v>1</v>
      </c>
      <c r="B20" s="5"/>
      <c r="C20" s="5">
        <v>0.14530000000000001</v>
      </c>
      <c r="D20" s="5">
        <v>1.7799999999999999E-3</v>
      </c>
      <c r="E20" s="5">
        <v>0.28639999999999999</v>
      </c>
      <c r="F20" s="5">
        <v>0.2303</v>
      </c>
      <c r="G20" s="5">
        <v>4.0699999999999998E-3</v>
      </c>
      <c r="H20" s="5">
        <v>7.2800000000000004E-2</v>
      </c>
      <c r="I20" s="5"/>
      <c r="J20" s="5">
        <v>1.3699999999999999E-3</v>
      </c>
      <c r="K20" s="5">
        <v>4.0099999999999997E-3</v>
      </c>
      <c r="L20" s="5">
        <v>6.2199999999999997E-6</v>
      </c>
      <c r="M20" s="5">
        <v>2.6779999999999999</v>
      </c>
      <c r="N20" s="5">
        <v>0.19220000000000001</v>
      </c>
      <c r="O20" s="5">
        <v>0.35670000000000002</v>
      </c>
    </row>
    <row r="21" spans="1:15" x14ac:dyDescent="0.25">
      <c r="A21" s="23">
        <v>1</v>
      </c>
      <c r="B21" s="5"/>
      <c r="C21" s="5"/>
      <c r="D21" s="5">
        <v>1.79E-6</v>
      </c>
      <c r="E21" s="5">
        <v>0.55349999999999999</v>
      </c>
      <c r="F21" s="5">
        <v>0.52359999999999995</v>
      </c>
      <c r="G21" s="5">
        <v>1.79E-6</v>
      </c>
      <c r="H21" s="5"/>
      <c r="I21" s="5"/>
      <c r="J21" s="5">
        <v>1.79E-6</v>
      </c>
      <c r="K21" s="5">
        <v>1.79E-6</v>
      </c>
      <c r="L21" s="5"/>
      <c r="M21" s="5">
        <v>1.9370000000000001</v>
      </c>
      <c r="N21" s="5"/>
      <c r="O21" s="5">
        <v>0.72960000000000003</v>
      </c>
    </row>
    <row r="22" spans="1:15" x14ac:dyDescent="0.25">
      <c r="A22" s="23">
        <v>1</v>
      </c>
      <c r="B22" s="5">
        <v>4.9799999999999996E-4</v>
      </c>
      <c r="C22" s="5"/>
      <c r="D22" s="5">
        <v>2.5999999999999999E-3</v>
      </c>
      <c r="E22" s="5">
        <v>3.3099999999999997E-2</v>
      </c>
      <c r="F22" s="5">
        <v>0.26889999999999997</v>
      </c>
      <c r="G22" s="5"/>
      <c r="H22" s="5"/>
      <c r="I22" s="5">
        <v>3.9600000000000002E-6</v>
      </c>
      <c r="J22" s="5">
        <v>2.51E-5</v>
      </c>
      <c r="K22" s="5">
        <v>3.9600000000000002E-6</v>
      </c>
      <c r="L22" s="5"/>
      <c r="M22" s="5">
        <v>1.7370000000000001</v>
      </c>
      <c r="N22" s="5"/>
      <c r="O22" s="5">
        <v>3.8600000000000003E-5</v>
      </c>
    </row>
    <row r="23" spans="1:15" x14ac:dyDescent="0.25">
      <c r="A23" s="23">
        <v>1</v>
      </c>
      <c r="B23" s="5">
        <v>2.0299999999999999E-2</v>
      </c>
      <c r="C23" s="5">
        <v>0.58209999999999995</v>
      </c>
      <c r="D23" s="5">
        <v>0.1318</v>
      </c>
      <c r="E23" s="5">
        <v>0.42070000000000002</v>
      </c>
      <c r="F23" s="5">
        <v>0.96</v>
      </c>
      <c r="G23" s="5">
        <v>4.6100000000000002E-2</v>
      </c>
      <c r="H23" s="5">
        <v>7.0800000000000002E-2</v>
      </c>
      <c r="I23" s="5"/>
      <c r="J23" s="5">
        <v>1.49E-3</v>
      </c>
      <c r="K23" s="5">
        <v>1.7000000000000001E-2</v>
      </c>
      <c r="L23" s="5">
        <v>1.4300000000000001E-3</v>
      </c>
      <c r="M23" s="5">
        <v>2.1419999999999999</v>
      </c>
      <c r="N23" s="5">
        <v>0.20150000000000001</v>
      </c>
      <c r="O23" s="5">
        <v>2.19E-5</v>
      </c>
    </row>
    <row r="24" spans="1:15" x14ac:dyDescent="0.25">
      <c r="A24" s="23">
        <v>1</v>
      </c>
      <c r="B24" s="5"/>
      <c r="C24" s="5">
        <v>2.5499999999999998E-2</v>
      </c>
      <c r="D24" s="5">
        <v>5.3899999999999998E-3</v>
      </c>
      <c r="E24" s="5">
        <v>0.37590000000000001</v>
      </c>
      <c r="F24" s="5">
        <v>0.43059999999999998</v>
      </c>
      <c r="G24" s="5"/>
      <c r="H24" s="5">
        <v>1.49E-3</v>
      </c>
      <c r="I24" s="5"/>
      <c r="J24" s="5">
        <v>5.4700000000000001E-6</v>
      </c>
      <c r="K24" s="5">
        <v>1.9400000000000001E-2</v>
      </c>
      <c r="L24" s="5">
        <v>4.7099999999999998E-3</v>
      </c>
      <c r="M24" s="5">
        <v>1.202</v>
      </c>
      <c r="N24" s="5">
        <v>2.9899999999999999E-2</v>
      </c>
      <c r="O24" s="5">
        <v>0.19550000000000001</v>
      </c>
    </row>
    <row r="25" spans="1:15" x14ac:dyDescent="0.25">
      <c r="A25" s="23">
        <v>2</v>
      </c>
      <c r="B25" s="5"/>
      <c r="C25" s="5"/>
      <c r="D25" s="5">
        <v>3.9100000000000003E-3</v>
      </c>
      <c r="E25" s="5">
        <v>1.835</v>
      </c>
      <c r="F25" s="5">
        <v>0.13789999999999999</v>
      </c>
      <c r="G25" s="5">
        <v>6.1499999999999999E-2</v>
      </c>
      <c r="H25" s="5">
        <v>0.32619999999999999</v>
      </c>
      <c r="I25" s="5"/>
      <c r="J25" s="5"/>
      <c r="K25" s="5">
        <v>2.7189999999999999</v>
      </c>
      <c r="L25" s="5">
        <v>3.9100000000000003E-3</v>
      </c>
      <c r="M25" s="5">
        <v>0.10589999999999999</v>
      </c>
      <c r="N25" s="5">
        <v>0.77459999999999996</v>
      </c>
      <c r="O25" s="5">
        <v>3.9100000000000003E-3</v>
      </c>
    </row>
    <row r="26" spans="1:15" x14ac:dyDescent="0.25">
      <c r="A26" s="23">
        <v>2</v>
      </c>
      <c r="B26" s="5"/>
      <c r="C26" s="5">
        <v>0.45129999999999998</v>
      </c>
      <c r="D26" s="5"/>
      <c r="E26" s="5">
        <v>2.806</v>
      </c>
      <c r="F26" s="5">
        <v>0.97709999999999997</v>
      </c>
      <c r="G26" s="5">
        <v>0.86960000000000004</v>
      </c>
      <c r="H26" s="5"/>
      <c r="I26" s="5"/>
      <c r="J26" s="5">
        <v>1.9830000000000001</v>
      </c>
      <c r="K26" s="5">
        <v>0.26169999999999999</v>
      </c>
      <c r="L26" s="5">
        <v>1.5200000000000001E-4</v>
      </c>
      <c r="M26" s="5">
        <v>1.6659999999999999</v>
      </c>
      <c r="N26" s="5">
        <v>0.251</v>
      </c>
      <c r="O26" s="5">
        <v>2.65E-6</v>
      </c>
    </row>
    <row r="27" spans="1:15" x14ac:dyDescent="0.25">
      <c r="A27" s="23">
        <v>2</v>
      </c>
      <c r="B27" s="5">
        <v>7.5300000000000006E-2</v>
      </c>
      <c r="C27" s="5">
        <v>0.12859999999999999</v>
      </c>
      <c r="D27" s="5"/>
      <c r="E27" s="5">
        <v>1.516</v>
      </c>
      <c r="F27" s="5">
        <v>1.286</v>
      </c>
      <c r="G27" s="5">
        <v>0.15870000000000001</v>
      </c>
      <c r="H27" s="5">
        <v>7.9799999999999996E-2</v>
      </c>
      <c r="I27" s="5"/>
      <c r="J27" s="5"/>
      <c r="K27" s="5">
        <v>7.2640000000000002</v>
      </c>
      <c r="L27" s="5">
        <v>3.1099999999999999E-3</v>
      </c>
      <c r="M27" s="5">
        <v>0.45</v>
      </c>
      <c r="N27" s="5">
        <v>4.0800000000000003E-2</v>
      </c>
      <c r="O27" s="5">
        <v>0.19889999999999999</v>
      </c>
    </row>
    <row r="28" spans="1:15" x14ac:dyDescent="0.25">
      <c r="A28" s="23">
        <v>2</v>
      </c>
      <c r="B28" s="5">
        <v>3.1800000000000001E-3</v>
      </c>
      <c r="C28" s="5">
        <v>8.8599999999999998E-2</v>
      </c>
      <c r="D28" s="5">
        <v>8.43E-3</v>
      </c>
      <c r="E28" s="5">
        <v>0.56189999999999996</v>
      </c>
      <c r="F28" s="5">
        <v>0.1368</v>
      </c>
      <c r="G28" s="5">
        <v>4.9799999999999997E-2</v>
      </c>
      <c r="H28" s="5">
        <v>1.17E-2</v>
      </c>
      <c r="I28" s="5"/>
      <c r="J28" s="5">
        <v>1.98E-3</v>
      </c>
      <c r="K28" s="5">
        <v>2.5840000000000001</v>
      </c>
      <c r="L28" s="5"/>
      <c r="M28" s="5">
        <v>0.41239999999999999</v>
      </c>
      <c r="N28" s="5">
        <v>4.4200000000000003E-3</v>
      </c>
      <c r="O28" s="5">
        <v>0.13639999999999999</v>
      </c>
    </row>
    <row r="29" spans="1:15" x14ac:dyDescent="0.25">
      <c r="A29" s="23">
        <v>2</v>
      </c>
      <c r="B29" s="5">
        <v>2.6100000000000001E-5</v>
      </c>
      <c r="C29" s="5">
        <v>4.3400000000000001E-2</v>
      </c>
      <c r="D29" s="5">
        <v>3.27E-2</v>
      </c>
      <c r="E29" s="5">
        <v>0.7107</v>
      </c>
      <c r="F29" s="5">
        <v>2.3170000000000002</v>
      </c>
      <c r="G29" s="5">
        <v>0.23</v>
      </c>
      <c r="H29" s="5">
        <v>0.16200000000000001</v>
      </c>
      <c r="I29" s="5">
        <v>2.2599999999999999E-3</v>
      </c>
      <c r="J29" s="5">
        <v>6.28E-3</v>
      </c>
      <c r="K29" s="5">
        <v>12.61</v>
      </c>
      <c r="L29" s="5"/>
      <c r="M29" s="5">
        <v>0.15859999999999999</v>
      </c>
      <c r="N29" s="5">
        <v>7.0899999999999999E-3</v>
      </c>
      <c r="O29" s="5">
        <v>0.25340000000000001</v>
      </c>
    </row>
    <row r="30" spans="1:15" x14ac:dyDescent="0.25">
      <c r="A30" s="23">
        <v>2</v>
      </c>
      <c r="B30" s="5">
        <v>1.2799999999999999E-4</v>
      </c>
      <c r="C30" s="5">
        <v>6.7599999999999993E-2</v>
      </c>
      <c r="D30" s="5">
        <v>2.2599999999999999E-2</v>
      </c>
      <c r="E30" s="5">
        <v>1.091</v>
      </c>
      <c r="F30" s="5">
        <v>0.33700000000000002</v>
      </c>
      <c r="G30" s="5">
        <v>2.6100000000000002E-2</v>
      </c>
      <c r="H30" s="5">
        <v>6.4500000000000002E-2</v>
      </c>
      <c r="I30" s="5"/>
      <c r="J30" s="5">
        <v>2.61E-4</v>
      </c>
      <c r="K30" s="5">
        <v>0.77849999999999997</v>
      </c>
      <c r="L30" s="5">
        <v>1.2799999999999999E-4</v>
      </c>
      <c r="M30" s="5">
        <v>1.498</v>
      </c>
      <c r="N30" s="5">
        <v>0.1118</v>
      </c>
      <c r="O30" s="5">
        <v>0.38840000000000002</v>
      </c>
    </row>
    <row r="31" spans="1:15" x14ac:dyDescent="0.25">
      <c r="A31" s="23">
        <v>2</v>
      </c>
      <c r="B31" s="5">
        <v>8.7799999999999998E-4</v>
      </c>
      <c r="C31" s="5">
        <v>0.14680000000000001</v>
      </c>
      <c r="D31" s="5">
        <v>4.9599999999999998E-2</v>
      </c>
      <c r="E31" s="5">
        <v>0.75029999999999997</v>
      </c>
      <c r="F31" s="5">
        <v>1.3280000000000001</v>
      </c>
      <c r="G31" s="5">
        <v>0.20880000000000001</v>
      </c>
      <c r="H31" s="5">
        <v>0.1593</v>
      </c>
      <c r="I31" s="5">
        <v>4.7999999999999996E-3</v>
      </c>
      <c r="J31" s="5">
        <v>1.0500000000000001E-2</v>
      </c>
      <c r="K31" s="5">
        <v>1.28</v>
      </c>
      <c r="L31" s="5">
        <v>1.72E-3</v>
      </c>
      <c r="M31" s="5">
        <v>1.0149999999999999</v>
      </c>
      <c r="N31" s="5">
        <v>9.1299999999999992E-3</v>
      </c>
      <c r="O31" s="5">
        <v>0.63070000000000004</v>
      </c>
    </row>
    <row r="32" spans="1:15" x14ac:dyDescent="0.25">
      <c r="A32" s="23">
        <v>2</v>
      </c>
      <c r="B32" s="5">
        <v>3.2800000000000003E-2</v>
      </c>
      <c r="C32" s="5">
        <v>0.54039999999999999</v>
      </c>
      <c r="D32" s="5">
        <v>2.8799999999999999E-2</v>
      </c>
      <c r="E32" s="5">
        <v>3.2759999999999998</v>
      </c>
      <c r="F32" s="5">
        <v>2.3490000000000002</v>
      </c>
      <c r="G32" s="5">
        <v>0.34799999999999998</v>
      </c>
      <c r="H32" s="5">
        <v>4.58E-2</v>
      </c>
      <c r="I32" s="5"/>
      <c r="J32" s="5">
        <v>5.3400000000000003E-2</v>
      </c>
      <c r="K32" s="5">
        <v>34.590000000000003</v>
      </c>
      <c r="L32" s="5">
        <v>5.8900000000000003E-3</v>
      </c>
      <c r="M32" s="5">
        <v>2.173</v>
      </c>
      <c r="N32" s="5">
        <v>0.10299999999999999</v>
      </c>
      <c r="O32" s="5">
        <v>0.20730000000000001</v>
      </c>
    </row>
    <row r="33" spans="1:15" x14ac:dyDescent="0.25">
      <c r="A33" s="23">
        <v>2</v>
      </c>
      <c r="B33" s="5"/>
      <c r="C33" s="5">
        <v>0.2727</v>
      </c>
      <c r="D33" s="5">
        <v>4.5199999999999997E-2</v>
      </c>
      <c r="E33" s="5">
        <v>0.93810000000000004</v>
      </c>
      <c r="F33" s="5">
        <v>0.33700000000000002</v>
      </c>
      <c r="G33" s="5">
        <v>0.15559999999999999</v>
      </c>
      <c r="H33" s="5">
        <v>0.1943</v>
      </c>
      <c r="I33" s="5">
        <v>6.1999999999999998E-3</v>
      </c>
      <c r="J33" s="5">
        <v>5.1799999999999997E-3</v>
      </c>
      <c r="K33" s="5">
        <v>1.603</v>
      </c>
      <c r="L33" s="5">
        <v>2.0100000000000001E-3</v>
      </c>
      <c r="M33" s="5">
        <v>7.3599999999999999E-2</v>
      </c>
      <c r="N33" s="5">
        <v>9.2899999999999996E-3</v>
      </c>
      <c r="O33" s="5">
        <v>8.0299999999999996E-2</v>
      </c>
    </row>
    <row r="34" spans="1:15" x14ac:dyDescent="0.25">
      <c r="A34" s="23">
        <v>2</v>
      </c>
      <c r="B34" s="5">
        <v>2.9600000000000001E-5</v>
      </c>
      <c r="C34" s="5">
        <v>2.3300000000000001E-2</v>
      </c>
      <c r="D34" s="5">
        <v>3.0200000000000001E-2</v>
      </c>
      <c r="E34" s="5">
        <v>0.86909999999999998</v>
      </c>
      <c r="F34" s="5">
        <v>0.32379999999999998</v>
      </c>
      <c r="G34" s="5">
        <v>7.1199999999999999E-2</v>
      </c>
      <c r="H34" s="5">
        <v>4.9599999999999998E-2</v>
      </c>
      <c r="I34" s="5">
        <v>4.0500000000000002E-6</v>
      </c>
      <c r="J34" s="5">
        <v>3.6299999999999999E-2</v>
      </c>
      <c r="K34" s="5">
        <v>0.1031</v>
      </c>
      <c r="L34" s="5">
        <v>5.0200000000000002E-3</v>
      </c>
      <c r="M34" s="5">
        <v>0.1933</v>
      </c>
      <c r="N34" s="5">
        <v>6.4199999999999993E-2</v>
      </c>
      <c r="O34" s="5">
        <v>0.28399999999999997</v>
      </c>
    </row>
    <row r="35" spans="1:15" x14ac:dyDescent="0.25">
      <c r="A35" s="23">
        <v>2</v>
      </c>
      <c r="B35" s="5"/>
      <c r="C35" s="5">
        <v>0.26819999999999999</v>
      </c>
      <c r="D35" s="5">
        <v>0.1363</v>
      </c>
      <c r="E35" s="5">
        <v>1.819</v>
      </c>
      <c r="F35" s="5">
        <v>4.133</v>
      </c>
      <c r="G35" s="5">
        <v>0.60429999999999995</v>
      </c>
      <c r="H35" s="5">
        <v>0.18779999999999999</v>
      </c>
      <c r="I35" s="5">
        <v>4.2399999999999998E-3</v>
      </c>
      <c r="J35" s="5">
        <v>0.1638</v>
      </c>
      <c r="K35" s="5">
        <v>5.5259999999999998</v>
      </c>
      <c r="L35" s="5">
        <v>1.5499999999999999E-3</v>
      </c>
      <c r="M35" s="5">
        <v>1.579</v>
      </c>
      <c r="N35" s="5">
        <v>1.7500000000000002E-2</v>
      </c>
      <c r="O35" s="5">
        <v>1.0109999999999999</v>
      </c>
    </row>
    <row r="36" spans="1:15" x14ac:dyDescent="0.25">
      <c r="A36" s="23">
        <v>2</v>
      </c>
      <c r="B36" s="5"/>
      <c r="C36" s="5">
        <v>0.60909999999999997</v>
      </c>
      <c r="D36" s="5">
        <v>8.2699999999999996E-2</v>
      </c>
      <c r="E36" s="5">
        <v>4.6500000000000004</v>
      </c>
      <c r="F36" s="5">
        <v>1.0329999999999999</v>
      </c>
      <c r="G36" s="5">
        <v>0.30669999999999997</v>
      </c>
      <c r="H36" s="5">
        <v>6.6900000000000001E-2</v>
      </c>
      <c r="I36" s="5">
        <v>2.19E-5</v>
      </c>
      <c r="J36" s="5">
        <v>0.24260000000000001</v>
      </c>
      <c r="K36" s="5">
        <v>2.4830000000000001</v>
      </c>
      <c r="L36" s="5">
        <v>1.4799999999999999E-4</v>
      </c>
      <c r="M36" s="5">
        <v>0.248</v>
      </c>
      <c r="N36" s="5">
        <v>3.8E-3</v>
      </c>
      <c r="O36" s="5">
        <v>0.28360000000000002</v>
      </c>
    </row>
    <row r="37" spans="1:15" x14ac:dyDescent="0.25">
      <c r="A37" s="23">
        <v>2</v>
      </c>
      <c r="B37" s="5">
        <v>4.3600000000000002E-3</v>
      </c>
      <c r="C37" s="5">
        <v>3.8399999999999997E-2</v>
      </c>
      <c r="D37" s="5">
        <v>2.5000000000000001E-2</v>
      </c>
      <c r="E37" s="5">
        <v>0.99180000000000001</v>
      </c>
      <c r="F37" s="5">
        <v>0.29909999999999998</v>
      </c>
      <c r="G37" s="5">
        <v>0.12959999999999999</v>
      </c>
      <c r="H37" s="5">
        <v>6.6500000000000004E-2</v>
      </c>
      <c r="I37" s="5">
        <v>1.83E-3</v>
      </c>
      <c r="J37" s="5">
        <v>5.5199999999999997E-4</v>
      </c>
      <c r="K37" s="5">
        <v>1.978</v>
      </c>
      <c r="L37" s="5">
        <v>8.7600000000000004E-3</v>
      </c>
      <c r="M37" s="5">
        <v>1.46</v>
      </c>
      <c r="N37" s="5">
        <v>5.6899999999999997E-3</v>
      </c>
      <c r="O37" s="5">
        <v>0.66090000000000004</v>
      </c>
    </row>
    <row r="38" spans="1:15" x14ac:dyDescent="0.25">
      <c r="A38" s="23">
        <v>2</v>
      </c>
      <c r="B38" s="5">
        <v>2.3E-2</v>
      </c>
      <c r="C38" s="5">
        <v>1.2300000000000001E-4</v>
      </c>
      <c r="D38" s="5">
        <v>0.2409</v>
      </c>
      <c r="E38" s="5">
        <v>2.3109999999999999</v>
      </c>
      <c r="F38" s="5">
        <v>0.1246</v>
      </c>
      <c r="G38" s="5">
        <v>5.4899999999999997E-2</v>
      </c>
      <c r="H38" s="5">
        <v>0.12559999999999999</v>
      </c>
      <c r="I38" s="5"/>
      <c r="J38" s="5">
        <v>0.1179</v>
      </c>
      <c r="K38" s="5">
        <v>0.40179999999999999</v>
      </c>
      <c r="L38" s="5">
        <v>1.4300000000000001E-3</v>
      </c>
      <c r="M38" s="5">
        <v>0.317</v>
      </c>
      <c r="N38" s="5">
        <v>0.26840000000000003</v>
      </c>
      <c r="O38" s="5">
        <v>0.1134</v>
      </c>
    </row>
    <row r="39" spans="1:15" x14ac:dyDescent="0.25">
      <c r="A39" s="23">
        <v>2</v>
      </c>
      <c r="B39" s="5"/>
      <c r="C39" s="5">
        <v>8.2500000000000004E-2</v>
      </c>
      <c r="D39" s="5">
        <v>7.4799999999999997E-3</v>
      </c>
      <c r="E39" s="5">
        <v>1.0369999999999999</v>
      </c>
      <c r="F39" s="5">
        <v>2.7189999999999999</v>
      </c>
      <c r="G39" s="5">
        <v>4.1799999999999997E-2</v>
      </c>
      <c r="H39" s="5">
        <v>2.07E-2</v>
      </c>
      <c r="I39" s="5">
        <v>5.5400000000000003E-6</v>
      </c>
      <c r="J39" s="5">
        <v>0.1082</v>
      </c>
      <c r="K39" s="5">
        <v>2.347</v>
      </c>
      <c r="L39" s="5">
        <v>7.9799999999999999E-4</v>
      </c>
      <c r="M39" s="5">
        <v>0.76800000000000002</v>
      </c>
      <c r="N39" s="5">
        <v>1.7600000000000001E-2</v>
      </c>
      <c r="O39" s="5">
        <v>0.38800000000000001</v>
      </c>
    </row>
    <row r="40" spans="1:15" x14ac:dyDescent="0.25">
      <c r="A40" s="23">
        <v>2</v>
      </c>
      <c r="B40" s="5"/>
      <c r="C40" s="5">
        <v>0.2266</v>
      </c>
      <c r="D40" s="5">
        <v>1.54E-2</v>
      </c>
      <c r="E40" s="5">
        <v>2.2810000000000001</v>
      </c>
      <c r="F40" s="5">
        <v>1.744</v>
      </c>
      <c r="G40" s="5">
        <v>0.14399999999999999</v>
      </c>
      <c r="H40" s="5"/>
      <c r="I40" s="5"/>
      <c r="J40" s="5"/>
      <c r="K40" s="5">
        <v>2.589</v>
      </c>
      <c r="L40" s="5">
        <v>3.9500000000000004E-3</v>
      </c>
      <c r="M40" s="5">
        <v>0.70599999999999996</v>
      </c>
      <c r="N40" s="5">
        <v>0.39929999999999999</v>
      </c>
      <c r="O40" s="5">
        <v>2.8399999999999999E-6</v>
      </c>
    </row>
    <row r="41" spans="1:15" x14ac:dyDescent="0.25">
      <c r="A41" s="23">
        <v>2</v>
      </c>
      <c r="B41" s="5"/>
      <c r="C41" s="5">
        <v>8.2000000000000003E-2</v>
      </c>
      <c r="D41" s="5">
        <v>2.8199999999999999E-2</v>
      </c>
      <c r="E41" s="5">
        <v>1.8440000000000001</v>
      </c>
      <c r="F41" s="5">
        <v>0.53810000000000002</v>
      </c>
      <c r="G41" s="5">
        <v>8.8499999999999995E-2</v>
      </c>
      <c r="H41" s="5">
        <v>7.3400000000000007E-2</v>
      </c>
      <c r="I41" s="5">
        <v>5.1900000000000002E-3</v>
      </c>
      <c r="J41" s="5">
        <v>0.17330000000000001</v>
      </c>
      <c r="K41" s="5">
        <v>1.325</v>
      </c>
      <c r="L41" s="5">
        <v>3.5800000000000003E-5</v>
      </c>
      <c r="M41" s="5">
        <v>0.3856</v>
      </c>
      <c r="N41" s="5">
        <v>1.7999999999999999E-2</v>
      </c>
      <c r="O41" s="5">
        <v>0.22689999999999999</v>
      </c>
    </row>
    <row r="42" spans="1:15" x14ac:dyDescent="0.25">
      <c r="A42" s="23">
        <v>2</v>
      </c>
      <c r="B42" s="5"/>
      <c r="C42" s="5">
        <v>4.2099999999999999E-2</v>
      </c>
      <c r="D42" s="5">
        <v>1.67E-2</v>
      </c>
      <c r="E42" s="5">
        <v>0.99639999999999995</v>
      </c>
      <c r="F42" s="5">
        <v>0.2399</v>
      </c>
      <c r="G42" s="5">
        <v>8.8099999999999998E-2</v>
      </c>
      <c r="H42" s="5">
        <v>2.5700000000000001E-2</v>
      </c>
      <c r="I42" s="5">
        <v>2.9900000000000003E-8</v>
      </c>
      <c r="J42" s="5"/>
      <c r="K42" s="5">
        <v>4.2240000000000002</v>
      </c>
      <c r="L42" s="5">
        <v>3.2699999999999999E-3</v>
      </c>
      <c r="M42" s="5">
        <v>0.16350000000000001</v>
      </c>
      <c r="N42" s="5">
        <v>4.0399999999999998E-2</v>
      </c>
      <c r="O42" s="5">
        <v>0.1295</v>
      </c>
    </row>
    <row r="43" spans="1:15" x14ac:dyDescent="0.25">
      <c r="A43" s="23">
        <v>2</v>
      </c>
      <c r="B43" s="5">
        <v>2.31E-3</v>
      </c>
      <c r="C43" s="5">
        <v>0.2397</v>
      </c>
      <c r="D43" s="5">
        <v>7.8100000000000003E-2</v>
      </c>
      <c r="E43" s="5">
        <v>1.3109999999999999</v>
      </c>
      <c r="F43" s="5">
        <v>9.6649999999999991</v>
      </c>
      <c r="G43" s="5">
        <v>0.30420000000000003</v>
      </c>
      <c r="H43" s="5">
        <v>7.8399999999999997E-2</v>
      </c>
      <c r="I43" s="5">
        <v>8.1700000000000002E-3</v>
      </c>
      <c r="J43" s="5">
        <v>0.92369999999999997</v>
      </c>
      <c r="K43" s="5">
        <v>10.97</v>
      </c>
      <c r="L43" s="5">
        <v>1.5800000000000002E-2</v>
      </c>
      <c r="M43" s="5">
        <v>0.87090000000000001</v>
      </c>
      <c r="N43" s="5">
        <v>2.8000000000000001E-2</v>
      </c>
      <c r="O43" s="5">
        <v>1.4419999999999999</v>
      </c>
    </row>
    <row r="44" spans="1:15" x14ac:dyDescent="0.25">
      <c r="A44" s="23">
        <v>2</v>
      </c>
      <c r="B44" s="5">
        <v>1.39E-3</v>
      </c>
      <c r="C44" s="5">
        <v>4.8800000000000003E-2</v>
      </c>
      <c r="D44" s="5">
        <v>1.8100000000000002E-2</v>
      </c>
      <c r="E44" s="5">
        <v>0.69120000000000004</v>
      </c>
      <c r="F44" s="5">
        <v>0.6028</v>
      </c>
      <c r="G44" s="5">
        <v>7.6799999999999993E-2</v>
      </c>
      <c r="H44" s="5">
        <v>2.9499999999999998E-2</v>
      </c>
      <c r="I44" s="5"/>
      <c r="J44" s="5">
        <v>1.1299999999999999E-2</v>
      </c>
      <c r="K44" s="5">
        <v>0.38919999999999999</v>
      </c>
      <c r="L44" s="5">
        <v>7.2000000000000005E-4</v>
      </c>
      <c r="M44" s="5">
        <v>0.76480000000000004</v>
      </c>
      <c r="N44" s="5">
        <v>2.9000000000000001E-2</v>
      </c>
      <c r="O44" s="5">
        <v>0.34749999999999998</v>
      </c>
    </row>
    <row r="45" spans="1:15" x14ac:dyDescent="0.25">
      <c r="A45" s="23">
        <v>2</v>
      </c>
      <c r="B45" s="5">
        <v>0.11169999999999999</v>
      </c>
      <c r="C45" s="5">
        <v>9.7199999999999995E-2</v>
      </c>
      <c r="D45" s="5">
        <v>0.1104</v>
      </c>
      <c r="E45" s="5">
        <v>1.2929999999999999</v>
      </c>
      <c r="F45" s="5">
        <v>0.94430000000000003</v>
      </c>
      <c r="G45" s="5">
        <v>4.1200000000000001E-2</v>
      </c>
      <c r="H45" s="5">
        <v>0.156</v>
      </c>
      <c r="I45" s="5">
        <v>3.2399999999999998E-2</v>
      </c>
      <c r="J45" s="5">
        <v>3.1100000000000002E-4</v>
      </c>
      <c r="K45" s="5">
        <v>0.85640000000000005</v>
      </c>
      <c r="L45" s="5">
        <v>5.3499999999999997E-3</v>
      </c>
      <c r="M45" s="5">
        <v>3.702</v>
      </c>
      <c r="N45" s="5"/>
      <c r="O45" s="5">
        <v>0.4733</v>
      </c>
    </row>
    <row r="46" spans="1:15" x14ac:dyDescent="0.25">
      <c r="A46" s="23">
        <v>2</v>
      </c>
      <c r="B46" s="5">
        <v>1.38E-2</v>
      </c>
      <c r="C46" s="5">
        <v>0.29310000000000003</v>
      </c>
      <c r="D46" s="5">
        <v>0.16259999999999999</v>
      </c>
      <c r="E46" s="5">
        <v>4.0890000000000004</v>
      </c>
      <c r="F46" s="5">
        <v>13.56</v>
      </c>
      <c r="G46" s="5">
        <v>1.0699999999999999E-2</v>
      </c>
      <c r="H46" s="5">
        <v>0.1179</v>
      </c>
      <c r="I46" s="5"/>
      <c r="J46" s="5">
        <v>12.65</v>
      </c>
      <c r="K46" s="5">
        <v>4.8900000000000002E-3</v>
      </c>
      <c r="L46" s="5"/>
      <c r="M46" s="5">
        <v>20.190000000000001</v>
      </c>
      <c r="N46" s="5">
        <v>1.7099999999999999E-5</v>
      </c>
      <c r="O46" s="5">
        <v>4.5179999999999998</v>
      </c>
    </row>
    <row r="47" spans="1:15" x14ac:dyDescent="0.25">
      <c r="A47" s="23">
        <v>2</v>
      </c>
      <c r="B47" s="5">
        <v>9.7199999999999997E-7</v>
      </c>
      <c r="C47" s="5">
        <v>1.27</v>
      </c>
      <c r="D47" s="5">
        <v>0.1452</v>
      </c>
      <c r="E47" s="5">
        <v>3.431</v>
      </c>
      <c r="F47" s="5">
        <v>2.0169999999999999</v>
      </c>
      <c r="G47" s="5">
        <v>0.86409999999999998</v>
      </c>
      <c r="H47" s="5">
        <v>0.28079999999999999</v>
      </c>
      <c r="I47" s="5">
        <v>9.2499999999999999E-2</v>
      </c>
      <c r="J47" s="5"/>
      <c r="K47" s="5">
        <v>2.593</v>
      </c>
      <c r="L47" s="5">
        <v>1.17E-3</v>
      </c>
      <c r="M47" s="5">
        <v>1.385</v>
      </c>
      <c r="N47" s="5">
        <v>9.7199999999999997E-7</v>
      </c>
      <c r="O47" s="5">
        <v>1.0489999999999999</v>
      </c>
    </row>
    <row r="48" spans="1:15" x14ac:dyDescent="0.25">
      <c r="A48" s="23">
        <v>2</v>
      </c>
      <c r="B48" s="5">
        <v>1.15E-2</v>
      </c>
      <c r="C48" s="5">
        <v>0.3921</v>
      </c>
      <c r="D48" s="5">
        <v>3.0099999999999998E-2</v>
      </c>
      <c r="E48" s="5">
        <v>2.2090000000000001</v>
      </c>
      <c r="F48" s="5">
        <v>10.57</v>
      </c>
      <c r="G48" s="5">
        <v>0.17749999999999999</v>
      </c>
      <c r="H48" s="5">
        <v>5.1499999999999997E-2</v>
      </c>
      <c r="I48" s="5">
        <v>8.4599999999999996E-4</v>
      </c>
      <c r="J48" s="5">
        <v>1.129</v>
      </c>
      <c r="K48" s="5">
        <v>10.96</v>
      </c>
      <c r="L48" s="5">
        <v>3.47E-3</v>
      </c>
      <c r="M48" s="5">
        <v>1.016</v>
      </c>
      <c r="N48" s="5">
        <v>5.1799999999999999E-2</v>
      </c>
      <c r="O48" s="5">
        <v>0.25359999999999999</v>
      </c>
    </row>
    <row r="49" spans="1:15" x14ac:dyDescent="0.25">
      <c r="A49" s="23">
        <v>2</v>
      </c>
      <c r="B49" s="5">
        <v>1.83E-2</v>
      </c>
      <c r="C49" s="5">
        <v>0.75170000000000003</v>
      </c>
      <c r="D49" s="5">
        <v>4.8800000000000003E-2</v>
      </c>
      <c r="E49" s="5">
        <v>3.1219999999999999</v>
      </c>
      <c r="F49" s="5">
        <v>1.583</v>
      </c>
      <c r="G49" s="5">
        <v>0.30890000000000001</v>
      </c>
      <c r="H49" s="5">
        <v>0.18260000000000001</v>
      </c>
      <c r="I49" s="5">
        <v>1.34E-5</v>
      </c>
      <c r="J49" s="5">
        <v>2.6599999999999999E-2</v>
      </c>
      <c r="K49" s="5">
        <v>3.444</v>
      </c>
      <c r="L49" s="5">
        <v>2.5300000000000001E-3</v>
      </c>
      <c r="M49" s="5">
        <v>0.31590000000000001</v>
      </c>
      <c r="N49" s="5">
        <v>2.8500000000000001E-2</v>
      </c>
      <c r="O49" s="5">
        <v>0.25380000000000003</v>
      </c>
    </row>
    <row r="50" spans="1:15" x14ac:dyDescent="0.25">
      <c r="A50" s="45">
        <v>1</v>
      </c>
      <c r="B50" s="5">
        <v>5.9199999999999997E-4</v>
      </c>
      <c r="C50" s="5">
        <v>2.6700000000000002E-2</v>
      </c>
      <c r="D50" s="5">
        <v>0.1164</v>
      </c>
      <c r="E50" s="5">
        <v>1.3660000000000001</v>
      </c>
      <c r="F50" s="5">
        <v>0.19020000000000001</v>
      </c>
      <c r="G50" s="5"/>
      <c r="H50" s="5">
        <v>0.25390000000000001</v>
      </c>
      <c r="I50" s="5">
        <v>2.87E-2</v>
      </c>
      <c r="J50" s="5">
        <v>3.028</v>
      </c>
      <c r="K50" s="5">
        <v>2.6800000000000001E-2</v>
      </c>
      <c r="L50" s="5">
        <v>4.6199999999999998E-2</v>
      </c>
      <c r="M50" s="5">
        <v>0.33679999999999999</v>
      </c>
      <c r="N50" s="5">
        <v>0.2586</v>
      </c>
      <c r="O50" s="5">
        <v>2.8380000000000001</v>
      </c>
    </row>
    <row r="51" spans="1:15" x14ac:dyDescent="0.25">
      <c r="A51" s="45">
        <v>1</v>
      </c>
      <c r="B51" s="5">
        <v>4.3000000000000003E-6</v>
      </c>
      <c r="C51" s="5">
        <v>8.8700000000000001E-5</v>
      </c>
      <c r="D51" s="5">
        <v>3.5910000000000002</v>
      </c>
      <c r="E51" s="5">
        <v>7.3659999999999997</v>
      </c>
      <c r="F51" s="5">
        <v>5.8040000000000003</v>
      </c>
      <c r="G51" s="5"/>
      <c r="H51" s="5">
        <v>23.5</v>
      </c>
      <c r="I51" s="5">
        <v>3.46</v>
      </c>
      <c r="J51" s="5">
        <v>0.84199999999999997</v>
      </c>
      <c r="K51" s="5">
        <v>3.4099999999999999E-4</v>
      </c>
      <c r="L51" s="5">
        <v>1.88E-5</v>
      </c>
      <c r="M51" s="5">
        <v>7.7619999999999996</v>
      </c>
      <c r="N51" s="5">
        <v>0.1681</v>
      </c>
      <c r="O51" s="5">
        <v>5.2610000000000001</v>
      </c>
    </row>
    <row r="52" spans="1:15" x14ac:dyDescent="0.25">
      <c r="A52" s="45">
        <v>1</v>
      </c>
      <c r="B52" s="5">
        <v>1.0145E-4</v>
      </c>
      <c r="C52" s="5">
        <v>5.4149999999999997E-2</v>
      </c>
      <c r="D52" s="5">
        <v>0.12575</v>
      </c>
      <c r="E52" s="5">
        <v>0.89870000000000005</v>
      </c>
      <c r="F52" s="5">
        <v>3.6249999999999998E-2</v>
      </c>
      <c r="G52" s="5">
        <v>7.0550000000000005E-3</v>
      </c>
      <c r="H52" s="5">
        <v>0.37175000000000002</v>
      </c>
      <c r="I52" s="5">
        <v>5.1249999999999997E-2</v>
      </c>
      <c r="J52" s="5">
        <v>1.4565E-2</v>
      </c>
      <c r="K52" s="5">
        <v>4.9750000000000003E-3</v>
      </c>
      <c r="L52" s="5">
        <v>2.3709999999999998E-2</v>
      </c>
      <c r="M52" s="5">
        <v>8.9175000000000004</v>
      </c>
      <c r="N52" s="5">
        <v>0.1152</v>
      </c>
      <c r="O52" s="5">
        <v>16.920000000000002</v>
      </c>
    </row>
    <row r="53" spans="1:15" x14ac:dyDescent="0.25">
      <c r="A53" s="45">
        <v>1</v>
      </c>
      <c r="B53" s="5">
        <v>7.7364001487500005</v>
      </c>
      <c r="C53" s="5">
        <v>9.3959075E-3</v>
      </c>
      <c r="D53" s="5">
        <v>1584.9023333333334</v>
      </c>
      <c r="E53" s="5">
        <v>445.91475000000003</v>
      </c>
      <c r="F53" s="5">
        <v>1249.5777250000001</v>
      </c>
      <c r="G53" s="5">
        <v>10.443737499999999</v>
      </c>
      <c r="H53" s="5">
        <v>0.42198000000000002</v>
      </c>
      <c r="I53" s="5">
        <v>53.442749999999997</v>
      </c>
      <c r="J53" s="5">
        <v>1.5766333333333333</v>
      </c>
      <c r="K53" s="5">
        <v>0.12990251584999998</v>
      </c>
      <c r="L53" s="5">
        <v>8.150265000000001</v>
      </c>
      <c r="M53" s="5">
        <v>301.39052499999997</v>
      </c>
      <c r="N53" s="5">
        <v>1.3671957800000002E-2</v>
      </c>
      <c r="O53" s="5">
        <v>4.5095168250000004</v>
      </c>
    </row>
    <row r="54" spans="1:15" x14ac:dyDescent="0.25">
      <c r="A54" s="45">
        <v>1</v>
      </c>
      <c r="B54" s="5">
        <v>2.6167646666666669E-2</v>
      </c>
      <c r="C54" s="5">
        <v>2.1329399999999999E-5</v>
      </c>
      <c r="D54" s="5">
        <v>29.2697</v>
      </c>
      <c r="E54" s="5">
        <v>222.33186666666666</v>
      </c>
      <c r="F54" s="5">
        <v>51.239466666666658</v>
      </c>
      <c r="G54" s="5">
        <v>0.10749333333333333</v>
      </c>
      <c r="H54" s="5">
        <v>0.26850174666666665</v>
      </c>
      <c r="I54" s="5">
        <v>1.709966969333333</v>
      </c>
      <c r="J54" s="5">
        <v>0.69507666666666668</v>
      </c>
      <c r="K54" s="5">
        <v>3.7100000000000001E-2</v>
      </c>
      <c r="L54" s="5">
        <v>1.3988148666666667E-2</v>
      </c>
      <c r="M54" s="5">
        <v>28.793999999999997</v>
      </c>
      <c r="N54" s="5">
        <v>0.85506666666666664</v>
      </c>
      <c r="O54" s="5">
        <v>2.5223</v>
      </c>
    </row>
    <row r="55" spans="1:15" x14ac:dyDescent="0.25">
      <c r="A55" s="45">
        <v>1</v>
      </c>
      <c r="B55" s="5">
        <v>1.23287398E-2</v>
      </c>
      <c r="C55" s="5">
        <v>1.9160045600000002E-2</v>
      </c>
      <c r="D55" s="5">
        <v>0.3085</v>
      </c>
      <c r="E55" s="5">
        <v>4.8184000000000005</v>
      </c>
      <c r="F55" s="5">
        <v>6.04284</v>
      </c>
      <c r="G55" s="5">
        <v>0.97726360000000001</v>
      </c>
      <c r="H55" s="5">
        <v>0.16343480000000002</v>
      </c>
      <c r="I55" s="5">
        <v>3.4232999999999998E-3</v>
      </c>
      <c r="J55" s="5">
        <v>0.40018000000000004</v>
      </c>
      <c r="K55" s="5">
        <v>2.6063219999999998E-2</v>
      </c>
      <c r="L55" s="5">
        <v>1.1050000000000001E-2</v>
      </c>
      <c r="M55" s="5">
        <v>7.6078000000000001</v>
      </c>
      <c r="N55" s="5">
        <v>8.6600228000000001E-2</v>
      </c>
      <c r="O55" s="5">
        <v>3.6447314</v>
      </c>
    </row>
    <row r="56" spans="1:15" x14ac:dyDescent="0.25">
      <c r="A56" s="45">
        <v>1</v>
      </c>
      <c r="B56" s="5">
        <v>1.8850000000000001E-5</v>
      </c>
      <c r="C56" s="5">
        <v>7.2599999999999998E-2</v>
      </c>
      <c r="D56" s="5">
        <v>5.935E-2</v>
      </c>
      <c r="E56" s="5">
        <v>1.1493500000000001</v>
      </c>
      <c r="F56" s="5">
        <v>4.2549999999999998E-2</v>
      </c>
      <c r="G56" s="5">
        <v>1.4550000000000001E-3</v>
      </c>
      <c r="H56" s="5">
        <v>0.27780000000000005</v>
      </c>
      <c r="I56" s="5">
        <v>4.795E-2</v>
      </c>
      <c r="J56" s="5">
        <v>1.97565E-4</v>
      </c>
      <c r="K56" s="5">
        <v>1.3615000000000001E-3</v>
      </c>
      <c r="L56" s="5">
        <v>2.1974999999999998E-2</v>
      </c>
      <c r="M56" s="5">
        <v>9.8125</v>
      </c>
      <c r="N56" s="5">
        <v>0.11215</v>
      </c>
      <c r="O56" s="5">
        <v>7.4824999999999999</v>
      </c>
    </row>
    <row r="57" spans="1:15" x14ac:dyDescent="0.25">
      <c r="A57" s="45">
        <v>1</v>
      </c>
      <c r="B57" s="5">
        <v>3.1349999999999998E-4</v>
      </c>
      <c r="C57" s="5">
        <v>0.16539999999999999</v>
      </c>
      <c r="D57" s="5">
        <v>0.15720000000000001</v>
      </c>
      <c r="E57" s="5">
        <v>0.98665000000000003</v>
      </c>
      <c r="F57" s="5">
        <v>6.4250000000000002E-2</v>
      </c>
      <c r="G57" s="5">
        <v>6.7949999999999998E-3</v>
      </c>
      <c r="H57" s="5">
        <v>0.309</v>
      </c>
      <c r="I57" s="5">
        <v>8.6400000000000005E-2</v>
      </c>
      <c r="J57" s="5">
        <v>1.6418999999999999E-6</v>
      </c>
      <c r="K57" s="5">
        <v>1.2019999999999999E-3</v>
      </c>
      <c r="L57" s="5">
        <v>3.1850000000000003E-2</v>
      </c>
      <c r="M57" s="5">
        <v>10.454499999999999</v>
      </c>
      <c r="N57" s="5">
        <v>0.24249999999999999</v>
      </c>
      <c r="O57" s="5">
        <v>11.285</v>
      </c>
    </row>
    <row r="58" spans="1:15" x14ac:dyDescent="0.25">
      <c r="A58" s="45">
        <v>1</v>
      </c>
      <c r="B58" s="5"/>
      <c r="C58" s="5"/>
      <c r="D58" s="5">
        <v>1.4</v>
      </c>
      <c r="E58" s="5">
        <v>7.3280000000000003</v>
      </c>
      <c r="F58" s="5">
        <v>2.3400000000000001E-2</v>
      </c>
      <c r="G58" s="5">
        <v>7.9699999999999997E-3</v>
      </c>
      <c r="H58" s="5">
        <v>0.75409999999999999</v>
      </c>
      <c r="I58" s="5">
        <v>0.2447</v>
      </c>
      <c r="J58" s="5">
        <v>9.1899999999999996E-2</v>
      </c>
      <c r="K58" s="5">
        <v>4.1100000000000002E-4</v>
      </c>
      <c r="L58" s="5">
        <v>3.59E-4</v>
      </c>
      <c r="M58" s="5">
        <v>4.5179999999999998</v>
      </c>
      <c r="N58" s="5">
        <v>0.35360000000000003</v>
      </c>
      <c r="O58" s="5">
        <v>3.762</v>
      </c>
    </row>
    <row r="59" spans="1:15" x14ac:dyDescent="0.25">
      <c r="A59" s="45">
        <v>1</v>
      </c>
      <c r="B59" s="5"/>
      <c r="C59" s="5">
        <v>6.5999999999999995E-8</v>
      </c>
      <c r="D59" s="5">
        <v>4.3499999999999997E-2</v>
      </c>
      <c r="E59" s="5">
        <v>1.956</v>
      </c>
      <c r="F59" s="5">
        <v>1.0089999999999999</v>
      </c>
      <c r="G59" s="5">
        <v>0.15110000000000001</v>
      </c>
      <c r="H59" s="5">
        <v>1.6000000000000001E-4</v>
      </c>
      <c r="I59" s="5">
        <v>5.2200000000000004E-7</v>
      </c>
      <c r="J59" s="5">
        <v>1.44E-4</v>
      </c>
      <c r="K59" s="5">
        <v>6.7699999999999998E-4</v>
      </c>
      <c r="L59" s="5">
        <v>8.8500000000000002E-3</v>
      </c>
      <c r="M59" s="5">
        <v>13.74</v>
      </c>
      <c r="N59" s="5">
        <v>3.0400000000000002E-7</v>
      </c>
      <c r="O59" s="5">
        <v>4.6829999999999998</v>
      </c>
    </row>
    <row r="60" spans="1:15" x14ac:dyDescent="0.25">
      <c r="A60" s="45">
        <v>1</v>
      </c>
      <c r="B60" s="5">
        <v>2.0100000000000001E-7</v>
      </c>
      <c r="C60" s="5">
        <v>6.2799999999999995E-2</v>
      </c>
      <c r="D60" s="5">
        <v>0.20780000000000001</v>
      </c>
      <c r="E60" s="5">
        <v>1.748</v>
      </c>
      <c r="F60" s="5">
        <v>0.12379999999999999</v>
      </c>
      <c r="G60" s="5">
        <v>3.14E-3</v>
      </c>
      <c r="H60" s="5">
        <v>0.46789999999999998</v>
      </c>
      <c r="I60" s="5">
        <v>9.5700000000000004E-3</v>
      </c>
      <c r="J60" s="5">
        <v>3.6300000000000001E-5</v>
      </c>
      <c r="K60" s="5">
        <v>1.0699999999999999E-2</v>
      </c>
      <c r="L60" s="5">
        <v>6.0400000000000004E-4</v>
      </c>
      <c r="M60" s="5">
        <v>8.8650000000000002</v>
      </c>
      <c r="N60" s="5">
        <v>0.21640000000000001</v>
      </c>
      <c r="O60" s="5">
        <v>6.3250000000000002</v>
      </c>
    </row>
    <row r="61" spans="1:15" x14ac:dyDescent="0.25">
      <c r="A61" s="45">
        <v>2</v>
      </c>
      <c r="B61" s="5">
        <v>2.9455000000000002E-2</v>
      </c>
      <c r="C61" s="5">
        <v>4.8369999999999996E-2</v>
      </c>
      <c r="D61" s="5">
        <v>0.31769999999999998</v>
      </c>
      <c r="E61" s="5">
        <v>6.1705000000000005</v>
      </c>
      <c r="F61" s="5">
        <v>0.50780000000000003</v>
      </c>
      <c r="G61" s="5">
        <v>0.47299999999999998</v>
      </c>
      <c r="H61" s="5">
        <v>0.88834999999999997</v>
      </c>
      <c r="I61" s="5">
        <v>5.1916999999999998E-2</v>
      </c>
      <c r="J61" s="5">
        <v>1.0840000000000001</v>
      </c>
      <c r="K61" s="5">
        <v>1.3734999999999999E-2</v>
      </c>
      <c r="L61" s="5">
        <v>2.8700000000000002E-3</v>
      </c>
      <c r="M61" s="5">
        <v>5.5830000000000002</v>
      </c>
      <c r="N61" s="5">
        <v>0.40059999999999996</v>
      </c>
      <c r="O61" s="5">
        <v>1.5629999999999999</v>
      </c>
    </row>
    <row r="62" spans="1:15" x14ac:dyDescent="0.25">
      <c r="A62" s="45">
        <v>2</v>
      </c>
      <c r="B62" s="5"/>
      <c r="C62" s="5">
        <v>6.59E-2</v>
      </c>
      <c r="D62" s="5">
        <v>0.10385</v>
      </c>
      <c r="E62" s="5">
        <v>4.2934999999999999</v>
      </c>
      <c r="F62" s="5">
        <v>0.20824999999999999</v>
      </c>
      <c r="G62" s="5">
        <v>0.60870000000000002</v>
      </c>
      <c r="H62" s="5">
        <v>0.2094</v>
      </c>
      <c r="I62" s="5">
        <v>0.20300000000000001</v>
      </c>
      <c r="J62" s="5">
        <v>2.8250000000000001E-2</v>
      </c>
      <c r="K62" s="5">
        <v>1.6149999999999999E-3</v>
      </c>
      <c r="L62" s="5">
        <v>6.4650000000000003E-3</v>
      </c>
      <c r="M62" s="5">
        <v>13.46</v>
      </c>
      <c r="N62" s="5">
        <v>0.43229999999999996</v>
      </c>
      <c r="O62" s="5">
        <v>1.9910000000000001</v>
      </c>
    </row>
    <row r="63" spans="1:15" x14ac:dyDescent="0.25">
      <c r="A63" s="45">
        <v>2</v>
      </c>
      <c r="B63" s="5"/>
      <c r="C63" s="5">
        <v>0.23830000000000001</v>
      </c>
      <c r="D63" s="5">
        <v>1.08395</v>
      </c>
      <c r="E63" s="5">
        <v>4.0095000000000001</v>
      </c>
      <c r="F63" s="5">
        <v>1.2591999999999999</v>
      </c>
      <c r="G63" s="5">
        <v>1.34395</v>
      </c>
      <c r="H63" s="5">
        <v>1.0126999999999999</v>
      </c>
      <c r="I63" s="5">
        <v>0.14449999999999999</v>
      </c>
      <c r="J63" s="5">
        <v>2.7549999999999997E-4</v>
      </c>
      <c r="K63" s="5">
        <v>6.0449999999999997E-2</v>
      </c>
      <c r="L63" s="5">
        <v>9.1199999999999996E-3</v>
      </c>
      <c r="M63" s="5">
        <v>9.8535000000000004</v>
      </c>
      <c r="N63" s="5">
        <v>0.74544999999999995</v>
      </c>
      <c r="O63" s="5">
        <v>1.0874999999999999</v>
      </c>
    </row>
    <row r="64" spans="1:15" x14ac:dyDescent="0.25">
      <c r="A64" s="45">
        <v>2</v>
      </c>
      <c r="B64" s="5">
        <v>0.2087</v>
      </c>
      <c r="C64" s="5">
        <v>0.25495000000000001</v>
      </c>
      <c r="D64" s="5">
        <v>1.7256</v>
      </c>
      <c r="E64" s="5">
        <v>7.1735000000000007</v>
      </c>
      <c r="F64" s="5">
        <v>3.1871499999999999</v>
      </c>
      <c r="G64" s="5">
        <v>3.1147</v>
      </c>
      <c r="H64" s="5">
        <v>1.2419499999999999</v>
      </c>
      <c r="I64" s="5">
        <v>6.7650505E-2</v>
      </c>
      <c r="J64" s="5">
        <v>0.14029999999999998</v>
      </c>
      <c r="K64" s="5">
        <v>0.14360000000000001</v>
      </c>
      <c r="L64" s="5">
        <v>5.47E-3</v>
      </c>
      <c r="M64" s="5">
        <v>8.3665000000000003</v>
      </c>
      <c r="N64" s="5">
        <v>0.35624999999999996</v>
      </c>
      <c r="O64" s="5">
        <v>3.87</v>
      </c>
    </row>
    <row r="65" spans="1:15" x14ac:dyDescent="0.25">
      <c r="A65" s="45">
        <v>2</v>
      </c>
      <c r="B65" s="5">
        <v>9.8619999999999992E-3</v>
      </c>
      <c r="C65" s="5">
        <v>6.4299999999999996E-2</v>
      </c>
      <c r="D65" s="5">
        <v>0.14934999999999998</v>
      </c>
      <c r="E65" s="5">
        <v>5.1315</v>
      </c>
      <c r="F65" s="5">
        <v>7.4449999999999988E-2</v>
      </c>
      <c r="G65" s="5">
        <v>4.0149999999999998E-2</v>
      </c>
      <c r="H65" s="5">
        <v>0.63355000000000006</v>
      </c>
      <c r="I65" s="5">
        <v>2.095E-2</v>
      </c>
      <c r="J65" s="5">
        <v>0.23594999999999999</v>
      </c>
      <c r="K65" s="5">
        <v>1.0620000000000001E-2</v>
      </c>
      <c r="L65" s="5">
        <v>6.6550000000000003E-3</v>
      </c>
      <c r="M65" s="5">
        <v>10.969999999999999</v>
      </c>
      <c r="N65" s="5">
        <v>9.8849999999999993E-2</v>
      </c>
      <c r="O65" s="5">
        <v>6.0759999999999996</v>
      </c>
    </row>
    <row r="66" spans="1:15" x14ac:dyDescent="0.25">
      <c r="A66" s="45">
        <v>2</v>
      </c>
      <c r="B66" s="5"/>
      <c r="C66" s="5"/>
      <c r="D66" s="5">
        <v>0.21754999999999999</v>
      </c>
      <c r="E66" s="5">
        <v>6.0309999999999997</v>
      </c>
      <c r="F66" s="5">
        <v>0.2409</v>
      </c>
      <c r="G66" s="5">
        <v>0.3402</v>
      </c>
      <c r="H66" s="5">
        <v>0.72110000000000007</v>
      </c>
      <c r="I66" s="5">
        <v>8.6899999999999991E-2</v>
      </c>
      <c r="J66" s="5">
        <v>1.1769999999999999E-2</v>
      </c>
      <c r="K66" s="5">
        <v>3.85E-2</v>
      </c>
      <c r="L66" s="5">
        <v>1.1370000000000002E-2</v>
      </c>
      <c r="M66" s="5">
        <v>7.8580000000000005</v>
      </c>
      <c r="N66" s="5">
        <v>0.28690000000000004</v>
      </c>
      <c r="O66" s="5">
        <v>2.4379999999999997</v>
      </c>
    </row>
    <row r="67" spans="1:15" x14ac:dyDescent="0.25">
      <c r="A67" s="45">
        <v>2</v>
      </c>
      <c r="B67" s="5">
        <v>1.465E-2</v>
      </c>
      <c r="C67" s="5">
        <v>5.1499999999999997E-2</v>
      </c>
      <c r="D67" s="5">
        <v>0.28305000000000002</v>
      </c>
      <c r="E67" s="5">
        <v>3.2044999999999999</v>
      </c>
      <c r="F67" s="5">
        <v>0.31190000000000001</v>
      </c>
      <c r="G67" s="5">
        <v>0.47945000000000004</v>
      </c>
      <c r="H67" s="5">
        <v>0.72820000000000007</v>
      </c>
      <c r="I67" s="5">
        <v>0.11384</v>
      </c>
      <c r="J67" s="5">
        <v>4.8213399999999997E-2</v>
      </c>
      <c r="K67" s="5">
        <v>9.5500000000000002E-2</v>
      </c>
      <c r="L67" s="5">
        <v>7.4099999999999999E-3</v>
      </c>
      <c r="M67" s="5">
        <v>7.9879999999999995</v>
      </c>
      <c r="N67" s="5">
        <v>0.1837</v>
      </c>
      <c r="O67" s="5">
        <v>1.9765000000000001</v>
      </c>
    </row>
    <row r="68" spans="1:15" x14ac:dyDescent="0.25">
      <c r="A68" s="45">
        <v>2</v>
      </c>
      <c r="B68" s="5"/>
      <c r="C68" s="5"/>
      <c r="D68" s="5">
        <v>1.67455</v>
      </c>
      <c r="E68" s="5">
        <v>4.6055000000000001</v>
      </c>
      <c r="F68" s="5">
        <v>2.1905000000000001</v>
      </c>
      <c r="G68" s="5">
        <v>6.3985000000000003</v>
      </c>
      <c r="H68" s="5">
        <v>1.7675000000000001</v>
      </c>
      <c r="I68" s="5">
        <v>0.38664999999999999</v>
      </c>
      <c r="J68" s="5">
        <v>3.1E-4</v>
      </c>
      <c r="K68" s="5">
        <v>0.12072255</v>
      </c>
      <c r="L68" s="5">
        <v>5.8649999999999996E-3</v>
      </c>
      <c r="M68" s="5">
        <v>4.9960000000000004</v>
      </c>
      <c r="N68" s="5">
        <v>0.33036500000000002</v>
      </c>
      <c r="O68" s="5">
        <v>1.3976500000000001</v>
      </c>
    </row>
    <row r="69" spans="1:15" x14ac:dyDescent="0.25">
      <c r="A69" s="45">
        <v>2</v>
      </c>
      <c r="B69" s="5">
        <v>2.2250064E-2</v>
      </c>
      <c r="C69" s="5"/>
      <c r="D69" s="5">
        <v>0.45265</v>
      </c>
      <c r="E69" s="5">
        <v>4.2204999999999995</v>
      </c>
      <c r="F69" s="5">
        <v>0.43559999999999999</v>
      </c>
      <c r="G69" s="5">
        <v>0.56525000000000003</v>
      </c>
      <c r="H69" s="5">
        <v>0.82869999999999999</v>
      </c>
      <c r="I69" s="5">
        <v>6.6400000000000001E-3</v>
      </c>
      <c r="J69" s="5">
        <v>9.7455E-2</v>
      </c>
      <c r="K69" s="5">
        <v>5.1650000000000002E-5</v>
      </c>
      <c r="L69" s="5">
        <v>1.6709999999999999E-2</v>
      </c>
      <c r="M69" s="5">
        <v>6.4085000000000001</v>
      </c>
      <c r="N69" s="5">
        <v>0.21124999999999999</v>
      </c>
      <c r="O69" s="5">
        <v>2.2160000000000002</v>
      </c>
    </row>
    <row r="70" spans="1:15" x14ac:dyDescent="0.25">
      <c r="A70" s="45">
        <v>2</v>
      </c>
      <c r="B70" s="5"/>
      <c r="C70" s="5"/>
      <c r="D70" s="5">
        <v>1.99</v>
      </c>
      <c r="E70" s="5">
        <v>2.9430000000000001</v>
      </c>
      <c r="F70" s="5">
        <v>1.7761499999999999</v>
      </c>
      <c r="G70" s="5">
        <v>3.5059999999999998</v>
      </c>
      <c r="H70" s="5">
        <v>2.4895</v>
      </c>
      <c r="I70" s="5">
        <v>0.35699999999999998</v>
      </c>
      <c r="J70" s="5"/>
      <c r="K70" s="5"/>
      <c r="L70" s="5">
        <v>1.5250000000000001E-3</v>
      </c>
      <c r="M70" s="5">
        <v>4.4124999999999996</v>
      </c>
      <c r="N70" s="5">
        <v>1.16405</v>
      </c>
      <c r="O70" s="5"/>
    </row>
    <row r="71" spans="1:15" x14ac:dyDescent="0.25">
      <c r="A71" s="45">
        <v>2</v>
      </c>
      <c r="B71" s="5"/>
      <c r="C71" s="5">
        <v>0.16669999999999999</v>
      </c>
      <c r="D71" s="5">
        <v>0.74604999999999999</v>
      </c>
      <c r="E71" s="5">
        <v>13.272500000000001</v>
      </c>
      <c r="F71" s="5">
        <v>0.51500000000000001</v>
      </c>
      <c r="G71" s="5">
        <v>0.85640000000000005</v>
      </c>
      <c r="H71" s="5">
        <v>1.9351500000000001</v>
      </c>
      <c r="I71" s="5">
        <v>0.94820000000000004</v>
      </c>
      <c r="J71" s="5">
        <v>0.56735000000000002</v>
      </c>
      <c r="K71" s="5"/>
      <c r="L71" s="5">
        <v>1.8045000000000002E-2</v>
      </c>
      <c r="M71" s="5">
        <v>31.7255</v>
      </c>
      <c r="N71" s="5">
        <v>4.9849999999999998E-2</v>
      </c>
      <c r="O71" s="5">
        <v>0.42730000000000001</v>
      </c>
    </row>
    <row r="72" spans="1:15" x14ac:dyDescent="0.25">
      <c r="A72" s="45">
        <v>2</v>
      </c>
      <c r="B72" s="5">
        <v>1.9749103999999997</v>
      </c>
      <c r="C72" s="5">
        <v>3.8815000000000002E-2</v>
      </c>
      <c r="D72" s="5">
        <v>1.682566666666667</v>
      </c>
      <c r="E72" s="5">
        <v>3.6646666666666667</v>
      </c>
      <c r="F72" s="5">
        <v>15.772233333333332</v>
      </c>
      <c r="G72" s="5">
        <v>1.9125533333333333</v>
      </c>
      <c r="H72" s="5">
        <v>0.37001066666666671</v>
      </c>
      <c r="I72" s="5">
        <v>1.3235723000000001</v>
      </c>
      <c r="J72" s="5">
        <v>0.93623333333333336</v>
      </c>
      <c r="K72" s="5">
        <v>1.4841333333333333E-2</v>
      </c>
      <c r="L72" s="5">
        <v>1.79461E-2</v>
      </c>
      <c r="M72" s="5">
        <v>15.256333333333336</v>
      </c>
      <c r="N72" s="5">
        <v>0.58060333333333336</v>
      </c>
      <c r="O72" s="5">
        <v>1.3277033333333332</v>
      </c>
    </row>
    <row r="73" spans="1:15" x14ac:dyDescent="0.25">
      <c r="A73" s="45">
        <v>2</v>
      </c>
      <c r="B73" s="5"/>
      <c r="C73" s="5">
        <v>8.5949999999999999E-2</v>
      </c>
      <c r="D73" s="5">
        <v>0.1651</v>
      </c>
      <c r="E73" s="5">
        <v>1.6124999999999998</v>
      </c>
      <c r="F73" s="5">
        <v>0.15145</v>
      </c>
      <c r="G73" s="5">
        <v>4.3449999999999999E-3</v>
      </c>
      <c r="H73" s="5">
        <v>0.86765000000000003</v>
      </c>
      <c r="I73" s="5">
        <v>0.11935</v>
      </c>
      <c r="J73" s="5">
        <v>2.46E-2</v>
      </c>
      <c r="K73" s="5">
        <v>8.115E-2</v>
      </c>
      <c r="L73" s="5">
        <v>1.8735999999999999E-2</v>
      </c>
      <c r="M73" s="5">
        <v>9.410499999999999</v>
      </c>
      <c r="N73" s="5">
        <v>3.6049999999999999E-2</v>
      </c>
      <c r="O73" s="5">
        <v>6.7264999999999997</v>
      </c>
    </row>
    <row r="74" spans="1:15" x14ac:dyDescent="0.25">
      <c r="A74" s="45">
        <v>2</v>
      </c>
      <c r="B74" s="5">
        <v>2.16E-3</v>
      </c>
      <c r="C74" s="5">
        <v>0.11585000000000001</v>
      </c>
      <c r="D74" s="5">
        <v>0.17954999999999999</v>
      </c>
      <c r="E74" s="5">
        <v>1.4175</v>
      </c>
      <c r="F74" s="5">
        <v>3.5529999999999999</v>
      </c>
      <c r="G74" s="5">
        <v>3.8349999999999999E-3</v>
      </c>
      <c r="H74" s="5">
        <v>0.58584999999999998</v>
      </c>
      <c r="I74" s="5">
        <v>0.12609999999999999</v>
      </c>
      <c r="J74" s="5">
        <v>16.594999999999999</v>
      </c>
      <c r="K74" s="5">
        <v>0.45424999999999999</v>
      </c>
      <c r="L74" s="5">
        <v>7.3999999999999996E-2</v>
      </c>
      <c r="M74" s="5">
        <v>4.2690000000000001</v>
      </c>
      <c r="N74" s="5">
        <v>8.5949999999999999E-2</v>
      </c>
      <c r="O74" s="5">
        <v>5.0440000000000005</v>
      </c>
    </row>
    <row r="75" spans="1:15" x14ac:dyDescent="0.25">
      <c r="A75" s="45">
        <v>2</v>
      </c>
      <c r="B75" s="5">
        <v>1.2555E-2</v>
      </c>
      <c r="C75" s="5">
        <v>0.1749</v>
      </c>
      <c r="D75" s="5">
        <v>0.34279999999999999</v>
      </c>
      <c r="E75" s="5">
        <v>1.8940000000000001</v>
      </c>
      <c r="F75" s="5">
        <v>0.35865000000000002</v>
      </c>
      <c r="G75" s="5">
        <v>5.5649999999999998E-2</v>
      </c>
      <c r="H75" s="5">
        <v>0.67514999999999992</v>
      </c>
      <c r="I75" s="5">
        <v>0.18830000000000002</v>
      </c>
      <c r="J75" s="5">
        <v>0.27984999999999999</v>
      </c>
      <c r="K75" s="5">
        <v>4.2849999999999999E-2</v>
      </c>
      <c r="L75" s="5">
        <v>3.81955E-2</v>
      </c>
      <c r="M75" s="5">
        <v>3.6419999999999999</v>
      </c>
      <c r="N75" s="5">
        <v>0.13020000000000001</v>
      </c>
      <c r="O75" s="5">
        <v>8.6344999999999992</v>
      </c>
    </row>
    <row r="76" spans="1:15" x14ac:dyDescent="0.25">
      <c r="A76" s="45">
        <v>2</v>
      </c>
      <c r="B76" s="5">
        <v>0.98059300520000003</v>
      </c>
      <c r="C76" s="5">
        <v>0.15502105618000001</v>
      </c>
      <c r="D76" s="5">
        <v>0.72019600000000006</v>
      </c>
      <c r="E76" s="5">
        <v>16.1447</v>
      </c>
      <c r="F76" s="5">
        <v>3.6669400000000003</v>
      </c>
      <c r="G76" s="5">
        <v>0.95580654600000003</v>
      </c>
      <c r="H76" s="5">
        <v>9.1240524399999995E-2</v>
      </c>
      <c r="I76" s="5">
        <v>3.1203400399999999E-3</v>
      </c>
      <c r="J76" s="5">
        <v>8.0760898000000023E-4</v>
      </c>
      <c r="K76" s="5">
        <v>0.16431298</v>
      </c>
      <c r="L76" s="5">
        <v>0.58779999999999999</v>
      </c>
      <c r="M76" s="5">
        <v>0.62544609999999989</v>
      </c>
      <c r="N76" s="5">
        <v>4.3042201202200001</v>
      </c>
      <c r="O76" s="5">
        <v>6.5906000000000003E-3</v>
      </c>
    </row>
    <row r="77" spans="1:15" x14ac:dyDescent="0.25">
      <c r="A77" s="45">
        <v>2</v>
      </c>
      <c r="B77" s="5">
        <v>0.88161699999999998</v>
      </c>
      <c r="C77" s="5">
        <v>0.23906671099999999</v>
      </c>
      <c r="D77" s="5">
        <v>0.12256666666666667</v>
      </c>
      <c r="E77" s="5">
        <v>4.1500000000000004</v>
      </c>
      <c r="F77" s="5">
        <v>2.5104333333333337</v>
      </c>
      <c r="G77" s="5">
        <v>0.96287333333333336</v>
      </c>
      <c r="H77" s="5">
        <v>0.99369999999999992</v>
      </c>
      <c r="I77" s="5">
        <v>7.4001973333333346E-2</v>
      </c>
      <c r="J77" s="5">
        <v>0.13697133333333333</v>
      </c>
      <c r="K77" s="5">
        <v>4.6275099999999993E-2</v>
      </c>
      <c r="L77" s="5">
        <v>0.44753333333333334</v>
      </c>
      <c r="M77" s="5">
        <v>2.05436</v>
      </c>
      <c r="N77" s="5">
        <v>7.0566666666666666E-2</v>
      </c>
      <c r="O77" s="5">
        <v>1.4777333333333333</v>
      </c>
    </row>
    <row r="78" spans="1:15" x14ac:dyDescent="0.25">
      <c r="A78" s="45">
        <v>2</v>
      </c>
      <c r="B78" s="5">
        <v>1.44E-2</v>
      </c>
      <c r="C78" s="5">
        <v>0.65559999999999996</v>
      </c>
      <c r="D78" s="5">
        <v>0.82789999999999997</v>
      </c>
      <c r="E78" s="5">
        <v>4.992</v>
      </c>
      <c r="F78" s="5">
        <v>0.56189999999999996</v>
      </c>
      <c r="G78" s="5">
        <v>1.98E-3</v>
      </c>
      <c r="H78" s="5">
        <v>0.87619999999999998</v>
      </c>
      <c r="I78" s="5">
        <v>0.53580000000000005</v>
      </c>
      <c r="J78" s="5">
        <v>16.690000000000001</v>
      </c>
      <c r="K78" s="5">
        <v>0.14119999999999999</v>
      </c>
      <c r="L78" s="5">
        <v>4.3400000000000001E-2</v>
      </c>
      <c r="M78" s="5">
        <v>1.9490000000000001</v>
      </c>
      <c r="N78" s="5">
        <v>0.14630000000000001</v>
      </c>
      <c r="O78" s="5">
        <v>3.052</v>
      </c>
    </row>
    <row r="79" spans="1:15" x14ac:dyDescent="0.25">
      <c r="A79" s="45">
        <v>2</v>
      </c>
      <c r="B79" s="5">
        <v>0.14464250000000001</v>
      </c>
      <c r="C79" s="5">
        <v>6.2175449999999993E-2</v>
      </c>
      <c r="D79" s="5">
        <v>0.28952500000000003</v>
      </c>
      <c r="E79" s="5">
        <v>1.4446250000000003</v>
      </c>
      <c r="F79" s="5">
        <v>0.40907499999999997</v>
      </c>
      <c r="G79" s="5">
        <v>0.13893333333333333</v>
      </c>
      <c r="H79" s="5">
        <v>0.43409999999999993</v>
      </c>
      <c r="I79" s="5">
        <v>0.19521966666666668</v>
      </c>
      <c r="J79" s="5">
        <v>0.29337795</v>
      </c>
      <c r="K79" s="5">
        <v>2.622155E-4</v>
      </c>
      <c r="L79" s="5">
        <v>2.0029999999999999E-2</v>
      </c>
      <c r="M79" s="5">
        <v>2.5724999999999998</v>
      </c>
      <c r="N79" s="5">
        <v>9.7075080999999994E-2</v>
      </c>
      <c r="O79" s="5">
        <v>3.4176666666666669</v>
      </c>
    </row>
    <row r="80" spans="1:15" x14ac:dyDescent="0.25">
      <c r="A80" s="45">
        <v>2</v>
      </c>
      <c r="B80" s="5">
        <v>5.5994249999999999E-3</v>
      </c>
      <c r="C80" s="5">
        <v>8.7575E-2</v>
      </c>
      <c r="D80" s="5">
        <v>0.11860000000000001</v>
      </c>
      <c r="E80" s="5">
        <v>2.2950000000000004</v>
      </c>
      <c r="F80" s="5">
        <v>0.32835000000000003</v>
      </c>
      <c r="G80" s="5">
        <v>1.8272500000000001E-2</v>
      </c>
      <c r="H80" s="5">
        <v>0.82272500000000004</v>
      </c>
      <c r="I80" s="5">
        <v>5.5324999999999999E-2</v>
      </c>
      <c r="J80" s="5">
        <v>3.9295000000000004</v>
      </c>
      <c r="K80" s="5">
        <v>5.4984999999999999E-3</v>
      </c>
      <c r="L80" s="5">
        <v>3.1917500000000001E-2</v>
      </c>
      <c r="M80" s="5">
        <v>4.2930000000000001</v>
      </c>
      <c r="N80" s="5">
        <v>0.24957499999999999</v>
      </c>
      <c r="O80" s="5">
        <v>3.1742499999999998</v>
      </c>
    </row>
    <row r="81" spans="1:15" x14ac:dyDescent="0.25">
      <c r="A81" s="45">
        <v>2</v>
      </c>
      <c r="B81" s="5">
        <v>2.6439999999999998E-2</v>
      </c>
      <c r="C81" s="5">
        <v>0.11085</v>
      </c>
      <c r="D81" s="5">
        <v>0.45724999999999999</v>
      </c>
      <c r="E81" s="5">
        <v>2.5785</v>
      </c>
      <c r="F81" s="5">
        <v>0.37245</v>
      </c>
      <c r="G81" s="5">
        <v>1.8200000000000001E-2</v>
      </c>
      <c r="H81" s="5">
        <v>0.58774999999999999</v>
      </c>
      <c r="I81" s="5">
        <v>0.11515</v>
      </c>
      <c r="J81" s="5">
        <v>1.3865000000000001</v>
      </c>
      <c r="K81" s="5">
        <v>4.7479999999999999E-4</v>
      </c>
      <c r="L81" s="5">
        <v>4.8257499999999995E-2</v>
      </c>
      <c r="M81" s="5">
        <v>4.3205</v>
      </c>
      <c r="N81" s="5">
        <v>0.29810000000000003</v>
      </c>
      <c r="O81" s="5">
        <v>3.4464999999999999</v>
      </c>
    </row>
    <row r="82" spans="1:15" x14ac:dyDescent="0.25">
      <c r="A82" s="45">
        <v>2</v>
      </c>
      <c r="B82" s="5">
        <v>0.1336</v>
      </c>
      <c r="C82" s="5">
        <v>7.6399999999999996E-2</v>
      </c>
      <c r="D82" s="5">
        <v>0.16220000000000001</v>
      </c>
      <c r="E82" s="5">
        <v>3.0219999999999998</v>
      </c>
      <c r="F82" s="5">
        <v>1.3220000000000001</v>
      </c>
      <c r="G82" s="5">
        <v>2.31E-4</v>
      </c>
      <c r="H82" s="5">
        <v>1.5049999999999999</v>
      </c>
      <c r="I82" s="5">
        <v>1.9E-2</v>
      </c>
      <c r="J82" s="5">
        <v>3.2559999999999998</v>
      </c>
      <c r="K82" s="5">
        <v>6.3799999999999996E-2</v>
      </c>
      <c r="L82" s="5">
        <v>7.1399999999999996E-3</v>
      </c>
      <c r="M82" s="5">
        <v>4.7</v>
      </c>
      <c r="N82" s="5">
        <v>5.9900000000000002E-2</v>
      </c>
      <c r="O82" s="5">
        <v>5.6420000000000003</v>
      </c>
    </row>
  </sheetData>
  <conditionalFormatting sqref="A1:A49">
    <cfRule type="colorScale" priority="1">
      <colorScale>
        <cfvo type="formula" val="0"/>
        <cfvo type="formula" val="6"/>
        <cfvo type="formula" val="11"/>
        <color rgb="FFFFFFCC"/>
        <color theme="9"/>
        <color rgb="FFC00000"/>
      </colorScale>
    </cfRule>
  </conditionalFormatting>
  <conditionalFormatting sqref="B2:O6 B11:O27 B31:O43">
    <cfRule type="colorScale" priority="4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B7:O10 B50:O82">
    <cfRule type="colorScale" priority="2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B28:O30">
    <cfRule type="colorScale" priority="3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B44:O46">
    <cfRule type="colorScale" priority="5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B47:O49">
    <cfRule type="colorScale" priority="6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1000"/>
  <sheetViews>
    <sheetView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4" customWidth="1"/>
    <col min="2" max="2" width="6.140625" customWidth="1"/>
    <col min="3" max="39" width="4" customWidth="1"/>
  </cols>
  <sheetData>
    <row r="1" spans="1:39" ht="23.25" customHeight="1" x14ac:dyDescent="0.4">
      <c r="A1" s="1" t="s">
        <v>165</v>
      </c>
      <c r="B1" s="2"/>
      <c r="C1" s="16"/>
      <c r="D1" s="2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4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55"/>
      <c r="AJ1" s="16"/>
      <c r="AK1" s="16"/>
      <c r="AL1" s="56"/>
      <c r="AM1" s="4"/>
    </row>
    <row r="2" spans="1:39" ht="10.5" customHeight="1" x14ac:dyDescent="0.25">
      <c r="A2" s="16"/>
      <c r="B2" s="16"/>
      <c r="C2" s="16"/>
      <c r="D2" s="2"/>
      <c r="E2" s="4"/>
      <c r="F2" s="5" t="s">
        <v>1</v>
      </c>
      <c r="G2" s="5" t="s">
        <v>2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5" t="s">
        <v>8</v>
      </c>
      <c r="N2" s="5" t="s">
        <v>9</v>
      </c>
      <c r="O2" s="5" t="s">
        <v>10</v>
      </c>
      <c r="P2" s="5" t="s">
        <v>11</v>
      </c>
      <c r="Q2" s="5" t="s">
        <v>12</v>
      </c>
      <c r="R2" s="5" t="s">
        <v>13</v>
      </c>
      <c r="S2" s="5" t="s">
        <v>14</v>
      </c>
      <c r="T2" s="4"/>
      <c r="U2" s="5"/>
      <c r="V2" s="12" t="s">
        <v>166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  <c r="AJ2" s="16"/>
      <c r="AK2" s="16"/>
      <c r="AL2" s="56"/>
      <c r="AM2" s="57"/>
    </row>
    <row r="3" spans="1:39" ht="10.5" customHeight="1" x14ac:dyDescent="0.25">
      <c r="A3" s="15"/>
      <c r="B3" s="2"/>
      <c r="C3" s="16"/>
      <c r="D3" s="2"/>
      <c r="E3" s="4"/>
      <c r="F3" s="28" t="s">
        <v>15</v>
      </c>
      <c r="G3" s="28" t="s">
        <v>16</v>
      </c>
      <c r="H3" s="28" t="s">
        <v>17</v>
      </c>
      <c r="I3" s="28" t="s">
        <v>18</v>
      </c>
      <c r="J3" s="28" t="s">
        <v>19</v>
      </c>
      <c r="K3" s="28" t="s">
        <v>20</v>
      </c>
      <c r="L3" s="28" t="s">
        <v>21</v>
      </c>
      <c r="M3" s="28" t="s">
        <v>22</v>
      </c>
      <c r="N3" s="28" t="s">
        <v>23</v>
      </c>
      <c r="O3" s="28" t="s">
        <v>74</v>
      </c>
      <c r="P3" s="28" t="s">
        <v>25</v>
      </c>
      <c r="Q3" s="29" t="s">
        <v>26</v>
      </c>
      <c r="R3" s="29" t="s">
        <v>27</v>
      </c>
      <c r="S3" s="29" t="s">
        <v>28</v>
      </c>
      <c r="T3" s="4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10"/>
      <c r="AH3" s="10"/>
      <c r="AI3" s="6"/>
      <c r="AJ3" s="16"/>
      <c r="AK3" s="16"/>
      <c r="AL3" s="56"/>
      <c r="AM3" s="4"/>
    </row>
    <row r="4" spans="1:39" ht="10.5" customHeight="1" x14ac:dyDescent="0.25">
      <c r="A4" s="15"/>
      <c r="B4" s="2"/>
      <c r="C4" s="16"/>
      <c r="D4" s="2"/>
      <c r="E4" s="11" t="s">
        <v>167</v>
      </c>
      <c r="F4" s="5">
        <v>0.05</v>
      </c>
      <c r="G4" s="5">
        <v>0.16</v>
      </c>
      <c r="H4" s="5">
        <v>0.05</v>
      </c>
      <c r="I4" s="5">
        <v>0.4</v>
      </c>
      <c r="J4" s="5">
        <v>0.36</v>
      </c>
      <c r="K4" s="5">
        <v>1.6999999999999999E-3</v>
      </c>
      <c r="L4" s="5">
        <v>0.1</v>
      </c>
      <c r="M4" s="5">
        <v>0.19</v>
      </c>
      <c r="N4" s="5">
        <v>0.17</v>
      </c>
      <c r="O4" s="5">
        <v>3.3</v>
      </c>
      <c r="P4" s="5">
        <v>4</v>
      </c>
      <c r="Q4" s="5">
        <v>96</v>
      </c>
      <c r="R4" s="5">
        <v>9</v>
      </c>
      <c r="S4" s="5">
        <v>87</v>
      </c>
      <c r="T4" s="4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13"/>
      <c r="AJ4" s="16"/>
      <c r="AK4" s="16"/>
      <c r="AL4" s="56"/>
      <c r="AM4" s="4"/>
    </row>
    <row r="5" spans="1:39" ht="10.5" customHeight="1" x14ac:dyDescent="0.25">
      <c r="A5" s="15"/>
      <c r="B5" s="2"/>
      <c r="C5" s="16"/>
      <c r="D5" s="2"/>
      <c r="E5" s="4" t="s">
        <v>30</v>
      </c>
      <c r="F5" s="4">
        <v>2</v>
      </c>
      <c r="G5" s="4">
        <v>5</v>
      </c>
      <c r="H5" s="4">
        <v>40</v>
      </c>
      <c r="I5" s="4">
        <v>125</v>
      </c>
      <c r="J5" s="4">
        <v>1000</v>
      </c>
      <c r="K5" s="2">
        <v>1.2</v>
      </c>
      <c r="L5" s="4">
        <v>300</v>
      </c>
      <c r="M5" s="4">
        <v>30</v>
      </c>
      <c r="N5" s="4">
        <v>300</v>
      </c>
      <c r="O5" s="4">
        <v>80</v>
      </c>
      <c r="P5" s="5">
        <v>9.9999999999999995E-8</v>
      </c>
      <c r="Q5" s="4">
        <v>35000</v>
      </c>
      <c r="R5" s="4">
        <v>200</v>
      </c>
      <c r="S5" s="4">
        <v>10000</v>
      </c>
      <c r="T5" s="4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6"/>
      <c r="AJ5" s="16"/>
      <c r="AK5" s="16"/>
      <c r="AL5" s="56"/>
      <c r="AM5" s="4"/>
    </row>
    <row r="6" spans="1:39" ht="10.5" customHeight="1" x14ac:dyDescent="0.25">
      <c r="A6" s="15"/>
      <c r="B6" s="2"/>
      <c r="C6" s="16"/>
      <c r="D6" s="2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15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6"/>
      <c r="AJ6" s="16"/>
      <c r="AK6" s="16"/>
      <c r="AL6" s="56"/>
      <c r="AM6" s="4"/>
    </row>
    <row r="7" spans="1:39" ht="10.5" customHeight="1" x14ac:dyDescent="0.25">
      <c r="A7" s="15"/>
      <c r="B7" s="58">
        <f>TTEST(B9:B19,B20:B43,2,2)</f>
        <v>1.1880976164538619E-7</v>
      </c>
      <c r="C7" s="16"/>
      <c r="D7" s="2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4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6"/>
      <c r="AJ7" s="16"/>
      <c r="AK7" s="16"/>
      <c r="AL7" s="56"/>
      <c r="AM7" s="4"/>
    </row>
    <row r="8" spans="1:39" ht="10.5" customHeight="1" x14ac:dyDescent="0.25">
      <c r="A8" s="15"/>
      <c r="B8" s="2" t="s">
        <v>130</v>
      </c>
      <c r="C8" s="16"/>
      <c r="D8" s="2" t="s">
        <v>168</v>
      </c>
      <c r="E8" s="4" t="s">
        <v>35</v>
      </c>
      <c r="F8" s="40" t="str">
        <f t="shared" ref="F8:S8" si="0">F3</f>
        <v>HOXA7</v>
      </c>
      <c r="G8" s="40" t="str">
        <f t="shared" si="0"/>
        <v>CENPA</v>
      </c>
      <c r="H8" s="40" t="str">
        <f t="shared" si="0"/>
        <v>NEK2</v>
      </c>
      <c r="I8" s="40" t="str">
        <f t="shared" si="0"/>
        <v>DNMT1</v>
      </c>
      <c r="J8" s="40" t="str">
        <f t="shared" si="0"/>
        <v>INHBA</v>
      </c>
      <c r="K8" s="40" t="str">
        <f t="shared" si="0"/>
        <v>FOXB</v>
      </c>
      <c r="L8" s="40" t="str">
        <f t="shared" si="0"/>
        <v>TOP2A</v>
      </c>
      <c r="M8" s="40" t="str">
        <f t="shared" si="0"/>
        <v>BIRC5</v>
      </c>
      <c r="N8" s="40" t="str">
        <f t="shared" si="0"/>
        <v>MMP13</v>
      </c>
      <c r="O8" s="40" t="str">
        <f t="shared" si="0"/>
        <v>IL8</v>
      </c>
      <c r="P8" s="40" t="str">
        <f t="shared" si="0"/>
        <v>NR3C1</v>
      </c>
      <c r="Q8" s="41" t="str">
        <f t="shared" si="0"/>
        <v>IVL</v>
      </c>
      <c r="R8" s="41" t="str">
        <f t="shared" si="0"/>
        <v>CBX7</v>
      </c>
      <c r="S8" s="5" t="str">
        <f t="shared" si="0"/>
        <v>S100A16</v>
      </c>
      <c r="T8" s="4"/>
      <c r="U8" s="13" t="str">
        <f t="shared" ref="U8:AH8" si="1">F8</f>
        <v>HOXA7</v>
      </c>
      <c r="V8" s="13" t="str">
        <f t="shared" si="1"/>
        <v>CENPA</v>
      </c>
      <c r="W8" s="13" t="str">
        <f t="shared" si="1"/>
        <v>NEK2</v>
      </c>
      <c r="X8" s="13" t="str">
        <f t="shared" si="1"/>
        <v>DNMT1</v>
      </c>
      <c r="Y8" s="13" t="str">
        <f t="shared" si="1"/>
        <v>INHBA</v>
      </c>
      <c r="Z8" s="13" t="str">
        <f t="shared" si="1"/>
        <v>FOXB</v>
      </c>
      <c r="AA8" s="13" t="str">
        <f t="shared" si="1"/>
        <v>TOP2A</v>
      </c>
      <c r="AB8" s="13" t="str">
        <f t="shared" si="1"/>
        <v>BIRC5</v>
      </c>
      <c r="AC8" s="13" t="str">
        <f t="shared" si="1"/>
        <v>MMP13</v>
      </c>
      <c r="AD8" s="13" t="str">
        <f t="shared" si="1"/>
        <v>IL8</v>
      </c>
      <c r="AE8" s="13" t="str">
        <f t="shared" si="1"/>
        <v>NR3C1</v>
      </c>
      <c r="AF8" s="13" t="str">
        <f t="shared" si="1"/>
        <v>IVL</v>
      </c>
      <c r="AG8" s="13" t="str">
        <f t="shared" si="1"/>
        <v>CBX7</v>
      </c>
      <c r="AH8" s="13" t="str">
        <f t="shared" si="1"/>
        <v>S100A16</v>
      </c>
      <c r="AI8" s="6"/>
      <c r="AJ8" s="16" t="s">
        <v>36</v>
      </c>
      <c r="AK8" s="16"/>
      <c r="AL8" s="56"/>
      <c r="AM8" s="4"/>
    </row>
    <row r="9" spans="1:39" ht="10.5" customHeight="1" x14ac:dyDescent="0.25">
      <c r="A9" s="15">
        <v>1</v>
      </c>
      <c r="B9" s="2">
        <f t="shared" ref="B9:B43" si="2">IF(OR(SUM(F9:S9)&lt;0.1,COUNTIF(F9:S9,"&lt;0.000001")&gt;4,SUM(F9:S9)&gt;100000),"",IF(((SUM(U9:AH9)*LOG((QUARTILE((U9:AH9),4)-QUARTILE((U9:AH9),0))*QUARTILE((U9:AH9),4),2))*AVERAGE(AVERAGE(U9:AH9),MEDIAN(U9:AH9)))&lt;85,ABS(((SUM(U9:AH9)*LOG((QUARTILE((U9:AH9),4)-QUARTILE((U9:AH9),0))*QUARTILE((U9:AH9),4),2))*AVERAGE(AVERAGE(U9:AH9),MEDIAN(U9:AH9))/1000*7^2/AJ9)),((SUM(U9:AH9)*LOG((QUARTILE((U9:AH9),4)-QUARTILE((U9:AH9),0))*QUARTILE((U9:AH9),4),2)/100)*4+1*AVERAGE(AVERAGE(U9:AH9),MEDIAN(U9:AH9)))))</f>
        <v>8.3312728769903907E-3</v>
      </c>
      <c r="C9" s="15">
        <v>1</v>
      </c>
      <c r="D9" s="2">
        <v>27.004415809677099</v>
      </c>
      <c r="E9" s="18" t="s">
        <v>132</v>
      </c>
      <c r="F9" s="5">
        <v>5.7060594415879592E-3</v>
      </c>
      <c r="G9" s="5">
        <v>7.6636505180918371E-2</v>
      </c>
      <c r="H9" s="5">
        <v>0.12183263753379379</v>
      </c>
      <c r="I9" s="5">
        <v>0.75995596481011873</v>
      </c>
      <c r="J9" s="5">
        <v>5.1499704911241048E-2</v>
      </c>
      <c r="K9" s="5">
        <v>7.3467844173006405E-2</v>
      </c>
      <c r="L9" s="5">
        <v>0.37764365839007014</v>
      </c>
      <c r="M9" s="5">
        <v>0.12950949103087545</v>
      </c>
      <c r="N9" s="5">
        <v>2.5548882646764717E-3</v>
      </c>
      <c r="O9" s="5">
        <v>1.0170430516008253E-2</v>
      </c>
      <c r="P9" s="5">
        <v>4.7482074460281971E-2</v>
      </c>
      <c r="Q9" s="5">
        <v>16.648506795448935</v>
      </c>
      <c r="R9" s="5">
        <v>4.6535008863189654E-2</v>
      </c>
      <c r="S9" s="5">
        <v>28.468918165157092</v>
      </c>
      <c r="T9" s="18" t="str">
        <f t="shared" ref="T9:T43" si="3">E9</f>
        <v>N1</v>
      </c>
      <c r="U9" s="2">
        <f t="shared" ref="U9:AH9" si="4">IF(OR(F9=0,F9&lt;0.00001,F9&gt;100000),"",IF((IF(F9&gt;F$5,ABS(LOG(((F$5/SUM($F9:$S9))/(F$4/SUM($F$4:$S$4)))*4+2,2)),ABS(LOG(((F9/SUM($F9:$S9))/(F$4/SUM($F$4:$S$4)))*4+2,2)))-3)&gt;8,(IF(F9&gt;F$5,ABS(LOG(((F$5/SUM($F9:$S9))/(F$4/SUM($F$4:$S$4)))*4+2,2)),ABS(LOG(((F9/SUM($F9:$S9))/(F$4/SUM($F$4:$S$4)))*4+2,2)))-3)/7,IF(F9&gt;F$5,ABS(LOG(((F$5/SUM($F9:$S9))/(F$4/SUM($F$4:$S$4)))*4+2,2)),ABS(LOG(((F9/SUM($F9:$S9))/(F$4/SUM($F$4:$S$4)))*4+2,2)))-3))</f>
        <v>-1.0153887354461635</v>
      </c>
      <c r="V9" s="2">
        <f t="shared" si="4"/>
        <v>0.35276947505221257</v>
      </c>
      <c r="W9" s="2">
        <f t="shared" si="4"/>
        <v>2.452751748921675</v>
      </c>
      <c r="X9" s="2">
        <f t="shared" si="4"/>
        <v>2.1122608760756147</v>
      </c>
      <c r="Y9" s="2">
        <f t="shared" si="4"/>
        <v>-0.8449414494208165</v>
      </c>
      <c r="Z9" s="2">
        <f t="shared" si="4"/>
        <v>6.5378113828281936</v>
      </c>
      <c r="AA9" s="2">
        <f t="shared" si="4"/>
        <v>3.0613121986090581</v>
      </c>
      <c r="AB9" s="2">
        <f t="shared" si="4"/>
        <v>0.77528401232599053</v>
      </c>
      <c r="AC9" s="2">
        <f t="shared" si="4"/>
        <v>-1.8250865159682443</v>
      </c>
      <c r="AD9" s="2">
        <f t="shared" si="4"/>
        <v>-1.9623607319373635</v>
      </c>
      <c r="AE9" s="2">
        <f t="shared" si="4"/>
        <v>-1.9999996906619626</v>
      </c>
      <c r="AF9" s="2">
        <f t="shared" si="4"/>
        <v>-0.68537120239573612</v>
      </c>
      <c r="AG9" s="2">
        <f t="shared" si="4"/>
        <v>-1.9373999980853818</v>
      </c>
      <c r="AH9" s="2">
        <f t="shared" si="4"/>
        <v>-7.1521476668728656E-2</v>
      </c>
      <c r="AI9" s="18" t="str">
        <f t="shared" ref="AI9:AI43" si="5">T9</f>
        <v>N1</v>
      </c>
      <c r="AJ9" s="2">
        <f t="shared" ref="AJ9:AJ43" si="6">IF(D9&lt;26,1,IF(D9&lt;32,2+(D9-26)^1/10,8-((D9-32)*3000)^0.19))</f>
        <v>2.1004415809677099</v>
      </c>
      <c r="AK9" s="16"/>
      <c r="AL9" s="56"/>
      <c r="AM9" s="4"/>
    </row>
    <row r="10" spans="1:39" ht="10.5" customHeight="1" x14ac:dyDescent="0.25">
      <c r="A10" s="15">
        <v>2</v>
      </c>
      <c r="B10" s="2">
        <f t="shared" si="2"/>
        <v>0.19517854513982283</v>
      </c>
      <c r="C10" s="15">
        <v>1</v>
      </c>
      <c r="D10" s="2">
        <v>23.234194882127049</v>
      </c>
      <c r="E10" s="18" t="s">
        <v>133</v>
      </c>
      <c r="F10" s="5">
        <v>5.5412645395184416E-4</v>
      </c>
      <c r="G10" s="5">
        <v>4.1086605840337138E-2</v>
      </c>
      <c r="H10" s="5">
        <v>3.1926351745350259E-2</v>
      </c>
      <c r="I10" s="5">
        <v>0.14707093445626943</v>
      </c>
      <c r="J10" s="5">
        <v>0.20010675636641248</v>
      </c>
      <c r="K10" s="5">
        <v>8.8286609843140455E-3</v>
      </c>
      <c r="L10" s="5">
        <v>0.27627180257824263</v>
      </c>
      <c r="M10" s="5">
        <v>9.1654335570716006E-2</v>
      </c>
      <c r="N10" s="5">
        <v>0.31084489844402985</v>
      </c>
      <c r="O10" s="5">
        <v>6.0874823310081504E-2</v>
      </c>
      <c r="P10" s="5">
        <v>3.6381572770991591E-2</v>
      </c>
      <c r="Q10" s="5">
        <v>21.670052450200902</v>
      </c>
      <c r="R10" s="5">
        <v>4.9772245675480317E-2</v>
      </c>
      <c r="S10" s="5">
        <v>12.790933005997166</v>
      </c>
      <c r="T10" s="18" t="str">
        <f t="shared" si="3"/>
        <v>N10</v>
      </c>
      <c r="U10" s="2">
        <f t="shared" ref="U10:AH10" si="7">IF(OR(F10=0,F10&lt;0.00001,F10&gt;100000),"",IF((IF(F10&gt;F$5,ABS(LOG(((F$5/SUM($F10:$S10))/(F$4/SUM($F$4:$S$4)))*4+2,2)),ABS(LOG(((F10/SUM($F10:$S10))/(F$4/SUM($F$4:$S$4)))*4+2,2)))-3)&gt;8,(IF(F10&gt;F$5,ABS(LOG(((F$5/SUM($F10:$S10))/(F$4/SUM($F$4:$S$4)))*4+2,2)),ABS(LOG(((F10/SUM($F10:$S10))/(F$4/SUM($F$4:$S$4)))*4+2,2)))-3)/7,IF(F10&gt;F$5,ABS(LOG(((F$5/SUM($F10:$S10))/(F$4/SUM($F$4:$S$4)))*4+2,2)),ABS(LOG(((F10/SUM($F10:$S10))/(F$4/SUM($F$4:$S$4)))*4+2,2)))-3))</f>
        <v>-1.8305851825028936</v>
      </c>
      <c r="V10" s="2">
        <f t="shared" si="7"/>
        <v>-4.1292441761277221E-2</v>
      </c>
      <c r="W10" s="2">
        <f t="shared" si="7"/>
        <v>1.031931125769975</v>
      </c>
      <c r="X10" s="2">
        <f t="shared" si="7"/>
        <v>0.36003872332906228</v>
      </c>
      <c r="Y10" s="2">
        <f t="shared" si="7"/>
        <v>0.85788415156329778</v>
      </c>
      <c r="Z10" s="2">
        <f t="shared" si="7"/>
        <v>3.8921298124221613</v>
      </c>
      <c r="AA10" s="2">
        <f t="shared" si="7"/>
        <v>3.0027735108310818</v>
      </c>
      <c r="AB10" s="2">
        <f t="shared" si="7"/>
        <v>0.68337843683725996</v>
      </c>
      <c r="AC10" s="2">
        <f t="shared" si="7"/>
        <v>2.4301543169031143</v>
      </c>
      <c r="AD10" s="2">
        <f t="shared" si="7"/>
        <v>-1.7280951695598457</v>
      </c>
      <c r="AE10" s="2">
        <f t="shared" si="7"/>
        <v>-1.9999995944901248</v>
      </c>
      <c r="AF10" s="2">
        <f t="shared" si="7"/>
        <v>-0.17710393671954394</v>
      </c>
      <c r="AG10" s="2">
        <f t="shared" si="7"/>
        <v>-1.9129754330635531</v>
      </c>
      <c r="AH10" s="2">
        <f t="shared" si="7"/>
        <v>-0.59238139630395015</v>
      </c>
      <c r="AI10" s="18" t="str">
        <f t="shared" si="5"/>
        <v>N10</v>
      </c>
      <c r="AJ10" s="2">
        <f t="shared" si="6"/>
        <v>1</v>
      </c>
      <c r="AK10" s="16"/>
      <c r="AL10" s="57"/>
      <c r="AM10" s="16"/>
    </row>
    <row r="11" spans="1:39" ht="10.5" customHeight="1" x14ac:dyDescent="0.25">
      <c r="A11" s="15">
        <v>3</v>
      </c>
      <c r="B11" s="2">
        <f t="shared" si="2"/>
        <v>5.2061145811223924E-2</v>
      </c>
      <c r="C11" s="15">
        <v>1</v>
      </c>
      <c r="D11" s="2">
        <v>26.54075599637115</v>
      </c>
      <c r="E11" s="18" t="s">
        <v>135</v>
      </c>
      <c r="F11" s="5">
        <v>6.7050520740927887E-3</v>
      </c>
      <c r="G11" s="5">
        <v>0.10188646670433238</v>
      </c>
      <c r="H11" s="5">
        <v>0.17470697217027614</v>
      </c>
      <c r="I11" s="5">
        <v>0.29961705848949366</v>
      </c>
      <c r="J11" s="5">
        <v>0.19320404265895536</v>
      </c>
      <c r="K11" s="5">
        <v>3.2745648893017537E-2</v>
      </c>
      <c r="L11" s="5">
        <v>1.3841207195471785</v>
      </c>
      <c r="M11" s="5">
        <v>0.22457584674984943</v>
      </c>
      <c r="N11" s="5">
        <v>1.009778507522663E-2</v>
      </c>
      <c r="O11" s="5">
        <v>1.7938088634748963</v>
      </c>
      <c r="P11" s="5">
        <v>4.2317578101509129E-2</v>
      </c>
      <c r="Q11" s="5">
        <v>28.331387164890558</v>
      </c>
      <c r="R11" s="5">
        <v>2.0433840636816084E-2</v>
      </c>
      <c r="S11" s="5">
        <v>46.8312483918588</v>
      </c>
      <c r="T11" s="18" t="str">
        <f t="shared" si="3"/>
        <v>N12</v>
      </c>
      <c r="U11" s="2">
        <f t="shared" ref="U11:AH11" si="8">IF(OR(F11=0,F11&lt;0.00001,F11&gt;100000),"",IF((IF(F11&gt;F$5,ABS(LOG(((F$5/SUM($F11:$S11))/(F$4/SUM($F$4:$S$4)))*4+2,2)),ABS(LOG(((F11/SUM($F11:$S11))/(F$4/SUM($F$4:$S$4)))*4+2,2)))-3)&gt;8,(IF(F11&gt;F$5,ABS(LOG(((F$5/SUM($F11:$S11))/(F$4/SUM($F$4:$S$4)))*4+2,2)),ABS(LOG(((F11/SUM($F11:$S11))/(F$4/SUM($F$4:$S$4)))*4+2,2)))-3)/7,IF(F11&gt;F$5,ABS(LOG(((F$5/SUM($F11:$S11))/(F$4/SUM($F$4:$S$4)))*4+2,2)),ABS(LOG(((F11/SUM($F11:$S11))/(F$4/SUM($F$4:$S$4)))*4+2,2)))-3))</f>
        <v>-1.2534185168391137</v>
      </c>
      <c r="V11" s="2">
        <f t="shared" si="8"/>
        <v>7.6781845655525593E-2</v>
      </c>
      <c r="W11" s="2">
        <f t="shared" si="8"/>
        <v>2.2219617906491687</v>
      </c>
      <c r="X11" s="2">
        <f t="shared" si="8"/>
        <v>0.25882918848839109</v>
      </c>
      <c r="Y11" s="2">
        <f t="shared" si="8"/>
        <v>-0.10755710010216646</v>
      </c>
      <c r="Z11" s="2">
        <f t="shared" si="8"/>
        <v>4.620004843722219</v>
      </c>
      <c r="AA11" s="2">
        <f t="shared" si="8"/>
        <v>4.1489392778404</v>
      </c>
      <c r="AB11" s="2">
        <f t="shared" si="8"/>
        <v>0.80204793497353011</v>
      </c>
      <c r="AC11" s="2">
        <f t="shared" si="8"/>
        <v>-1.6212327500464987</v>
      </c>
      <c r="AD11" s="2">
        <f t="shared" si="8"/>
        <v>-9.4066808756010811E-2</v>
      </c>
      <c r="AE11" s="2">
        <f t="shared" si="8"/>
        <v>-1.9999998176977913</v>
      </c>
      <c r="AF11" s="2">
        <f t="shared" si="8"/>
        <v>-0.68288448341852304</v>
      </c>
      <c r="AG11" s="2">
        <f t="shared" si="8"/>
        <v>-1.9835381239709218</v>
      </c>
      <c r="AH11" s="2">
        <f t="shared" si="8"/>
        <v>-0.10439377676565798</v>
      </c>
      <c r="AI11" s="18" t="str">
        <f t="shared" si="5"/>
        <v>N12</v>
      </c>
      <c r="AJ11" s="2">
        <f t="shared" si="6"/>
        <v>2.0540755996371152</v>
      </c>
      <c r="AK11" s="16"/>
      <c r="AL11" s="57"/>
      <c r="AM11" s="16"/>
    </row>
    <row r="12" spans="1:39" ht="10.5" customHeight="1" x14ac:dyDescent="0.25">
      <c r="A12" s="15">
        <v>4</v>
      </c>
      <c r="B12" s="2">
        <f t="shared" si="2"/>
        <v>5.150026623927447</v>
      </c>
      <c r="C12" s="15">
        <v>1</v>
      </c>
      <c r="D12" s="2">
        <v>30.400589693498851</v>
      </c>
      <c r="E12" s="18" t="s">
        <v>136</v>
      </c>
      <c r="F12" s="5">
        <v>4.979358015250588E-4</v>
      </c>
      <c r="G12" s="5">
        <v>0.10514039490062121</v>
      </c>
      <c r="H12" s="5">
        <v>0.21005298832805266</v>
      </c>
      <c r="I12" s="5">
        <v>0.3337296696351757</v>
      </c>
      <c r="J12" s="5">
        <v>0.43135169798117456</v>
      </c>
      <c r="K12" s="5">
        <v>0.11448246551961336</v>
      </c>
      <c r="L12" s="5">
        <v>0.33558618241309274</v>
      </c>
      <c r="M12" s="5">
        <v>8.0680799775003989E-2</v>
      </c>
      <c r="N12" s="5">
        <v>0.67637020078745369</v>
      </c>
      <c r="O12" s="5">
        <v>1.1795294384413064</v>
      </c>
      <c r="P12" s="5">
        <v>2.5232276537459322E-2</v>
      </c>
      <c r="Q12" s="5">
        <v>16.259551015612644</v>
      </c>
      <c r="R12" s="5">
        <v>1.1050555217977053E-2</v>
      </c>
      <c r="S12" s="5">
        <v>15.100087693982791</v>
      </c>
      <c r="T12" s="18" t="str">
        <f t="shared" si="3"/>
        <v>N2</v>
      </c>
      <c r="U12" s="2">
        <f t="shared" ref="U12:AH12" si="9">IF(OR(F12=0,F12&lt;0.00001,F12&gt;100000),"",IF((IF(F12&gt;F$5,ABS(LOG(((F$5/SUM($F12:$S12))/(F$4/SUM($F$4:$S$4)))*4+2,2)),ABS(LOG(((F12/SUM($F12:$S12))/(F$4/SUM($F$4:$S$4)))*4+2,2)))-3)&gt;8,(IF(F12&gt;F$5,ABS(LOG(((F$5/SUM($F12:$S12))/(F$4/SUM($F$4:$S$4)))*4+2,2)),ABS(LOG(((F12/SUM($F12:$S12))/(F$4/SUM($F$4:$S$4)))*4+2,2)))-3)/7,IF(F12&gt;F$5,ABS(LOG(((F$5/SUM($F12:$S12))/(F$4/SUM($F$4:$S$4)))*4+2,2)),ABS(LOG(((F12/SUM($F12:$S12))/(F$4/SUM($F$4:$S$4)))*4+2,2)))-3))</f>
        <v>-1.8433359583000832</v>
      </c>
      <c r="V12" s="2">
        <f t="shared" si="9"/>
        <v>1.0991157196427954</v>
      </c>
      <c r="W12" s="2">
        <f t="shared" si="9"/>
        <v>3.6261090753467728</v>
      </c>
      <c r="X12" s="2">
        <f t="shared" si="9"/>
        <v>1.407342309379283</v>
      </c>
      <c r="Y12" s="2">
        <f t="shared" si="9"/>
        <v>1.8876337286423173</v>
      </c>
      <c r="Z12" s="2">
        <f t="shared" si="9"/>
        <v>7.601151785454455</v>
      </c>
      <c r="AA12" s="2">
        <f t="shared" si="9"/>
        <v>3.3093773939883375</v>
      </c>
      <c r="AB12" s="2">
        <f t="shared" si="9"/>
        <v>0.55852364294169998</v>
      </c>
      <c r="AC12" s="2">
        <f t="shared" si="9"/>
        <v>3.5492661287980196</v>
      </c>
      <c r="AD12" s="2">
        <f t="shared" si="9"/>
        <v>0.35529574128372632</v>
      </c>
      <c r="AE12" s="2">
        <f t="shared" si="9"/>
        <v>-1.9999995845683549</v>
      </c>
      <c r="AF12" s="2">
        <f t="shared" si="9"/>
        <v>-0.43887264620119515</v>
      </c>
      <c r="AG12" s="2">
        <f t="shared" si="9"/>
        <v>-1.9797395934948292</v>
      </c>
      <c r="AH12" s="2">
        <f t="shared" si="9"/>
        <v>-0.4154464853927804</v>
      </c>
      <c r="AI12" s="18" t="str">
        <f t="shared" si="5"/>
        <v>N2</v>
      </c>
      <c r="AJ12" s="2">
        <f t="shared" si="6"/>
        <v>2.4400589693498853</v>
      </c>
      <c r="AK12" s="16"/>
      <c r="AL12" s="56"/>
      <c r="AM12" s="16"/>
    </row>
    <row r="13" spans="1:39" ht="10.5" customHeight="1" x14ac:dyDescent="0.25">
      <c r="A13" s="15">
        <v>5</v>
      </c>
      <c r="B13" s="2">
        <f t="shared" si="2"/>
        <v>2.1351716478706737E-3</v>
      </c>
      <c r="C13" s="15">
        <v>1</v>
      </c>
      <c r="D13" s="2">
        <v>26.150908168995649</v>
      </c>
      <c r="E13" s="18" t="s">
        <v>137</v>
      </c>
      <c r="F13" s="5">
        <v>5.4607060231209052E-5</v>
      </c>
      <c r="G13" s="5">
        <v>6.6358008096483276E-2</v>
      </c>
      <c r="H13" s="5">
        <v>5.1318070802458683E-2</v>
      </c>
      <c r="I13" s="5">
        <v>0.16872529619945995</v>
      </c>
      <c r="J13" s="5">
        <v>1.2238704249706549</v>
      </c>
      <c r="K13" s="5">
        <v>2.073657159058895E-3</v>
      </c>
      <c r="L13" s="5">
        <v>0.42893614233838873</v>
      </c>
      <c r="M13" s="5">
        <v>0.14987792097256511</v>
      </c>
      <c r="N13" s="5">
        <v>2.9008071404506855E-2</v>
      </c>
      <c r="O13" s="5">
        <v>16.874406288890039</v>
      </c>
      <c r="P13" s="5">
        <v>1.1610822143694249E-2</v>
      </c>
      <c r="Q13" s="5">
        <v>8.1106463816312768</v>
      </c>
      <c r="R13" s="5">
        <v>6.6914368672390034E-2</v>
      </c>
      <c r="S13" s="5">
        <v>37.347462940842931</v>
      </c>
      <c r="T13" s="18" t="str">
        <f t="shared" si="3"/>
        <v>N3</v>
      </c>
      <c r="U13" s="2">
        <f t="shared" ref="U13:AH13" si="10">IF(OR(F13=0,F13&lt;0.00001,F13&gt;100000),"",IF((IF(F13&gt;F$5,ABS(LOG(((F$5/SUM($F13:$S13))/(F$4/SUM($F$4:$S$4)))*4+2,2)),ABS(LOG(((F13/SUM($F13:$S13))/(F$4/SUM($F$4:$S$4)))*4+2,2)))-3)&gt;8,(IF(F13&gt;F$5,ABS(LOG(((F$5/SUM($F13:$S13))/(F$4/SUM($F$4:$S$4)))*4+2,2)),ABS(LOG(((F13/SUM($F13:$S13))/(F$4/SUM($F$4:$S$4)))*4+2,2)))-3)/7,IF(F13&gt;F$5,ABS(LOG(((F$5/SUM($F13:$S13))/(F$4/SUM($F$4:$S$4)))*4+2,2)),ABS(LOG(((F13/SUM($F13:$S13))/(F$4/SUM($F$4:$S$4)))*4+2,2)))-3))</f>
        <v>-1.990228399870966</v>
      </c>
      <c r="V13" s="2">
        <f t="shared" si="10"/>
        <v>-0.159710957455935</v>
      </c>
      <c r="W13" s="2">
        <f t="shared" si="10"/>
        <v>0.88495226885068812</v>
      </c>
      <c r="X13" s="2">
        <f t="shared" si="10"/>
        <v>-0.14207948507401325</v>
      </c>
      <c r="Y13" s="2">
        <f t="shared" si="10"/>
        <v>2.4695726884755951</v>
      </c>
      <c r="Z13" s="2">
        <f t="shared" si="10"/>
        <v>1.1027468209996556</v>
      </c>
      <c r="AA13" s="2">
        <f t="shared" si="10"/>
        <v>2.7913828847798481</v>
      </c>
      <c r="AB13" s="2">
        <f t="shared" si="10"/>
        <v>0.56284496319315425</v>
      </c>
      <c r="AC13" s="2">
        <f t="shared" si="10"/>
        <v>-0.95607649490780666</v>
      </c>
      <c r="AD13" s="2">
        <f t="shared" si="10"/>
        <v>3.0364979997621733</v>
      </c>
      <c r="AE13" s="2">
        <f t="shared" si="10"/>
        <v>-1.9999997755609245</v>
      </c>
      <c r="AF13" s="2">
        <f t="shared" si="10"/>
        <v>-1.3904941040156638</v>
      </c>
      <c r="AG13" s="2">
        <f t="shared" si="10"/>
        <v>-1.9347504792849843</v>
      </c>
      <c r="AH13" s="2">
        <f t="shared" si="10"/>
        <v>-0.12370138741878467</v>
      </c>
      <c r="AI13" s="18" t="str">
        <f t="shared" si="5"/>
        <v>N3</v>
      </c>
      <c r="AJ13" s="2">
        <f t="shared" si="6"/>
        <v>2.0150908168995647</v>
      </c>
      <c r="AK13" s="16"/>
      <c r="AL13" s="56"/>
      <c r="AM13" s="16"/>
    </row>
    <row r="14" spans="1:39" ht="10.5" customHeight="1" x14ac:dyDescent="0.25">
      <c r="A14" s="15">
        <v>6</v>
      </c>
      <c r="B14" s="2">
        <f t="shared" si="2"/>
        <v>0.9460779885486833</v>
      </c>
      <c r="C14" s="15">
        <v>1</v>
      </c>
      <c r="D14" s="2">
        <v>27.061161153758398</v>
      </c>
      <c r="E14" s="18" t="s">
        <v>138</v>
      </c>
      <c r="F14" s="5">
        <v>1.0682466321286868E-2</v>
      </c>
      <c r="G14" s="5">
        <v>0.2149440808826191</v>
      </c>
      <c r="H14" s="5">
        <v>0.22170368812872407</v>
      </c>
      <c r="I14" s="5">
        <v>0.57890116263878721</v>
      </c>
      <c r="J14" s="5">
        <v>0.19538268473995843</v>
      </c>
      <c r="K14" s="5">
        <v>0.11514007852579863</v>
      </c>
      <c r="L14" s="5">
        <v>1.3133376052115513</v>
      </c>
      <c r="M14" s="5">
        <v>0.32231052388188408</v>
      </c>
      <c r="N14" s="5">
        <v>0.12600577576522939</v>
      </c>
      <c r="O14" s="5">
        <v>7.071543536514854</v>
      </c>
      <c r="P14" s="5">
        <v>4.9250059428840039E-2</v>
      </c>
      <c r="Q14" s="5">
        <v>22.33853957392202</v>
      </c>
      <c r="R14" s="5">
        <v>6.6318720607684317E-2</v>
      </c>
      <c r="S14" s="5">
        <v>54.231103678168751</v>
      </c>
      <c r="T14" s="18" t="str">
        <f t="shared" si="3"/>
        <v>N4</v>
      </c>
      <c r="U14" s="2">
        <f t="shared" ref="U14:AH14" si="11">IF(OR(F14=0,F14&lt;0.00001,F14&gt;100000),"",IF((IF(F14&gt;F$5,ABS(LOG(((F$5/SUM($F14:$S14))/(F$4/SUM($F$4:$S$4)))*4+2,2)),ABS(LOG(((F14/SUM($F14:$S14))/(F$4/SUM($F$4:$S$4)))*4+2,2)))-3)&gt;8,(IF(F14&gt;F$5,ABS(LOG(((F$5/SUM($F14:$S14))/(F$4/SUM($F$4:$S$4)))*4+2,2)),ABS(LOG(((F14/SUM($F14:$S14))/(F$4/SUM($F$4:$S$4)))*4+2,2)))-3)/7,IF(F14&gt;F$5,ABS(LOG(((F$5/SUM($F14:$S14))/(F$4/SUM($F$4:$S$4)))*4+2,2)),ABS(LOG(((F14/SUM($F14:$S14))/(F$4/SUM($F$4:$S$4)))*4+2,2)))-3))</f>
        <v>-1.0088422707130191</v>
      </c>
      <c r="V14" s="2">
        <f t="shared" si="11"/>
        <v>0.85020637499126295</v>
      </c>
      <c r="W14" s="2">
        <f t="shared" si="11"/>
        <v>2.4262886127200689</v>
      </c>
      <c r="X14" s="2">
        <f t="shared" si="11"/>
        <v>0.94320552723776796</v>
      </c>
      <c r="Y14" s="2">
        <f t="shared" si="11"/>
        <v>-0.1888417380509102</v>
      </c>
      <c r="Z14" s="2">
        <f t="shared" si="11"/>
        <v>6.2952556748129851</v>
      </c>
      <c r="AA14" s="2">
        <f t="shared" si="11"/>
        <v>3.9476762771987781</v>
      </c>
      <c r="AB14" s="2">
        <f t="shared" si="11"/>
        <v>1.1445274919753228</v>
      </c>
      <c r="AC14" s="2">
        <f t="shared" si="11"/>
        <v>0.1462931315124556</v>
      </c>
      <c r="AD14" s="2">
        <f t="shared" si="11"/>
        <v>1.4472325115823628</v>
      </c>
      <c r="AE14" s="2">
        <f t="shared" si="11"/>
        <v>-1.9999998332472508</v>
      </c>
      <c r="AF14" s="2">
        <f t="shared" si="11"/>
        <v>-0.9463145018883643</v>
      </c>
      <c r="AG14" s="2">
        <f t="shared" si="11"/>
        <v>-1.9516683412421563</v>
      </c>
      <c r="AH14" s="2">
        <f t="shared" si="11"/>
        <v>-4.3215434291748345E-2</v>
      </c>
      <c r="AI14" s="18" t="str">
        <f t="shared" si="5"/>
        <v>N4</v>
      </c>
      <c r="AJ14" s="2">
        <f t="shared" si="6"/>
        <v>2.1061161153758396</v>
      </c>
      <c r="AK14" s="16"/>
      <c r="AL14" s="57"/>
      <c r="AM14" s="16"/>
    </row>
    <row r="15" spans="1:39" ht="10.5" customHeight="1" x14ac:dyDescent="0.25">
      <c r="A15" s="15">
        <v>7</v>
      </c>
      <c r="B15" s="2">
        <f t="shared" si="2"/>
        <v>3.524158043548465E-2</v>
      </c>
      <c r="C15" s="15">
        <v>1</v>
      </c>
      <c r="D15" s="2">
        <v>25.043141595838751</v>
      </c>
      <c r="E15" s="18" t="s">
        <v>139</v>
      </c>
      <c r="F15" s="5">
        <v>8.955312348353548E-4</v>
      </c>
      <c r="G15" s="5">
        <v>0.24963141690399276</v>
      </c>
      <c r="H15" s="5">
        <v>8.9308986840180585E-2</v>
      </c>
      <c r="I15" s="5">
        <v>1.4018656415677129</v>
      </c>
      <c r="J15" s="5">
        <v>2.6270565890423855E-2</v>
      </c>
      <c r="K15" s="5">
        <v>2.5403162129813622E-2</v>
      </c>
      <c r="L15" s="5">
        <v>0.76860066024843832</v>
      </c>
      <c r="M15" s="5">
        <v>0.97388349987367262</v>
      </c>
      <c r="N15" s="5">
        <v>4.7703789331239336E-3</v>
      </c>
      <c r="O15" s="5">
        <v>0.99292254146735226</v>
      </c>
      <c r="P15" s="5">
        <v>2.3945489784032308E-2</v>
      </c>
      <c r="Q15" s="5">
        <v>12.263127984924079</v>
      </c>
      <c r="R15" s="5">
        <v>0.11804625974892498</v>
      </c>
      <c r="S15" s="5">
        <v>115.36433686398696</v>
      </c>
      <c r="T15" s="18" t="str">
        <f t="shared" si="3"/>
        <v>N5</v>
      </c>
      <c r="U15" s="2">
        <f t="shared" ref="U15:AH15" si="12">IF(OR(F15=0,F15&lt;0.00001,F15&gt;100000),"",IF((IF(F15&gt;F$5,ABS(LOG(((F$5/SUM($F15:$S15))/(F$4/SUM($F$4:$S$4)))*4+2,2)),ABS(LOG(((F15/SUM($F15:$S15))/(F$4/SUM($F$4:$S$4)))*4+2,2)))-3)&gt;8,(IF(F15&gt;F$5,ABS(LOG(((F$5/SUM($F15:$S15))/(F$4/SUM($F$4:$S$4)))*4+2,2)),ABS(LOG(((F15/SUM($F15:$S15))/(F$4/SUM($F$4:$S$4)))*4+2,2)))-3)/7,IF(F15&gt;F$5,ABS(LOG(((F$5/SUM($F15:$S15))/(F$4/SUM($F$4:$S$4)))*4+2,2)),ABS(LOG(((F15/SUM($F15:$S15))/(F$4/SUM($F$4:$S$4)))*4+2,2)))-3))</f>
        <v>-1.9236297693211553</v>
      </c>
      <c r="V15" s="2">
        <f t="shared" si="12"/>
        <v>0.51991327973793711</v>
      </c>
      <c r="W15" s="2">
        <f t="shared" si="12"/>
        <v>0.68288256309933892</v>
      </c>
      <c r="X15" s="2">
        <f t="shared" si="12"/>
        <v>1.5406826282036983</v>
      </c>
      <c r="Y15" s="2">
        <f t="shared" si="12"/>
        <v>-1.7113596307280197</v>
      </c>
      <c r="Z15" s="2">
        <f t="shared" si="12"/>
        <v>3.5346468431398588</v>
      </c>
      <c r="AA15" s="2">
        <f t="shared" si="12"/>
        <v>2.6045701773891583</v>
      </c>
      <c r="AB15" s="2">
        <f t="shared" si="12"/>
        <v>2.0494067055281713</v>
      </c>
      <c r="AC15" s="2">
        <f t="shared" si="12"/>
        <v>-1.8820784845582703</v>
      </c>
      <c r="AD15" s="2">
        <f t="shared" si="12"/>
        <v>-1.0639807040509721</v>
      </c>
      <c r="AE15" s="2">
        <f t="shared" si="12"/>
        <v>-1.9999998905290386</v>
      </c>
      <c r="AF15" s="2">
        <f t="shared" si="12"/>
        <v>-1.5272869987622479</v>
      </c>
      <c r="AG15" s="2">
        <f t="shared" si="12"/>
        <v>-1.9436798175836547</v>
      </c>
      <c r="AH15" s="2">
        <f t="shared" si="12"/>
        <v>0.32904600085255931</v>
      </c>
      <c r="AI15" s="18" t="str">
        <f t="shared" si="5"/>
        <v>N5</v>
      </c>
      <c r="AJ15" s="2">
        <f t="shared" si="6"/>
        <v>1</v>
      </c>
      <c r="AK15" s="16"/>
      <c r="AL15" s="56"/>
      <c r="AM15" s="16"/>
    </row>
    <row r="16" spans="1:39" ht="10.5" customHeight="1" x14ac:dyDescent="0.25">
      <c r="A16" s="15">
        <v>8</v>
      </c>
      <c r="B16" s="2">
        <f t="shared" si="2"/>
        <v>1.4963728872896249</v>
      </c>
      <c r="C16" s="15">
        <v>1</v>
      </c>
      <c r="D16" s="2">
        <v>23.842776578693602</v>
      </c>
      <c r="E16" s="18" t="s">
        <v>169</v>
      </c>
      <c r="F16" s="5">
        <v>4.1599983482087564E-4</v>
      </c>
      <c r="G16" s="5">
        <v>1.5401313516862547E-2</v>
      </c>
      <c r="H16" s="5">
        <v>2.1619626171471996E-2</v>
      </c>
      <c r="I16" s="5">
        <v>7.1881974043673941E-2</v>
      </c>
      <c r="J16" s="5">
        <v>2.8329278253086336E-2</v>
      </c>
      <c r="K16" s="5">
        <v>2.8502353209131571E-2</v>
      </c>
      <c r="L16" s="5">
        <v>0.12549382611356188</v>
      </c>
      <c r="M16" s="5">
        <v>9.9497735884204047E-2</v>
      </c>
      <c r="N16" s="5">
        <v>1.0845655471128967E-2</v>
      </c>
      <c r="O16" s="5">
        <v>9.0558217826207481E-3</v>
      </c>
      <c r="P16" s="5">
        <v>3.6320122403837946E-2</v>
      </c>
      <c r="Q16" s="5">
        <v>26.741842579541892</v>
      </c>
      <c r="R16" s="5">
        <v>4.2489270767455491E-2</v>
      </c>
      <c r="S16" s="5">
        <v>33.99257700881229</v>
      </c>
      <c r="T16" s="18" t="str">
        <f t="shared" si="3"/>
        <v>N6</v>
      </c>
      <c r="U16" s="2">
        <f t="shared" ref="U16:AH16" si="13">IF(OR(F16=0,F16&lt;0.00001,F16&gt;100000),"",IF((IF(F16&gt;F$5,ABS(LOG(((F$5/SUM($F16:$S16))/(F$4/SUM($F$4:$S$4)))*4+2,2)),ABS(LOG(((F16/SUM($F16:$S16))/(F$4/SUM($F$4:$S$4)))*4+2,2)))-3)&gt;8,(IF(F16&gt;F$5,ABS(LOG(((F$5/SUM($F16:$S16))/(F$4/SUM($F$4:$S$4)))*4+2,2)),ABS(LOG(((F16/SUM($F16:$S16))/(F$4/SUM($F$4:$S$4)))*4+2,2)))-3)/7,IF(F16&gt;F$5,ABS(LOG(((F$5/SUM($F16:$S16))/(F$4/SUM($F$4:$S$4)))*4+2,2)),ABS(LOG(((F16/SUM($F16:$S16))/(F$4/SUM($F$4:$S$4)))*4+2,2)))-3))</f>
        <v>-1.9233451922772273</v>
      </c>
      <c r="V16" s="2">
        <f t="shared" si="13"/>
        <v>-1.2939361243030214</v>
      </c>
      <c r="W16" s="2">
        <f t="shared" si="13"/>
        <v>-6.0391291288876214E-2</v>
      </c>
      <c r="X16" s="2">
        <f t="shared" si="13"/>
        <v>-0.87655543144650494</v>
      </c>
      <c r="Y16" s="2">
        <f t="shared" si="13"/>
        <v>-1.3996015674707314</v>
      </c>
      <c r="Z16" s="2">
        <f t="shared" si="13"/>
        <v>4.7939865902729517</v>
      </c>
      <c r="AA16" s="2">
        <f t="shared" si="13"/>
        <v>1.2064876781510581</v>
      </c>
      <c r="AB16" s="2">
        <f t="shared" si="13"/>
        <v>0.14883979536581959</v>
      </c>
      <c r="AC16" s="2">
        <f t="shared" si="13"/>
        <v>-1.4956907793463481</v>
      </c>
      <c r="AD16" s="2">
        <f t="shared" si="13"/>
        <v>-1.9742640884083011</v>
      </c>
      <c r="AE16" s="2">
        <f t="shared" si="13"/>
        <v>-1.9999997634379902</v>
      </c>
      <c r="AF16" s="2">
        <f t="shared" si="13"/>
        <v>-0.50070227613112284</v>
      </c>
      <c r="AG16" s="2">
        <f t="shared" si="13"/>
        <v>-1.9560050260652206</v>
      </c>
      <c r="AH16" s="2">
        <f t="shared" si="13"/>
        <v>-0.16703483102841821</v>
      </c>
      <c r="AI16" s="18" t="str">
        <f t="shared" si="5"/>
        <v>N6</v>
      </c>
      <c r="AJ16" s="2">
        <f t="shared" si="6"/>
        <v>1</v>
      </c>
      <c r="AK16" s="16"/>
      <c r="AL16" s="56"/>
      <c r="AM16" s="4"/>
    </row>
    <row r="17" spans="1:39" ht="10.5" customHeight="1" x14ac:dyDescent="0.25">
      <c r="A17" s="15">
        <v>9</v>
      </c>
      <c r="B17" s="2">
        <f t="shared" si="2"/>
        <v>1.6382484711246876</v>
      </c>
      <c r="C17" s="15">
        <v>1</v>
      </c>
      <c r="D17" s="2">
        <v>23.599889665593299</v>
      </c>
      <c r="E17" s="18" t="s">
        <v>141</v>
      </c>
      <c r="F17" s="5">
        <v>5.4442407025988406E-3</v>
      </c>
      <c r="G17" s="5">
        <v>8.5668619431903806E-2</v>
      </c>
      <c r="H17" s="5">
        <v>0.13655004189852707</v>
      </c>
      <c r="I17" s="5">
        <v>0.18997031461295258</v>
      </c>
      <c r="J17" s="5">
        <v>0.44060757806308143</v>
      </c>
      <c r="K17" s="5">
        <v>1.8006996462559703E-2</v>
      </c>
      <c r="L17" s="5">
        <v>0.79601960715407472</v>
      </c>
      <c r="M17" s="5">
        <v>0.10386426376241963</v>
      </c>
      <c r="N17" s="5">
        <v>3.292838063201124</v>
      </c>
      <c r="O17" s="5">
        <v>3.5364301131267373E-3</v>
      </c>
      <c r="P17" s="5">
        <v>9.9439695908179387E-2</v>
      </c>
      <c r="Q17" s="5">
        <v>21.326568557082652</v>
      </c>
      <c r="R17" s="5">
        <v>0.19033896295683833</v>
      </c>
      <c r="S17" s="5">
        <v>23.040835287943413</v>
      </c>
      <c r="T17" s="18" t="str">
        <f t="shared" si="3"/>
        <v>N8</v>
      </c>
      <c r="U17" s="2">
        <f t="shared" ref="U17:AH17" si="14">IF(OR(F17=0,F17&lt;0.00001,F17&gt;100000),"",IF((IF(F17&gt;F$5,ABS(LOG(((F$5/SUM($F17:$S17))/(F$4/SUM($F$4:$S$4)))*4+2,2)),ABS(LOG(((F17/SUM($F17:$S17))/(F$4/SUM($F$4:$S$4)))*4+2,2)))-3)&gt;8,(IF(F17&gt;F$5,ABS(LOG(((F$5/SUM($F17:$S17))/(F$4/SUM($F$4:$S$4)))*4+2,2)),ABS(LOG(((F17/SUM($F17:$S17))/(F$4/SUM($F$4:$S$4)))*4+2,2)))-3)/7,IF(F17&gt;F$5,ABS(LOG(((F$5/SUM($F17:$S17))/(F$4/SUM($F$4:$S$4)))*4+2,2)),ABS(LOG(((F17/SUM($F17:$S17))/(F$4/SUM($F$4:$S$4)))*4+2,2)))-3))</f>
        <v>-1.08985337962456</v>
      </c>
      <c r="V17" s="2">
        <f t="shared" si="14"/>
        <v>0.41238776795847976</v>
      </c>
      <c r="W17" s="2">
        <f t="shared" si="14"/>
        <v>2.5268588909534477</v>
      </c>
      <c r="X17" s="2">
        <f t="shared" si="14"/>
        <v>0.27351263509084989</v>
      </c>
      <c r="Y17" s="2">
        <f t="shared" si="14"/>
        <v>1.4440015287071226</v>
      </c>
      <c r="Z17" s="2">
        <f t="shared" si="14"/>
        <v>4.4351687809259968</v>
      </c>
      <c r="AA17" s="2">
        <f t="shared" si="14"/>
        <v>4.0285242720159342</v>
      </c>
      <c r="AB17" s="2">
        <f t="shared" si="14"/>
        <v>0.43674526201302788</v>
      </c>
      <c r="AC17" s="2">
        <f t="shared" si="14"/>
        <v>5.2983679321974382</v>
      </c>
      <c r="AD17" s="2">
        <f t="shared" si="14"/>
        <v>-1.9875694104111787</v>
      </c>
      <c r="AE17" s="2">
        <f t="shared" si="14"/>
        <v>-1.99999970875875</v>
      </c>
      <c r="AF17" s="2">
        <f t="shared" si="14"/>
        <v>-0.51774115253288011</v>
      </c>
      <c r="AG17" s="2">
        <f t="shared" si="14"/>
        <v>-1.7725365051855062</v>
      </c>
      <c r="AH17" s="2">
        <f t="shared" si="14"/>
        <v>-0.34990646920385826</v>
      </c>
      <c r="AI17" s="18" t="str">
        <f t="shared" si="5"/>
        <v>N8</v>
      </c>
      <c r="AJ17" s="2">
        <f t="shared" si="6"/>
        <v>1</v>
      </c>
      <c r="AK17" s="16"/>
      <c r="AL17" s="56"/>
      <c r="AM17" s="4"/>
    </row>
    <row r="18" spans="1:39" ht="10.5" customHeight="1" x14ac:dyDescent="0.25">
      <c r="A18" s="15">
        <v>10</v>
      </c>
      <c r="B18" s="2">
        <f t="shared" si="2"/>
        <v>0.37206503641913063</v>
      </c>
      <c r="C18" s="15">
        <v>1</v>
      </c>
      <c r="D18" s="2">
        <v>25.442535295946598</v>
      </c>
      <c r="E18" s="18" t="s">
        <v>142</v>
      </c>
      <c r="F18" s="5">
        <v>5.2025064382151577E-3</v>
      </c>
      <c r="G18" s="5">
        <v>0.12402918129842889</v>
      </c>
      <c r="H18" s="5">
        <v>0.16639563318234404</v>
      </c>
      <c r="I18" s="5">
        <v>0.46837844887436125</v>
      </c>
      <c r="J18" s="5">
        <v>0.22888909257893103</v>
      </c>
      <c r="K18" s="5">
        <v>0.11155510425522198</v>
      </c>
      <c r="L18" s="5">
        <v>0.90933185488756141</v>
      </c>
      <c r="M18" s="5">
        <v>0.1880136126828372</v>
      </c>
      <c r="N18" s="5">
        <v>3.0319957349294373E-2</v>
      </c>
      <c r="O18" s="5">
        <v>7.9195539347468716E-2</v>
      </c>
      <c r="P18" s="5">
        <v>3.4549507345894487E-2</v>
      </c>
      <c r="Q18" s="5">
        <v>25.966754188063707</v>
      </c>
      <c r="R18" s="5">
        <v>3.7108460191903926E-2</v>
      </c>
      <c r="S18" s="5">
        <v>44.558542208731602</v>
      </c>
      <c r="T18" s="18" t="str">
        <f t="shared" si="3"/>
        <v>N9</v>
      </c>
      <c r="U18" s="2">
        <f t="shared" ref="U18:AH18" si="15">IF(OR(F18=0,F18&lt;0.00001,F18&gt;100000),"",IF((IF(F18&gt;F$5,ABS(LOG(((F$5/SUM($F18:$S18))/(F$4/SUM($F$4:$S$4)))*4+2,2)),ABS(LOG(((F18/SUM($F18:$S18))/(F$4/SUM($F$4:$S$4)))*4+2,2)))-3)&gt;8,(IF(F18&gt;F$5,ABS(LOG(((F$5/SUM($F18:$S18))/(F$4/SUM($F$4:$S$4)))*4+2,2)),ABS(LOG(((F18/SUM($F18:$S18))/(F$4/SUM($F$4:$S$4)))*4+2,2)))-3)/7,IF(F18&gt;F$5,ABS(LOG(((F$5/SUM($F18:$S18))/(F$4/SUM($F$4:$S$4)))*4+2,2)),ABS(LOG(((F18/SUM($F18:$S18))/(F$4/SUM($F$4:$S$4)))*4+2,2)))-3))</f>
        <v>-1.3464022372424012</v>
      </c>
      <c r="V18" s="2">
        <f t="shared" si="15"/>
        <v>0.39767747304035606</v>
      </c>
      <c r="W18" s="2">
        <f t="shared" si="15"/>
        <v>2.2727281920266424</v>
      </c>
      <c r="X18" s="2">
        <f t="shared" si="15"/>
        <v>0.89710972683459245</v>
      </c>
      <c r="Y18" s="2">
        <f t="shared" si="15"/>
        <v>0.17052422741279116</v>
      </c>
      <c r="Z18" s="2">
        <f t="shared" si="15"/>
        <v>6.5015376478928602</v>
      </c>
      <c r="AA18" s="2">
        <f t="shared" si="15"/>
        <v>3.6748020523935825</v>
      </c>
      <c r="AB18" s="2">
        <f t="shared" si="15"/>
        <v>0.68934561136565753</v>
      </c>
      <c r="AC18" s="2">
        <f t="shared" si="15"/>
        <v>-1.0128034851472441</v>
      </c>
      <c r="AD18" s="2">
        <f t="shared" si="15"/>
        <v>-1.8208972803031216</v>
      </c>
      <c r="AE18" s="2">
        <f t="shared" si="15"/>
        <v>-1.9999998013484879</v>
      </c>
      <c r="AF18" s="2">
        <f t="shared" si="15"/>
        <v>-0.68397844755692105</v>
      </c>
      <c r="AG18" s="2">
        <f t="shared" si="15"/>
        <v>-1.967603577908652</v>
      </c>
      <c r="AH18" s="2">
        <f t="shared" si="15"/>
        <v>-6.6084095840713619E-2</v>
      </c>
      <c r="AI18" s="18" t="str">
        <f t="shared" si="5"/>
        <v>N9</v>
      </c>
      <c r="AJ18" s="2">
        <f t="shared" si="6"/>
        <v>1</v>
      </c>
      <c r="AK18" s="16"/>
      <c r="AL18" s="57"/>
      <c r="AM18" s="16"/>
    </row>
    <row r="19" spans="1:39" ht="10.5" customHeight="1" x14ac:dyDescent="0.25">
      <c r="A19" s="15">
        <v>11</v>
      </c>
      <c r="B19" s="2">
        <f t="shared" si="2"/>
        <v>6.7881503513523003E-3</v>
      </c>
      <c r="C19" s="15">
        <v>1</v>
      </c>
      <c r="D19" s="2">
        <v>27.629087421641252</v>
      </c>
      <c r="E19" s="18" t="s">
        <v>170</v>
      </c>
      <c r="F19" s="5">
        <v>5.384859788850266E-5</v>
      </c>
      <c r="G19" s="5">
        <v>0.3847956379679961</v>
      </c>
      <c r="H19" s="5">
        <v>0.25261114795298029</v>
      </c>
      <c r="I19" s="5">
        <v>1.7391250131995886</v>
      </c>
      <c r="J19" s="5">
        <v>7.2225452242082516E-2</v>
      </c>
      <c r="K19" s="5">
        <v>1.3056604749440482E-3</v>
      </c>
      <c r="L19" s="5">
        <v>2.4416940573118167</v>
      </c>
      <c r="M19" s="5">
        <v>0.24336820834924938</v>
      </c>
      <c r="N19" s="5">
        <v>5.7005872704526137E-4</v>
      </c>
      <c r="O19" s="5">
        <v>4.6766969858921138E-3</v>
      </c>
      <c r="P19" s="5">
        <v>1.9540012933843522E-2</v>
      </c>
      <c r="Q19" s="5">
        <v>45.391837035724905</v>
      </c>
      <c r="R19" s="5">
        <v>0.13631507646653523</v>
      </c>
      <c r="S19" s="5">
        <v>47.35548841653614</v>
      </c>
      <c r="T19" s="18" t="str">
        <f t="shared" si="3"/>
        <v>NA</v>
      </c>
      <c r="U19" s="2">
        <f t="shared" ref="U19:AH19" si="16">IF(OR(F19=0,F19&lt;0.00001,F19&gt;100000),"",IF((IF(F19&gt;F$5,ABS(LOG(((F$5/SUM($F19:$S19))/(F$4/SUM($F$4:$S$4)))*4+2,2)),ABS(LOG(((F19/SUM($F19:$S19))/(F$4/SUM($F$4:$S$4)))*4+2,2)))-3)&gt;8,(IF(F19&gt;F$5,ABS(LOG(((F$5/SUM($F19:$S19))/(F$4/SUM($F$4:$S$4)))*4+2,2)),ABS(LOG(((F19/SUM($F19:$S19))/(F$4/SUM($F$4:$S$4)))*4+2,2)))-3)/7,IF(F19&gt;F$5,ABS(LOG(((F$5/SUM($F19:$S19))/(F$4/SUM($F$4:$S$4)))*4+2,2)),ABS(LOG(((F19/SUM($F19:$S19))/(F$4/SUM($F$4:$S$4)))*4+2,2)))-3))</f>
        <v>-1.9936502343962574</v>
      </c>
      <c r="V19" s="2">
        <f t="shared" si="16"/>
        <v>1.4396495928319055</v>
      </c>
      <c r="W19" s="2">
        <f t="shared" si="16"/>
        <v>2.4391383333900567</v>
      </c>
      <c r="X19" s="2">
        <f t="shared" si="16"/>
        <v>2.2332446849021368</v>
      </c>
      <c r="Y19" s="2">
        <f t="shared" si="16"/>
        <v>-1.1347006300665843</v>
      </c>
      <c r="Z19" s="2">
        <f t="shared" si="16"/>
        <v>5.1612894801682963E-2</v>
      </c>
      <c r="AA19" s="2">
        <f t="shared" si="16"/>
        <v>4.6582972985171081</v>
      </c>
      <c r="AB19" s="2">
        <f t="shared" si="16"/>
        <v>0.64297945099051468</v>
      </c>
      <c r="AC19" s="2">
        <f t="shared" si="16"/>
        <v>-1.9803204741443969</v>
      </c>
      <c r="AD19" s="2">
        <f t="shared" si="16"/>
        <v>-1.9916501764811279</v>
      </c>
      <c r="AE19" s="2">
        <f t="shared" si="16"/>
        <v>-1.9999998522765741</v>
      </c>
      <c r="AF19" s="2">
        <f t="shared" si="16"/>
        <v>-0.44585006996988907</v>
      </c>
      <c r="AG19" s="2">
        <f t="shared" si="16"/>
        <v>-1.9131687967084712</v>
      </c>
      <c r="AH19" s="2">
        <f t="shared" si="16"/>
        <v>-0.3087386319463552</v>
      </c>
      <c r="AI19" s="18" t="str">
        <f t="shared" si="5"/>
        <v>NA</v>
      </c>
      <c r="AJ19" s="2">
        <f t="shared" si="6"/>
        <v>2.1629087421641251</v>
      </c>
      <c r="AK19" s="16"/>
      <c r="AL19" s="56"/>
      <c r="AM19" s="4"/>
    </row>
    <row r="20" spans="1:39" ht="10.5" customHeight="1" x14ac:dyDescent="0.25">
      <c r="A20" s="15">
        <v>12</v>
      </c>
      <c r="B20" s="2">
        <f t="shared" si="2"/>
        <v>0.17911937178047213</v>
      </c>
      <c r="C20" s="15">
        <v>2</v>
      </c>
      <c r="D20" s="2">
        <v>25.554849459106951</v>
      </c>
      <c r="E20" s="18" t="s">
        <v>155</v>
      </c>
      <c r="F20" s="5">
        <v>1.1548253115589295E-4</v>
      </c>
      <c r="G20" s="5">
        <v>0.13544672312901604</v>
      </c>
      <c r="H20" s="5">
        <v>3.7407367914950446E-2</v>
      </c>
      <c r="I20" s="5">
        <v>0.58542507737558369</v>
      </c>
      <c r="J20" s="5">
        <v>7.7430314071001441E-2</v>
      </c>
      <c r="K20" s="5">
        <v>6.8553342671617556E-2</v>
      </c>
      <c r="L20" s="5">
        <v>0.93170519148660391</v>
      </c>
      <c r="M20" s="5">
        <v>0.32930244783767804</v>
      </c>
      <c r="N20" s="5">
        <v>2.4610040398556888E-3</v>
      </c>
      <c r="O20" s="5">
        <v>1.2569003475979225E-2</v>
      </c>
      <c r="P20" s="5">
        <v>3.5670853492595855E-2</v>
      </c>
      <c r="Q20" s="5">
        <v>16.453956506465133</v>
      </c>
      <c r="R20" s="5">
        <v>1.8830976319998489E-2</v>
      </c>
      <c r="S20" s="5">
        <v>22.981697046543974</v>
      </c>
      <c r="T20" s="18" t="str">
        <f t="shared" si="3"/>
        <v>C10</v>
      </c>
      <c r="U20" s="2">
        <f t="shared" ref="U20:AH20" si="17">IF(OR(F20=0,F20&lt;0.00001,F20&gt;100000),"",IF((IF(F20&gt;F$5,ABS(LOG(((F$5/SUM($F20:$S20))/(F$4/SUM($F$4:$S$4)))*4+2,2)),ABS(LOG(((F20/SUM($F20:$S20))/(F$4/SUM($F$4:$S$4)))*4+2,2)))-3)&gt;8,(IF(F20&gt;F$5,ABS(LOG(((F$5/SUM($F20:$S20))/(F$4/SUM($F$4:$S$4)))*4+2,2)),ABS(LOG(((F20/SUM($F20:$S20))/(F$4/SUM($F$4:$S$4)))*4+2,2)))-3)/7,IF(F20&gt;F$5,ABS(LOG(((F$5/SUM($F20:$S20))/(F$4/SUM($F$4:$S$4)))*4+2,2)),ABS(LOG(((F20/SUM($F20:$S20))/(F$4/SUM($F$4:$S$4)))*4+2,2)))-3))</f>
        <v>-1.9682417448113099</v>
      </c>
      <c r="V20" s="2">
        <f t="shared" si="17"/>
        <v>1.1950014539460359</v>
      </c>
      <c r="W20" s="2">
        <f t="shared" si="17"/>
        <v>1.0373138106036919</v>
      </c>
      <c r="X20" s="2">
        <f t="shared" si="17"/>
        <v>1.9168392192912833</v>
      </c>
      <c r="Y20" s="2">
        <f t="shared" si="17"/>
        <v>-0.38050038655718232</v>
      </c>
      <c r="Z20" s="2">
        <f t="shared" si="17"/>
        <v>6.6058551220671227</v>
      </c>
      <c r="AA20" s="2">
        <f t="shared" si="17"/>
        <v>4.5043800579855322</v>
      </c>
      <c r="AB20" s="2">
        <f t="shared" si="17"/>
        <v>2.1458327720914143</v>
      </c>
      <c r="AC20" s="2">
        <f t="shared" si="17"/>
        <v>-1.8115934366089439</v>
      </c>
      <c r="AD20" s="2">
        <f t="shared" si="17"/>
        <v>-1.9479961800206478</v>
      </c>
      <c r="AE20" s="2">
        <f t="shared" si="17"/>
        <v>-1.9999996524324974</v>
      </c>
      <c r="AF20" s="2">
        <f t="shared" si="17"/>
        <v>-0.59309772399923544</v>
      </c>
      <c r="AG20" s="2">
        <f t="shared" si="17"/>
        <v>-1.9712003280502275</v>
      </c>
      <c r="AH20" s="2">
        <f t="shared" si="17"/>
        <v>-0.17397653837320259</v>
      </c>
      <c r="AI20" s="18" t="str">
        <f t="shared" si="5"/>
        <v>C10</v>
      </c>
      <c r="AJ20" s="2">
        <f t="shared" si="6"/>
        <v>1</v>
      </c>
      <c r="AK20" s="16"/>
      <c r="AL20" s="56"/>
      <c r="AM20" s="4"/>
    </row>
    <row r="21" spans="1:39" ht="10.5" customHeight="1" x14ac:dyDescent="0.25">
      <c r="A21" s="15">
        <v>13</v>
      </c>
      <c r="B21" s="2">
        <f t="shared" si="2"/>
        <v>5.9492333997652178</v>
      </c>
      <c r="C21" s="15">
        <v>2</v>
      </c>
      <c r="D21" s="2">
        <v>26.411987775556852</v>
      </c>
      <c r="E21" s="18" t="s">
        <v>171</v>
      </c>
      <c r="F21" s="5">
        <v>3.3591646612945395E-3</v>
      </c>
      <c r="G21" s="5">
        <v>1.314658377651226</v>
      </c>
      <c r="H21" s="5">
        <v>0.21218444941757425</v>
      </c>
      <c r="I21" s="5">
        <v>1.2733553309279453</v>
      </c>
      <c r="J21" s="5">
        <v>0.67765383887461994</v>
      </c>
      <c r="K21" s="5">
        <v>0.18265415814475403</v>
      </c>
      <c r="L21" s="5">
        <v>1.2109464717925889</v>
      </c>
      <c r="M21" s="5">
        <v>1.2368626875460123</v>
      </c>
      <c r="N21" s="5">
        <v>0.49964567345461042</v>
      </c>
      <c r="O21" s="5">
        <v>1.1708445461180876</v>
      </c>
      <c r="P21" s="5">
        <v>4.6487970760136631E-2</v>
      </c>
      <c r="Q21" s="5">
        <v>20.2014028325104</v>
      </c>
      <c r="R21" s="5">
        <v>1.3058853999451206E-2</v>
      </c>
      <c r="S21" s="5">
        <v>9.0793492325628637</v>
      </c>
      <c r="T21" s="18" t="str">
        <f t="shared" si="3"/>
        <v>C107</v>
      </c>
      <c r="U21" s="2">
        <f t="shared" ref="U21:AH21" si="18">IF(OR(F21=0,F21&lt;0.00001,F21&gt;100000),"",IF((IF(F21&gt;F$5,ABS(LOG(((F$5/SUM($F21:$S21))/(F$4/SUM($F$4:$S$4)))*4+2,2)),ABS(LOG(((F21/SUM($F21:$S21))/(F$4/SUM($F$4:$S$4)))*4+2,2)))-3)&gt;8,(IF(F21&gt;F$5,ABS(LOG(((F$5/SUM($F21:$S21))/(F$4/SUM($F$4:$S$4)))*4+2,2)),ABS(LOG(((F21/SUM($F21:$S21))/(F$4/SUM($F$4:$S$4)))*4+2,2)))-3)/7,IF(F21&gt;F$5,ABS(LOG(((F$5/SUM($F21:$S21))/(F$4/SUM($F$4:$S$4)))*4+2,2)),ABS(LOG(((F21/SUM($F21:$S21))/(F$4/SUM($F$4:$S$4)))*4+2,2)))-3))</f>
        <v>-1.2119497511197039</v>
      </c>
      <c r="V21" s="2">
        <f t="shared" si="18"/>
        <v>4.4899486436163984</v>
      </c>
      <c r="W21" s="2">
        <f t="shared" si="18"/>
        <v>3.5516727045838401</v>
      </c>
      <c r="X21" s="2">
        <f t="shared" si="18"/>
        <v>3.1471253051923123</v>
      </c>
      <c r="Y21" s="2">
        <f t="shared" si="18"/>
        <v>2.4169821079056861</v>
      </c>
      <c r="Z21" s="2">
        <f t="shared" si="18"/>
        <v>1.1691343182122917</v>
      </c>
      <c r="AA21" s="2">
        <f t="shared" si="18"/>
        <v>5.0442984581981989</v>
      </c>
      <c r="AB21" s="2">
        <f t="shared" si="18"/>
        <v>4.1582208524544431</v>
      </c>
      <c r="AC21" s="2">
        <f t="shared" si="18"/>
        <v>3.0353128685093083</v>
      </c>
      <c r="AD21" s="2">
        <f t="shared" si="18"/>
        <v>0.27440460218106244</v>
      </c>
      <c r="AE21" s="2">
        <f t="shared" si="18"/>
        <v>-1.999999609849811</v>
      </c>
      <c r="AF21" s="2">
        <f t="shared" si="18"/>
        <v>-0.28793684952498877</v>
      </c>
      <c r="AG21" s="2">
        <f t="shared" si="18"/>
        <v>-1.9775318021770472</v>
      </c>
      <c r="AH21" s="2">
        <f t="shared" si="18"/>
        <v>-0.90989652180409664</v>
      </c>
      <c r="AI21" s="18" t="str">
        <f t="shared" si="5"/>
        <v>C107</v>
      </c>
      <c r="AJ21" s="2">
        <f t="shared" si="6"/>
        <v>2.0411987775556852</v>
      </c>
      <c r="AK21" s="16"/>
      <c r="AL21" s="56"/>
      <c r="AM21" s="16"/>
    </row>
    <row r="22" spans="1:39" ht="10.5" customHeight="1" x14ac:dyDescent="0.25">
      <c r="A22" s="15">
        <v>14</v>
      </c>
      <c r="B22" s="2">
        <f t="shared" si="2"/>
        <v>1.1360212674118826</v>
      </c>
      <c r="C22" s="15">
        <v>2</v>
      </c>
      <c r="D22" s="2">
        <v>28.876207724340599</v>
      </c>
      <c r="E22" s="18" t="s">
        <v>172</v>
      </c>
      <c r="F22" s="5">
        <v>1.8514048726241985E-2</v>
      </c>
      <c r="G22" s="5">
        <v>0.21682241454925427</v>
      </c>
      <c r="H22" s="5">
        <v>0.27036595213954767</v>
      </c>
      <c r="I22" s="5">
        <v>2.4292319613684641</v>
      </c>
      <c r="J22" s="5">
        <v>0.7821911581172063</v>
      </c>
      <c r="K22" s="5">
        <v>0.52805235866893663</v>
      </c>
      <c r="L22" s="5">
        <v>0.84151727690346978</v>
      </c>
      <c r="M22" s="5">
        <v>0.71152904957325991</v>
      </c>
      <c r="N22" s="5">
        <v>43.968677283929551</v>
      </c>
      <c r="O22" s="5">
        <v>0.20526969463558467</v>
      </c>
      <c r="P22" s="5">
        <v>0.12820902435867049</v>
      </c>
      <c r="Q22" s="5">
        <v>0.53965111323831727</v>
      </c>
      <c r="R22" s="5">
        <v>1.3749756625418821E-2</v>
      </c>
      <c r="S22" s="5">
        <v>0.95995784349468127</v>
      </c>
      <c r="T22" s="18" t="str">
        <f t="shared" si="3"/>
        <v>C119</v>
      </c>
      <c r="U22" s="2">
        <f t="shared" ref="U22:AH22" si="19">IF(OR(F22=0,F22&lt;0.00001,F22&gt;100000),"",IF((IF(F22&gt;F$5,ABS(LOG(((F$5/SUM($F22:$S22))/(F$4/SUM($F$4:$S$4)))*4+2,2)),ABS(LOG(((F22/SUM($F22:$S22))/(F$4/SUM($F$4:$S$4)))*4+2,2)))-3)&gt;8,(IF(F22&gt;F$5,ABS(LOG(((F$5/SUM($F22:$S22))/(F$4/SUM($F$4:$S$4)))*4+2,2)),ABS(LOG(((F22/SUM($F22:$S22))/(F$4/SUM($F$4:$S$4)))*4+2,2)))-3)/7,IF(F22&gt;F$5,ABS(LOG(((F$5/SUM($F22:$S22))/(F$4/SUM($F$4:$S$4)))*4+2,2)),ABS(LOG(((F22/SUM($F22:$S22))/(F$4/SUM($F$4:$S$4)))*4+2,2)))-3))</f>
        <v>-4.3628427906216682E-2</v>
      </c>
      <c r="V22" s="2">
        <f t="shared" si="19"/>
        <v>1.5289729884182561</v>
      </c>
      <c r="W22" s="2">
        <f t="shared" si="19"/>
        <v>3.4286058518931553</v>
      </c>
      <c r="X22" s="2">
        <f t="shared" si="19"/>
        <v>3.5924439735960938</v>
      </c>
      <c r="Y22" s="2">
        <f t="shared" si="19"/>
        <v>2.1622405203330031</v>
      </c>
      <c r="Z22" s="2">
        <f t="shared" si="19"/>
        <v>1.3199142880547206</v>
      </c>
      <c r="AA22" s="2">
        <f t="shared" si="19"/>
        <v>4.0546625248885775</v>
      </c>
      <c r="AB22" s="2">
        <f t="shared" si="19"/>
        <v>2.9134093150523208</v>
      </c>
      <c r="AC22" s="2">
        <f t="shared" si="19"/>
        <v>1.2821878692721616</v>
      </c>
      <c r="AD22" s="2">
        <f t="shared" si="19"/>
        <v>-1.4305583794605672</v>
      </c>
      <c r="AE22" s="2">
        <f t="shared" si="19"/>
        <v>-1.9999997193898942</v>
      </c>
      <c r="AF22" s="2">
        <f t="shared" si="19"/>
        <v>-1.9382443249805061</v>
      </c>
      <c r="AG22" s="2">
        <f t="shared" si="19"/>
        <v>-1.9829530185083053</v>
      </c>
      <c r="AH22" s="2">
        <f t="shared" si="19"/>
        <v>-1.8811800599521391</v>
      </c>
      <c r="AI22" s="18" t="str">
        <f t="shared" si="5"/>
        <v>C119</v>
      </c>
      <c r="AJ22" s="2">
        <f t="shared" si="6"/>
        <v>2.2876207724340598</v>
      </c>
      <c r="AK22" s="16"/>
      <c r="AL22" s="56"/>
      <c r="AM22" s="16"/>
    </row>
    <row r="23" spans="1:39" ht="10.5" customHeight="1" x14ac:dyDescent="0.25">
      <c r="A23" s="15">
        <v>15</v>
      </c>
      <c r="B23" s="2">
        <f t="shared" si="2"/>
        <v>4.8979378734866366</v>
      </c>
      <c r="C23" s="15">
        <v>2</v>
      </c>
      <c r="D23" s="2">
        <v>35.019054684600597</v>
      </c>
      <c r="E23" s="18" t="s">
        <v>173</v>
      </c>
      <c r="F23" s="5">
        <v>3.0357663002429533E-4</v>
      </c>
      <c r="G23" s="5">
        <v>1.3924408819214809E-3</v>
      </c>
      <c r="H23" s="5">
        <v>26.112735064993732</v>
      </c>
      <c r="I23" s="5">
        <v>1.3340168237975176</v>
      </c>
      <c r="J23" s="5">
        <v>1.8073076114658799</v>
      </c>
      <c r="K23" s="5">
        <v>0.59162656373986455</v>
      </c>
      <c r="L23" s="5">
        <v>1.3180549013205194</v>
      </c>
      <c r="M23" s="5">
        <v>0.6556143892354549</v>
      </c>
      <c r="N23" s="5">
        <v>0.60938030494081463</v>
      </c>
      <c r="O23" s="5">
        <v>60.365260975157902</v>
      </c>
      <c r="P23" s="5"/>
      <c r="Q23" s="5">
        <v>19.736112178472617</v>
      </c>
      <c r="R23" s="5">
        <v>6.7259838291233429E-2</v>
      </c>
      <c r="S23" s="5">
        <v>24.078104588503074</v>
      </c>
      <c r="T23" s="18" t="str">
        <f t="shared" si="3"/>
        <v>C13</v>
      </c>
      <c r="U23" s="2">
        <f t="shared" ref="U23:AH23" si="20">IF(OR(F23=0,F23&lt;0.00001,F23&gt;100000),"",IF((IF(F23&gt;F$5,ABS(LOG(((F$5/SUM($F23:$S23))/(F$4/SUM($F$4:$S$4)))*4+2,2)),ABS(LOG(((F23/SUM($F23:$S23))/(F$4/SUM($F$4:$S$4)))*4+2,2)))-3)&gt;8,(IF(F23&gt;F$5,ABS(LOG(((F$5/SUM($F23:$S23))/(F$4/SUM($F$4:$S$4)))*4+2,2)),ABS(LOG(((F23/SUM($F23:$S23))/(F$4/SUM($F$4:$S$4)))*4+2,2)))-3)/7,IF(F23&gt;F$5,ABS(LOG(((F$5/SUM($F23:$S23))/(F$4/SUM($F$4:$S$4)))*4+2,2)),ABS(LOG(((F23/SUM($F23:$S23))/(F$4/SUM($F$4:$S$4)))*4+2,2)))-3))</f>
        <v>-1.9744914401856011</v>
      </c>
      <c r="V23" s="2">
        <f t="shared" si="20"/>
        <v>-1.9635753424790459</v>
      </c>
      <c r="W23" s="2">
        <f t="shared" si="20"/>
        <v>1.2263435995832566</v>
      </c>
      <c r="X23" s="2">
        <f t="shared" si="20"/>
        <v>1.4327586139589163</v>
      </c>
      <c r="Y23" s="2">
        <f t="shared" si="20"/>
        <v>1.9772665578912161</v>
      </c>
      <c r="Z23" s="2">
        <f t="shared" si="20"/>
        <v>7.9992740629659682</v>
      </c>
      <c r="AA23" s="2">
        <f t="shared" si="20"/>
        <v>3.311976030856929</v>
      </c>
      <c r="AB23" s="2">
        <f t="shared" si="20"/>
        <v>1.4774205185498026</v>
      </c>
      <c r="AC23" s="2">
        <f t="shared" si="20"/>
        <v>1.5275307571217605</v>
      </c>
      <c r="AD23" s="2">
        <f t="shared" si="20"/>
        <v>3.7746331980703998</v>
      </c>
      <c r="AE23" s="2" t="str">
        <f t="shared" si="20"/>
        <v/>
      </c>
      <c r="AF23" s="2">
        <f t="shared" si="20"/>
        <v>-1.3183113719676032</v>
      </c>
      <c r="AG23" s="2">
        <f t="shared" si="20"/>
        <v>-1.9686656157662941</v>
      </c>
      <c r="AH23" s="2">
        <f t="shared" si="20"/>
        <v>-1.1415158333009132</v>
      </c>
      <c r="AI23" s="18" t="str">
        <f t="shared" si="5"/>
        <v>C13</v>
      </c>
      <c r="AJ23" s="2">
        <f t="shared" si="6"/>
        <v>2.3528603912719515</v>
      </c>
      <c r="AK23" s="16"/>
      <c r="AL23" s="56"/>
      <c r="AM23" s="16"/>
    </row>
    <row r="24" spans="1:39" ht="10.5" customHeight="1" x14ac:dyDescent="0.25">
      <c r="A24" s="15">
        <v>16</v>
      </c>
      <c r="B24" s="2">
        <f t="shared" si="2"/>
        <v>6.5624672433754849</v>
      </c>
      <c r="C24" s="15">
        <v>2</v>
      </c>
      <c r="D24" s="2">
        <v>34.133777169834048</v>
      </c>
      <c r="E24" s="18" t="s">
        <v>174</v>
      </c>
      <c r="F24" s="5">
        <v>0.17734841299733514</v>
      </c>
      <c r="G24" s="5"/>
      <c r="H24" s="5">
        <v>5.5341247349630756</v>
      </c>
      <c r="I24" s="5">
        <v>0.45683115455184159</v>
      </c>
      <c r="J24" s="5">
        <v>8.7486802343495604</v>
      </c>
      <c r="K24" s="5">
        <v>0.60481459034664642</v>
      </c>
      <c r="L24" s="5">
        <v>0.52083980444083644</v>
      </c>
      <c r="M24" s="5">
        <v>3.0995316252905893</v>
      </c>
      <c r="N24" s="5">
        <v>0.75615264863831011</v>
      </c>
      <c r="O24" s="5">
        <v>2.0633571435839477</v>
      </c>
      <c r="P24" s="5">
        <v>2.2831008487372811E-5</v>
      </c>
      <c r="Q24" s="5">
        <v>4.3730340724095713</v>
      </c>
      <c r="R24" s="5">
        <v>1.6811208001985746E-2</v>
      </c>
      <c r="S24" s="5">
        <v>7.7964201442064311</v>
      </c>
      <c r="T24" s="18" t="str">
        <f t="shared" si="3"/>
        <v>C138</v>
      </c>
      <c r="U24" s="2">
        <f t="shared" ref="U24:AH24" si="21">IF(OR(F24=0,F24&lt;0.00001,F24&gt;100000),"",IF((IF(F24&gt;F$5,ABS(LOG(((F$5/SUM($F24:$S24))/(F$4/SUM($F$4:$S$4)))*4+2,2)),ABS(LOG(((F24/SUM($F24:$S24))/(F$4/SUM($F$4:$S$4)))*4+2,2)))-3)&gt;8,(IF(F24&gt;F$5,ABS(LOG(((F$5/SUM($F24:$S24))/(F$4/SUM($F$4:$S$4)))*4+2,2)),ABS(LOG(((F24/SUM($F24:$S24))/(F$4/SUM($F$4:$S$4)))*4+2,2)))-3)/7,IF(F24&gt;F$5,ABS(LOG(((F$5/SUM($F24:$S24))/(F$4/SUM($F$4:$S$4)))*4+2,2)),ABS(LOG(((F24/SUM($F24:$S24))/(F$4/SUM($F$4:$S$4)))*4+2,2)))-3))</f>
        <v>3.4165226308521914</v>
      </c>
      <c r="V24" s="2" t="str">
        <f t="shared" si="21"/>
        <v/>
      </c>
      <c r="W24" s="2">
        <f t="shared" si="21"/>
        <v>1.1924496250692489</v>
      </c>
      <c r="X24" s="2">
        <f t="shared" si="21"/>
        <v>1.8510270937781579</v>
      </c>
      <c r="Y24" s="2">
        <f t="shared" si="21"/>
        <v>6.1637921952454562</v>
      </c>
      <c r="Z24" s="2">
        <f t="shared" si="21"/>
        <v>1.43298790004145</v>
      </c>
      <c r="AA24" s="2">
        <f t="shared" si="21"/>
        <v>3.9599604977085221</v>
      </c>
      <c r="AB24" s="2">
        <f t="shared" si="21"/>
        <v>5.5912359193294492</v>
      </c>
      <c r="AC24" s="2">
        <f t="shared" si="21"/>
        <v>3.7362204694778001</v>
      </c>
      <c r="AD24" s="2">
        <f t="shared" si="21"/>
        <v>1.0622510111683914</v>
      </c>
      <c r="AE24" s="2">
        <f t="shared" si="21"/>
        <v>-1.9999995758653704</v>
      </c>
      <c r="AF24" s="2">
        <f t="shared" si="21"/>
        <v>-1.3811276544314566</v>
      </c>
      <c r="AG24" s="2">
        <f t="shared" si="21"/>
        <v>-1.9686531799447127</v>
      </c>
      <c r="AH24" s="2">
        <f t="shared" si="21"/>
        <v>-0.96169230684405704</v>
      </c>
      <c r="AI24" s="18" t="str">
        <f t="shared" si="5"/>
        <v>C138</v>
      </c>
      <c r="AJ24" s="2">
        <f t="shared" si="6"/>
        <v>2.7132185124829622</v>
      </c>
      <c r="AK24" s="16"/>
      <c r="AL24" s="56"/>
      <c r="AM24" s="4"/>
    </row>
    <row r="25" spans="1:39" ht="10.5" customHeight="1" x14ac:dyDescent="0.25">
      <c r="A25" s="15">
        <v>17</v>
      </c>
      <c r="B25" s="2">
        <f t="shared" si="2"/>
        <v>5.0301936829782194</v>
      </c>
      <c r="C25" s="15">
        <v>2</v>
      </c>
      <c r="D25" s="2">
        <v>34.08483030986585</v>
      </c>
      <c r="E25" s="18" t="s">
        <v>175</v>
      </c>
      <c r="F25" s="5"/>
      <c r="G25" s="5">
        <v>0.44555944662084856</v>
      </c>
      <c r="H25" s="5">
        <v>1.6195247194877418</v>
      </c>
      <c r="I25" s="5">
        <v>1.3255095198061415</v>
      </c>
      <c r="J25" s="5">
        <v>1.6935478446837444</v>
      </c>
      <c r="K25" s="5">
        <v>0.67071964951521834</v>
      </c>
      <c r="L25" s="5">
        <v>0.2506795857082299</v>
      </c>
      <c r="M25" s="5">
        <v>4.5564241664619933</v>
      </c>
      <c r="N25" s="5">
        <v>7.0066340842539418E-2</v>
      </c>
      <c r="O25" s="5">
        <v>5.052480694991182</v>
      </c>
      <c r="P25" s="5">
        <v>3.4268741445939911E-6</v>
      </c>
      <c r="Q25" s="5">
        <v>14.520316396065621</v>
      </c>
      <c r="R25" s="5">
        <v>0.12606891239248322</v>
      </c>
      <c r="S25" s="5">
        <v>53.74754667069103</v>
      </c>
      <c r="T25" s="18" t="str">
        <f t="shared" si="3"/>
        <v>C22</v>
      </c>
      <c r="U25" s="2" t="str">
        <f t="shared" ref="U25:AH25" si="22">IF(OR(F25=0,F25&lt;0.00001,F25&gt;100000),"",IF((IF(F25&gt;F$5,ABS(LOG(((F$5/SUM($F25:$S25))/(F$4/SUM($F$4:$S$4)))*4+2,2)),ABS(LOG(((F25/SUM($F25:$S25))/(F$4/SUM($F$4:$S$4)))*4+2,2)))-3)&gt;8,(IF(F25&gt;F$5,ABS(LOG(((F$5/SUM($F25:$S25))/(F$4/SUM($F$4:$S$4)))*4+2,2)),ABS(LOG(((F25/SUM($F25:$S25))/(F$4/SUM($F$4:$S$4)))*4+2,2)))-3)/7,IF(F25&gt;F$5,ABS(LOG(((F$5/SUM($F25:$S25))/(F$4/SUM($F$4:$S$4)))*4+2,2)),ABS(LOG(((F25/SUM($F25:$S25))/(F$4/SUM($F$4:$S$4)))*4+2,2)))-3))</f>
        <v/>
      </c>
      <c r="V25" s="2">
        <f t="shared" si="22"/>
        <v>1.8379539682363166</v>
      </c>
      <c r="W25" s="2">
        <f t="shared" si="22"/>
        <v>5.2826142509731042</v>
      </c>
      <c r="X25" s="2">
        <f t="shared" si="22"/>
        <v>2.0726863898304426</v>
      </c>
      <c r="Y25" s="2">
        <f t="shared" si="22"/>
        <v>2.5526229728306582</v>
      </c>
      <c r="Z25" s="2">
        <f t="shared" si="22"/>
        <v>1.2686595110413648</v>
      </c>
      <c r="AA25" s="2">
        <f t="shared" si="22"/>
        <v>1.6973955514373973</v>
      </c>
      <c r="AB25" s="2">
        <f t="shared" si="22"/>
        <v>4.8521919678465828</v>
      </c>
      <c r="AC25" s="2">
        <f t="shared" si="22"/>
        <v>-0.43027792252126229</v>
      </c>
      <c r="AD25" s="2">
        <f t="shared" si="22"/>
        <v>1.0552657295978944</v>
      </c>
      <c r="AE25" s="2" t="str">
        <f t="shared" si="22"/>
        <v/>
      </c>
      <c r="AF25" s="2">
        <f t="shared" si="22"/>
        <v>-1.2155845837869741</v>
      </c>
      <c r="AG25" s="2">
        <f t="shared" si="22"/>
        <v>-1.9065732036738787</v>
      </c>
      <c r="AH25" s="2">
        <f t="shared" si="22"/>
        <v>-1.7931955643062825E-2</v>
      </c>
      <c r="AI25" s="18" t="str">
        <f t="shared" si="5"/>
        <v>C22</v>
      </c>
      <c r="AJ25" s="2">
        <f t="shared" si="6"/>
        <v>2.7364776214288407</v>
      </c>
      <c r="AK25" s="16"/>
      <c r="AL25" s="57"/>
      <c r="AM25" s="16"/>
    </row>
    <row r="26" spans="1:39" ht="10.5" customHeight="1" x14ac:dyDescent="0.25">
      <c r="A26" s="15">
        <v>18</v>
      </c>
      <c r="B26" s="2">
        <f t="shared" si="2"/>
        <v>6.3521676934651339</v>
      </c>
      <c r="C26" s="15">
        <v>2</v>
      </c>
      <c r="D26" s="2">
        <v>31.6721565644512</v>
      </c>
      <c r="E26" s="18" t="s">
        <v>176</v>
      </c>
      <c r="F26" s="5">
        <v>4.1992361666288065E-3</v>
      </c>
      <c r="G26" s="5">
        <v>0.26504751500078633</v>
      </c>
      <c r="H26" s="5">
        <v>0.93964581334824215</v>
      </c>
      <c r="I26" s="5">
        <v>1.4550291495922438</v>
      </c>
      <c r="J26" s="5">
        <v>1.4525883040146776</v>
      </c>
      <c r="K26" s="5">
        <v>0.68826829603441275</v>
      </c>
      <c r="L26" s="5">
        <v>0.546948388435755</v>
      </c>
      <c r="M26" s="5">
        <v>1.4217310711409745</v>
      </c>
      <c r="N26" s="5">
        <v>6.1797958261566675E-3</v>
      </c>
      <c r="O26" s="5">
        <v>0.913219587492894</v>
      </c>
      <c r="P26" s="5">
        <v>1.1625725954278705E-2</v>
      </c>
      <c r="Q26" s="5">
        <v>4.3706371185173962</v>
      </c>
      <c r="R26" s="5">
        <v>0.20395223648707964</v>
      </c>
      <c r="S26" s="5">
        <v>10.954876410549494</v>
      </c>
      <c r="T26" s="18" t="str">
        <f t="shared" si="3"/>
        <v>C23</v>
      </c>
      <c r="U26" s="2">
        <f t="shared" ref="U26:AH26" si="23">IF(OR(F26=0,F26&lt;0.00001,F26&gt;100000),"",IF((IF(F26&gt;F$5,ABS(LOG(((F$5/SUM($F26:$S26))/(F$4/SUM($F$4:$S$4)))*4+2,2)),ABS(LOG(((F26/SUM($F26:$S26))/(F$4/SUM($F$4:$S$4)))*4+2,2)))-3)&gt;8,(IF(F26&gt;F$5,ABS(LOG(((F$5/SUM($F26:$S26))/(F$4/SUM($F$4:$S$4)))*4+2,2)),ABS(LOG(((F26/SUM($F26:$S26))/(F$4/SUM($F$4:$S$4)))*4+2,2)))-3)/7,IF(F26&gt;F$5,ABS(LOG(((F$5/SUM($F26:$S26))/(F$4/SUM($F$4:$S$4)))*4+2,2)),ABS(LOG(((F26/SUM($F26:$S26))/(F$4/SUM($F$4:$S$4)))*4+2,2)))-3))</f>
        <v>-0.7063070071990345</v>
      </c>
      <c r="V26" s="2">
        <f t="shared" si="23"/>
        <v>2.8890300654459455</v>
      </c>
      <c r="W26" s="2">
        <f t="shared" si="23"/>
        <v>6.3478734461204454</v>
      </c>
      <c r="X26" s="2">
        <f t="shared" si="23"/>
        <v>3.9970643866207931</v>
      </c>
      <c r="Y26" s="2">
        <f t="shared" si="23"/>
        <v>4.1444189335555706</v>
      </c>
      <c r="Z26" s="2">
        <f t="shared" si="23"/>
        <v>1.5389743104524947</v>
      </c>
      <c r="AA26" s="2">
        <f t="shared" si="23"/>
        <v>4.5779075555896416</v>
      </c>
      <c r="AB26" s="2">
        <f t="shared" si="23"/>
        <v>5.0260111375472558</v>
      </c>
      <c r="AC26" s="2">
        <f t="shared" si="23"/>
        <v>-1.2966472600829166</v>
      </c>
      <c r="AD26" s="2">
        <f t="shared" si="23"/>
        <v>0.53179610798041477</v>
      </c>
      <c r="AE26" s="2">
        <f t="shared" si="23"/>
        <v>-1.9999993766304971</v>
      </c>
      <c r="AF26" s="2">
        <f t="shared" si="23"/>
        <v>-1.162562942814038</v>
      </c>
      <c r="AG26" s="2">
        <f t="shared" si="23"/>
        <v>-1.523185884040712</v>
      </c>
      <c r="AH26" s="2">
        <f t="shared" si="23"/>
        <v>-0.33265153271845493</v>
      </c>
      <c r="AI26" s="18" t="str">
        <f t="shared" si="5"/>
        <v>C23</v>
      </c>
      <c r="AJ26" s="2">
        <f t="shared" si="6"/>
        <v>2.5672156564451201</v>
      </c>
      <c r="AK26" s="16"/>
      <c r="AL26" s="57"/>
      <c r="AM26" s="16"/>
    </row>
    <row r="27" spans="1:39" ht="10.5" customHeight="1" x14ac:dyDescent="0.25">
      <c r="A27" s="15">
        <v>19</v>
      </c>
      <c r="B27" s="2">
        <f t="shared" si="2"/>
        <v>7.9745746244647862</v>
      </c>
      <c r="C27" s="15">
        <v>2</v>
      </c>
      <c r="D27" s="2">
        <v>28.988933116868701</v>
      </c>
      <c r="E27" s="18" t="s">
        <v>177</v>
      </c>
      <c r="F27" s="5">
        <v>2.7336358372038193E-2</v>
      </c>
      <c r="G27" s="5">
        <v>3.0367190357493287E-2</v>
      </c>
      <c r="H27" s="5">
        <v>0.15314409793052541</v>
      </c>
      <c r="I27" s="5">
        <v>0.56555873345243635</v>
      </c>
      <c r="J27" s="5">
        <v>1.2010523135385676</v>
      </c>
      <c r="K27" s="5">
        <v>0.22191946978341653</v>
      </c>
      <c r="L27" s="5">
        <v>0.1237851132885637</v>
      </c>
      <c r="M27" s="5">
        <v>0.40053695261465144</v>
      </c>
      <c r="N27" s="5">
        <v>6.3400596758715873E-3</v>
      </c>
      <c r="O27" s="5">
        <v>5.818633083452069E-2</v>
      </c>
      <c r="P27" s="5">
        <v>0.22425509926008735</v>
      </c>
      <c r="Q27" s="5">
        <v>0.30869027231046919</v>
      </c>
      <c r="R27" s="5">
        <v>0.35821323538799105</v>
      </c>
      <c r="S27" s="5">
        <v>1.9140701635930775</v>
      </c>
      <c r="T27" s="18" t="str">
        <f t="shared" si="3"/>
        <v>C30</v>
      </c>
      <c r="U27" s="2">
        <f t="shared" ref="U27:AH27" si="24">IF(OR(F27=0,F27&lt;0.00001,F27&gt;100000),"",IF((IF(F27&gt;F$5,ABS(LOG(((F$5/SUM($F27:$S27))/(F$4/SUM($F$4:$S$4)))*4+2,2)),ABS(LOG(((F27/SUM($F27:$S27))/(F$4/SUM($F$4:$S$4)))*4+2,2)))-3)&gt;8,(IF(F27&gt;F$5,ABS(LOG(((F$5/SUM($F27:$S27))/(F$4/SUM($F$4:$S$4)))*4+2,2)),ABS(LOG(((F27/SUM($F27:$S27))/(F$4/SUM($F$4:$S$4)))*4+2,2)))-3)/7,IF(F27&gt;F$5,ABS(LOG(((F$5/SUM($F27:$S27))/(F$4/SUM($F$4:$S$4)))*4+2,2)),ABS(LOG(((F27/SUM($F27:$S27))/(F$4/SUM($F$4:$S$4)))*4+2,2)))-3))</f>
        <v>3.3309328736180071</v>
      </c>
      <c r="V27" s="2">
        <f t="shared" si="24"/>
        <v>1.870432997399698</v>
      </c>
      <c r="W27" s="2">
        <f t="shared" si="24"/>
        <v>5.7871800786929644</v>
      </c>
      <c r="X27" s="2">
        <f t="shared" si="24"/>
        <v>4.6795643887136658</v>
      </c>
      <c r="Y27" s="2">
        <f t="shared" si="24"/>
        <v>5.9099852132223702</v>
      </c>
      <c r="Z27" s="2">
        <f t="shared" si="24"/>
        <v>1.599179400350643</v>
      </c>
      <c r="AA27" s="2">
        <f t="shared" si="24"/>
        <v>4.4897255910472795</v>
      </c>
      <c r="AB27" s="2">
        <f t="shared" si="24"/>
        <v>5.2511813603136321</v>
      </c>
      <c r="AC27" s="2">
        <f t="shared" si="24"/>
        <v>-0.12130153232008922</v>
      </c>
      <c r="AD27" s="2">
        <f t="shared" si="24"/>
        <v>-0.8199499994323296</v>
      </c>
      <c r="AE27" s="2">
        <f t="shared" si="24"/>
        <v>-1.9999974106658343</v>
      </c>
      <c r="AF27" s="2">
        <f t="shared" si="24"/>
        <v>-1.7003476761793952</v>
      </c>
      <c r="AG27" s="2">
        <f t="shared" si="24"/>
        <v>-5.2366266930293115E-2</v>
      </c>
      <c r="AH27" s="2">
        <f t="shared" si="24"/>
        <v>-0.63292296592061392</v>
      </c>
      <c r="AI27" s="18" t="str">
        <f t="shared" si="5"/>
        <v>C30</v>
      </c>
      <c r="AJ27" s="2">
        <f t="shared" si="6"/>
        <v>2.2988933116868702</v>
      </c>
      <c r="AK27" s="16"/>
      <c r="AL27" s="56"/>
      <c r="AM27" s="16"/>
    </row>
    <row r="28" spans="1:39" ht="10.5" customHeight="1" x14ac:dyDescent="0.25">
      <c r="A28" s="15">
        <v>20</v>
      </c>
      <c r="B28" s="2">
        <f t="shared" si="2"/>
        <v>6.8278845398951331</v>
      </c>
      <c r="C28" s="15">
        <v>2</v>
      </c>
      <c r="D28" s="2">
        <v>33.21187265900015</v>
      </c>
      <c r="E28" s="18" t="s">
        <v>178</v>
      </c>
      <c r="F28" s="5">
        <v>0.44666410396372769</v>
      </c>
      <c r="G28" s="5">
        <v>0.30929446899700769</v>
      </c>
      <c r="H28" s="5">
        <v>12.667271210325149</v>
      </c>
      <c r="I28" s="5">
        <v>0.62327507649247749</v>
      </c>
      <c r="J28" s="5">
        <v>4.3624470063093437</v>
      </c>
      <c r="K28" s="5">
        <v>1.7715629194371152</v>
      </c>
      <c r="L28" s="5">
        <v>1.0987550323021253</v>
      </c>
      <c r="M28" s="5">
        <v>3.498991639668235</v>
      </c>
      <c r="N28" s="5">
        <v>0.45246905726414649</v>
      </c>
      <c r="O28" s="5">
        <v>1.6168975356633628</v>
      </c>
      <c r="P28" s="5">
        <v>4.6703040460892922E-2</v>
      </c>
      <c r="Q28" s="5">
        <v>6.1203472654393325</v>
      </c>
      <c r="R28" s="5">
        <v>0.23438975279503907</v>
      </c>
      <c r="S28" s="5">
        <v>8.835837809774473</v>
      </c>
      <c r="T28" s="18" t="str">
        <f t="shared" si="3"/>
        <v>C33</v>
      </c>
      <c r="U28" s="2">
        <f t="shared" ref="U28:AH28" si="25">IF(OR(F28=0,F28&lt;0.00001,F28&gt;100000),"",IF((IF(F28&gt;F$5,ABS(LOG(((F$5/SUM($F28:$S28))/(F$4/SUM($F$4:$S$4)))*4+2,2)),ABS(LOG(((F28/SUM($F28:$S28))/(F$4/SUM($F$4:$S$4)))*4+2,2)))-3)&gt;8,(IF(F28&gt;F$5,ABS(LOG(((F$5/SUM($F28:$S28))/(F$4/SUM($F$4:$S$4)))*4+2,2)),ABS(LOG(((F28/SUM($F28:$S28))/(F$4/SUM($F$4:$S$4)))*4+2,2)))-3)/7,IF(F28&gt;F$5,ABS(LOG(((F$5/SUM($F28:$S28))/(F$4/SUM($F$4:$S$4)))*4+2,2)),ABS(LOG(((F28/SUM($F28:$S28))/(F$4/SUM($F$4:$S$4)))*4+2,2)))-3))</f>
        <v>4.430270066210694</v>
      </c>
      <c r="V28" s="2">
        <f t="shared" si="25"/>
        <v>2.28133134283323</v>
      </c>
      <c r="W28" s="2">
        <f t="shared" si="25"/>
        <v>1.3199730900442976</v>
      </c>
      <c r="X28" s="2">
        <f t="shared" si="25"/>
        <v>1.9880327692013617</v>
      </c>
      <c r="Y28" s="2">
        <f t="shared" si="25"/>
        <v>4.8657453902943901</v>
      </c>
      <c r="Z28" s="2">
        <f t="shared" si="25"/>
        <v>1.5311073015837411</v>
      </c>
      <c r="AA28" s="2">
        <f t="shared" si="25"/>
        <v>4.7257465100321747</v>
      </c>
      <c r="AB28" s="2">
        <f t="shared" si="25"/>
        <v>5.4653078760013862</v>
      </c>
      <c r="AC28" s="2">
        <f t="shared" si="25"/>
        <v>2.7222551107019255</v>
      </c>
      <c r="AD28" s="2">
        <f t="shared" si="25"/>
        <v>0.50466063673931716</v>
      </c>
      <c r="AE28" s="2">
        <f t="shared" si="25"/>
        <v>-1.9999996558543709</v>
      </c>
      <c r="AF28" s="2">
        <f t="shared" si="25"/>
        <v>-1.3144448924183301</v>
      </c>
      <c r="AG28" s="2">
        <f t="shared" si="25"/>
        <v>-1.6798058445763486</v>
      </c>
      <c r="AH28" s="2">
        <f t="shared" si="25"/>
        <v>-1.0224838089852355</v>
      </c>
      <c r="AI28" s="18" t="str">
        <f t="shared" si="5"/>
        <v>C33</v>
      </c>
      <c r="AJ28" s="2">
        <f t="shared" si="6"/>
        <v>3.2520092300446262</v>
      </c>
      <c r="AK28" s="16"/>
      <c r="AL28" s="56"/>
      <c r="AM28" s="16"/>
    </row>
    <row r="29" spans="1:39" ht="10.5" customHeight="1" x14ac:dyDescent="0.25">
      <c r="A29" s="15">
        <v>21</v>
      </c>
      <c r="B29" s="2">
        <f t="shared" si="2"/>
        <v>8.4326278278149758</v>
      </c>
      <c r="C29" s="15">
        <v>2</v>
      </c>
      <c r="D29" s="2">
        <v>27.809701190872502</v>
      </c>
      <c r="E29" s="18" t="s">
        <v>179</v>
      </c>
      <c r="F29" s="5">
        <v>0.13225000688427163</v>
      </c>
      <c r="G29" s="5">
        <v>0.7103633636150275</v>
      </c>
      <c r="H29" s="5">
        <v>0.38833976938234199</v>
      </c>
      <c r="I29" s="5">
        <v>0.78404492689787642</v>
      </c>
      <c r="J29" s="5">
        <v>0.57335692518536463</v>
      </c>
      <c r="K29" s="5">
        <v>0.18403307143092279</v>
      </c>
      <c r="L29" s="5">
        <v>3.1821431924440984</v>
      </c>
      <c r="M29" s="5">
        <v>1.6213933900696917</v>
      </c>
      <c r="N29" s="5">
        <v>0.1006409785137584</v>
      </c>
      <c r="O29" s="5">
        <v>3.4878668476378403</v>
      </c>
      <c r="P29" s="5">
        <v>0.2113779410806961</v>
      </c>
      <c r="Q29" s="5">
        <v>0.38912617103654717</v>
      </c>
      <c r="R29" s="5">
        <v>6.8705949341420949E-2</v>
      </c>
      <c r="S29" s="5">
        <v>42.042403763689116</v>
      </c>
      <c r="T29" s="18" t="str">
        <f t="shared" si="3"/>
        <v>C34</v>
      </c>
      <c r="U29" s="2">
        <f t="shared" ref="U29:AH29" si="26">IF(OR(F29=0,F29&lt;0.00001,F29&gt;100000),"",IF((IF(F29&gt;F$5,ABS(LOG(((F$5/SUM($F29:$S29))/(F$4/SUM($F$4:$S$4)))*4+2,2)),ABS(LOG(((F29/SUM($F29:$S29))/(F$4/SUM($F$4:$S$4)))*4+2,2)))-3)&gt;8,(IF(F29&gt;F$5,ABS(LOG(((F$5/SUM($F29:$S29))/(F$4/SUM($F$4:$S$4)))*4+2,2)),ABS(LOG(((F29/SUM($F29:$S29))/(F$4/SUM($F$4:$S$4)))*4+2,2)))-3)/7,IF(F29&gt;F$5,ABS(LOG(((F$5/SUM($F29:$S29))/(F$4/SUM($F$4:$S$4)))*4+2,2)),ABS(LOG(((F29/SUM($F29:$S29))/(F$4/SUM($F$4:$S$4)))*4+2,2)))-3))</f>
        <v>2.3725638355389389</v>
      </c>
      <c r="V29" s="2">
        <f t="shared" si="26"/>
        <v>3.0913483115412506</v>
      </c>
      <c r="W29" s="2">
        <f t="shared" si="26"/>
        <v>3.8799400566204696</v>
      </c>
      <c r="X29" s="2">
        <f t="shared" si="26"/>
        <v>1.9643648892323675</v>
      </c>
      <c r="Y29" s="2">
        <f t="shared" si="26"/>
        <v>1.6860328228200832</v>
      </c>
      <c r="Z29" s="2">
        <f t="shared" si="26"/>
        <v>7.6579852857198052</v>
      </c>
      <c r="AA29" s="2">
        <f t="shared" si="26"/>
        <v>5.8959086599442703</v>
      </c>
      <c r="AB29" s="2">
        <f t="shared" si="26"/>
        <v>4.0135802821308406</v>
      </c>
      <c r="AC29" s="2">
        <f t="shared" si="26"/>
        <v>0.43629408036982342</v>
      </c>
      <c r="AD29" s="2">
        <f t="shared" si="26"/>
        <v>1.1502004732643325</v>
      </c>
      <c r="AE29" s="2">
        <f t="shared" si="26"/>
        <v>-1.9999997311729831</v>
      </c>
      <c r="AF29" s="2">
        <f t="shared" si="26"/>
        <v>-1.9570589315946976</v>
      </c>
      <c r="AG29" s="2">
        <f t="shared" si="26"/>
        <v>-1.9201614816186627</v>
      </c>
      <c r="AH29" s="2">
        <f t="shared" si="26"/>
        <v>0.20221673786808658</v>
      </c>
      <c r="AI29" s="18" t="str">
        <f t="shared" si="5"/>
        <v>C34</v>
      </c>
      <c r="AJ29" s="2">
        <f t="shared" si="6"/>
        <v>2.1809701190872501</v>
      </c>
      <c r="AK29" s="16"/>
      <c r="AL29" s="56"/>
      <c r="AM29" s="4"/>
    </row>
    <row r="30" spans="1:39" ht="10.5" customHeight="1" x14ac:dyDescent="0.25">
      <c r="A30" s="15">
        <v>22</v>
      </c>
      <c r="B30" s="2">
        <f t="shared" si="2"/>
        <v>1.8055848917818937</v>
      </c>
      <c r="C30" s="15">
        <v>2</v>
      </c>
      <c r="D30" s="2">
        <v>26.681891291143</v>
      </c>
      <c r="E30" s="18" t="s">
        <v>180</v>
      </c>
      <c r="F30" s="5">
        <v>8.0293610736996911E-4</v>
      </c>
      <c r="G30" s="5">
        <v>3.5237548869077935E-2</v>
      </c>
      <c r="H30" s="5">
        <v>4.2012958216011295E-2</v>
      </c>
      <c r="I30" s="5">
        <v>0.52738370909610011</v>
      </c>
      <c r="J30" s="5">
        <v>7.12276835867304E-2</v>
      </c>
      <c r="K30" s="5">
        <v>2.7414346521870168E-2</v>
      </c>
      <c r="L30" s="5">
        <v>0.13824967160238275</v>
      </c>
      <c r="M30" s="5">
        <v>0.13851809945625201</v>
      </c>
      <c r="N30" s="5">
        <v>9.6382648345866573E-3</v>
      </c>
      <c r="O30" s="5">
        <v>9.1486600656072253E-2</v>
      </c>
      <c r="P30" s="5">
        <v>7.1125118407361812E-2</v>
      </c>
      <c r="Q30" s="5">
        <v>3.6539566600644502</v>
      </c>
      <c r="R30" s="5">
        <v>9.5831479562088845E-2</v>
      </c>
      <c r="S30" s="5">
        <v>5.6238643154983379</v>
      </c>
      <c r="T30" s="18" t="str">
        <f t="shared" si="3"/>
        <v>C36</v>
      </c>
      <c r="U30" s="2">
        <f t="shared" ref="U30:AH30" si="27">IF(OR(F30=0,F30&lt;0.00001,F30&gt;100000),"",IF((IF(F30&gt;F$5,ABS(LOG(((F$5/SUM($F30:$S30))/(F$4/SUM($F$4:$S$4)))*4+2,2)),ABS(LOG(((F30/SUM($F30:$S30))/(F$4/SUM($F$4:$S$4)))*4+2,2)))-3)&gt;8,(IF(F30&gt;F$5,ABS(LOG(((F$5/SUM($F30:$S30))/(F$4/SUM($F$4:$S$4)))*4+2,2)),ABS(LOG(((F30/SUM($F30:$S30))/(F$4/SUM($F$4:$S$4)))*4+2,2)))-3)/7,IF(F30&gt;F$5,ABS(LOG(((F$5/SUM($F30:$S30))/(F$4/SUM($F$4:$S$4)))*4+2,2)),ABS(LOG(((F30/SUM($F30:$S30))/(F$4/SUM($F$4:$S$4)))*4+2,2)))-3))</f>
        <v>-1.3106191587048468</v>
      </c>
      <c r="V30" s="2">
        <f t="shared" si="27"/>
        <v>1.23285745697543</v>
      </c>
      <c r="W30" s="2">
        <f t="shared" si="27"/>
        <v>3.0467235326894153</v>
      </c>
      <c r="X30" s="2">
        <f t="shared" si="27"/>
        <v>3.6807519849180075</v>
      </c>
      <c r="Y30" s="2">
        <f t="shared" si="27"/>
        <v>1.0955114263251016</v>
      </c>
      <c r="Z30" s="2">
        <f t="shared" si="27"/>
        <v>7.2671636297042621</v>
      </c>
      <c r="AA30" s="2">
        <f t="shared" si="27"/>
        <v>3.747871673104771</v>
      </c>
      <c r="AB30" s="2">
        <f t="shared" si="27"/>
        <v>2.8485355073851748</v>
      </c>
      <c r="AC30" s="2">
        <f t="shared" si="27"/>
        <v>-0.33881263579181109</v>
      </c>
      <c r="AD30" s="2">
        <f t="shared" si="27"/>
        <v>-0.95906827552141349</v>
      </c>
      <c r="AE30" s="2">
        <f t="shared" si="27"/>
        <v>-1.999998624140207</v>
      </c>
      <c r="AF30" s="2">
        <f t="shared" si="27"/>
        <v>-0.70606977804201687</v>
      </c>
      <c r="AG30" s="2">
        <f t="shared" si="27"/>
        <v>-1.5082120147652338</v>
      </c>
      <c r="AH30" s="2">
        <f t="shared" si="27"/>
        <v>-0.20677006565362754</v>
      </c>
      <c r="AI30" s="18" t="str">
        <f t="shared" si="5"/>
        <v>C36</v>
      </c>
      <c r="AJ30" s="2">
        <f t="shared" si="6"/>
        <v>2.0681891291143</v>
      </c>
      <c r="AK30" s="16"/>
      <c r="AL30" s="57"/>
      <c r="AM30" s="16"/>
    </row>
    <row r="31" spans="1:39" ht="10.5" customHeight="1" x14ac:dyDescent="0.25">
      <c r="A31" s="15">
        <v>23</v>
      </c>
      <c r="B31" s="2">
        <f t="shared" si="2"/>
        <v>9.3978355889600458</v>
      </c>
      <c r="C31" s="15">
        <v>2</v>
      </c>
      <c r="D31" s="2">
        <v>27.7108553049523</v>
      </c>
      <c r="E31" s="18" t="s">
        <v>160</v>
      </c>
      <c r="F31" s="5">
        <v>4.4032737995750096E-2</v>
      </c>
      <c r="G31" s="5">
        <v>0.31581186619600715</v>
      </c>
      <c r="H31" s="5">
        <v>0.19104173516694875</v>
      </c>
      <c r="I31" s="5">
        <v>1.6150557312223144</v>
      </c>
      <c r="J31" s="5">
        <v>0.79955215661915746</v>
      </c>
      <c r="K31" s="5">
        <v>9.65561157357087E-2</v>
      </c>
      <c r="L31" s="5">
        <v>1.0043910546866841</v>
      </c>
      <c r="M31" s="5">
        <v>0.27460845313060017</v>
      </c>
      <c r="N31" s="5">
        <v>5.1388345636933695E-2</v>
      </c>
      <c r="O31" s="5">
        <v>0.15007274608704813</v>
      </c>
      <c r="P31" s="5">
        <v>0.18230196109588809</v>
      </c>
      <c r="Q31" s="5">
        <v>9.3328169791598706E-2</v>
      </c>
      <c r="R31" s="5">
        <v>0.17319778465913938</v>
      </c>
      <c r="S31" s="5">
        <v>5.0074151063925365</v>
      </c>
      <c r="T31" s="18" t="str">
        <f t="shared" si="3"/>
        <v>C5</v>
      </c>
      <c r="U31" s="2">
        <f t="shared" ref="U31:AH31" si="28">IF(OR(F31=0,F31&lt;0.00001,F31&gt;100000),"",IF((IF(F31&gt;F$5,ABS(LOG(((F$5/SUM($F31:$S31))/(F$4/SUM($F$4:$S$4)))*4+2,2)),ABS(LOG(((F31/SUM($F31:$S31))/(F$4/SUM($F$4:$S$4)))*4+2,2)))-3)&gt;8,(IF(F31&gt;F$5,ABS(LOG(((F$5/SUM($F31:$S31))/(F$4/SUM($F$4:$S$4)))*4+2,2)),ABS(LOG(((F31/SUM($F31:$S31))/(F$4/SUM($F$4:$S$4)))*4+2,2)))-3)/7,IF(F31&gt;F$5,ABS(LOG(((F$5/SUM($F31:$S31))/(F$4/SUM($F$4:$S$4)))*4+2,2)),ABS(LOG(((F31/SUM($F31:$S31))/(F$4/SUM($F$4:$S$4)))*4+2,2)))-3))</f>
        <v>3.1846087508782484</v>
      </c>
      <c r="V31" s="2">
        <f t="shared" si="28"/>
        <v>4.3268147246296635</v>
      </c>
      <c r="W31" s="2">
        <f t="shared" si="28"/>
        <v>5.2709947327446773</v>
      </c>
      <c r="X31" s="2">
        <f t="shared" si="28"/>
        <v>5.350117278489666</v>
      </c>
      <c r="Y31" s="2">
        <f t="shared" si="28"/>
        <v>4.4950150710692807</v>
      </c>
      <c r="Z31" s="2">
        <f t="shared" si="28"/>
        <v>1.308018423925855</v>
      </c>
      <c r="AA31" s="2">
        <f t="shared" si="28"/>
        <v>6.6595569505293621</v>
      </c>
      <c r="AB31" s="2">
        <f t="shared" si="28"/>
        <v>3.8837551584533516</v>
      </c>
      <c r="AC31" s="2">
        <f t="shared" si="28"/>
        <v>1.7159095420866777</v>
      </c>
      <c r="AD31" s="2">
        <f t="shared" si="28"/>
        <v>-0.50103384796800876</v>
      </c>
      <c r="AE31" s="2">
        <f t="shared" si="28"/>
        <v>-1.9999985514864225</v>
      </c>
      <c r="AF31" s="2">
        <f t="shared" si="28"/>
        <v>-1.944743818824139</v>
      </c>
      <c r="AG31" s="2">
        <f t="shared" si="28"/>
        <v>-1.1739109114813107</v>
      </c>
      <c r="AH31" s="2">
        <f t="shared" si="28"/>
        <v>-0.27249500193934484</v>
      </c>
      <c r="AI31" s="18" t="str">
        <f t="shared" si="5"/>
        <v>C5</v>
      </c>
      <c r="AJ31" s="2">
        <f t="shared" si="6"/>
        <v>2.1710855304952301</v>
      </c>
      <c r="AK31" s="16"/>
      <c r="AL31" s="57"/>
      <c r="AM31" s="16"/>
    </row>
    <row r="32" spans="1:39" ht="10.5" customHeight="1" x14ac:dyDescent="0.25">
      <c r="A32" s="15">
        <v>24</v>
      </c>
      <c r="B32" s="2">
        <f t="shared" si="2"/>
        <v>7.8485769807728776</v>
      </c>
      <c r="C32" s="15">
        <v>2</v>
      </c>
      <c r="D32" s="2">
        <v>30.577718147610803</v>
      </c>
      <c r="E32" s="18" t="s">
        <v>181</v>
      </c>
      <c r="F32" s="5">
        <v>2.7253130913412063E-7</v>
      </c>
      <c r="G32" s="5"/>
      <c r="H32" s="5">
        <v>3.0463829348150555</v>
      </c>
      <c r="I32" s="5">
        <v>0.33936297103911345</v>
      </c>
      <c r="J32" s="5">
        <v>1.0213940915199358</v>
      </c>
      <c r="K32" s="5">
        <v>0.27989438185572146</v>
      </c>
      <c r="L32" s="5">
        <v>0.6528012086854259</v>
      </c>
      <c r="M32" s="5">
        <v>0.71546350346969156</v>
      </c>
      <c r="N32" s="5">
        <v>1.5176792393608336</v>
      </c>
      <c r="O32" s="5">
        <v>21.977349051363994</v>
      </c>
      <c r="P32" s="5">
        <v>2.7532209423356137E-2</v>
      </c>
      <c r="Q32" s="5">
        <v>0.52509487273949185</v>
      </c>
      <c r="R32" s="5">
        <v>4.6873654962383262E-3</v>
      </c>
      <c r="S32" s="5">
        <v>2.5195168763048708</v>
      </c>
      <c r="T32" s="18" t="str">
        <f t="shared" si="3"/>
        <v>C52</v>
      </c>
      <c r="U32" s="2" t="str">
        <f t="shared" ref="U32:AH32" si="29">IF(OR(F32=0,F32&lt;0.00001,F32&gt;100000),"",IF((IF(F32&gt;F$5,ABS(LOG(((F$5/SUM($F32:$S32))/(F$4/SUM($F$4:$S$4)))*4+2,2)),ABS(LOG(((F32/SUM($F32:$S32))/(F$4/SUM($F$4:$S$4)))*4+2,2)))-3)&gt;8,(IF(F32&gt;F$5,ABS(LOG(((F$5/SUM($F32:$S32))/(F$4/SUM($F$4:$S$4)))*4+2,2)),ABS(LOG(((F32/SUM($F32:$S32))/(F$4/SUM($F$4:$S$4)))*4+2,2)))-3)/7,IF(F32&gt;F$5,ABS(LOG(((F$5/SUM($F32:$S32))/(F$4/SUM($F$4:$S$4)))*4+2,2)),ABS(LOG(((F32/SUM($F32:$S32))/(F$4/SUM($F$4:$S$4)))*4+2,2)))-3))</f>
        <v/>
      </c>
      <c r="V32" s="2" t="str">
        <f t="shared" si="29"/>
        <v/>
      </c>
      <c r="W32" s="2">
        <f t="shared" si="29"/>
        <v>7.552430535032876</v>
      </c>
      <c r="X32" s="2">
        <f t="shared" si="29"/>
        <v>1.5162541167329842</v>
      </c>
      <c r="Y32" s="2">
        <f t="shared" si="29"/>
        <v>3.1666878947939114</v>
      </c>
      <c r="Z32" s="2">
        <f t="shared" si="29"/>
        <v>1.283628323220841</v>
      </c>
      <c r="AA32" s="2">
        <f t="shared" si="29"/>
        <v>4.3459717861582998</v>
      </c>
      <c r="AB32" s="2">
        <f t="shared" si="29"/>
        <v>3.5651592274786426</v>
      </c>
      <c r="AC32" s="2">
        <f t="shared" si="29"/>
        <v>4.7928134945238368</v>
      </c>
      <c r="AD32" s="2">
        <f t="shared" si="29"/>
        <v>4.374456491640264</v>
      </c>
      <c r="AE32" s="2">
        <f t="shared" si="29"/>
        <v>-1.9999995560957076</v>
      </c>
      <c r="AF32" s="2">
        <f t="shared" si="29"/>
        <v>-1.9060077809280067</v>
      </c>
      <c r="AG32" s="2">
        <f t="shared" si="29"/>
        <v>-1.990781771025818</v>
      </c>
      <c r="AH32" s="2">
        <f t="shared" si="29"/>
        <v>-1.5601865962993122</v>
      </c>
      <c r="AI32" s="18" t="str">
        <f t="shared" si="5"/>
        <v>C52</v>
      </c>
      <c r="AJ32" s="2">
        <f t="shared" si="6"/>
        <v>2.4577718147610801</v>
      </c>
      <c r="AK32" s="16"/>
      <c r="AL32" s="57"/>
      <c r="AM32" s="16"/>
    </row>
    <row r="33" spans="1:39" ht="10.5" customHeight="1" x14ac:dyDescent="0.25">
      <c r="A33" s="15">
        <v>25</v>
      </c>
      <c r="B33" s="2">
        <f t="shared" si="2"/>
        <v>8.5907191771275873</v>
      </c>
      <c r="C33" s="15">
        <v>2</v>
      </c>
      <c r="D33" s="2">
        <v>29.0903941922275</v>
      </c>
      <c r="E33" s="18" t="s">
        <v>182</v>
      </c>
      <c r="F33" s="5">
        <v>3.8313200158511369E-2</v>
      </c>
      <c r="G33" s="5">
        <v>0.53682970695255416</v>
      </c>
      <c r="H33" s="5">
        <v>0.34223076391980295</v>
      </c>
      <c r="I33" s="5">
        <v>2.1892372014947634</v>
      </c>
      <c r="J33" s="5">
        <v>1.0133934858599776</v>
      </c>
      <c r="K33" s="5">
        <v>0.16301809569397571</v>
      </c>
      <c r="L33" s="5">
        <v>0.95474288201215718</v>
      </c>
      <c r="M33" s="5">
        <v>0.51497334724343014</v>
      </c>
      <c r="N33" s="5">
        <v>2.5613585752379521E-2</v>
      </c>
      <c r="O33" s="5">
        <v>1.0420363159091619</v>
      </c>
      <c r="P33" s="5">
        <v>0.2240861144452565</v>
      </c>
      <c r="Q33" s="5">
        <v>0.44522179443137461</v>
      </c>
      <c r="R33" s="5">
        <v>0.26216561588514292</v>
      </c>
      <c r="S33" s="5">
        <v>7.4274911707203106</v>
      </c>
      <c r="T33" s="18" t="str">
        <f t="shared" si="3"/>
        <v>C55</v>
      </c>
      <c r="U33" s="2">
        <f t="shared" ref="U33:AH33" si="30">IF(OR(F33=0,F33&lt;0.00001,F33&gt;100000),"",IF((IF(F33&gt;F$5,ABS(LOG(((F$5/SUM($F33:$S33))/(F$4/SUM($F$4:$S$4)))*4+2,2)),ABS(LOG(((F33/SUM($F33:$S33))/(F$4/SUM($F$4:$S$4)))*4+2,2)))-3)&gt;8,(IF(F33&gt;F$5,ABS(LOG(((F$5/SUM($F33:$S33))/(F$4/SUM($F$4:$S$4)))*4+2,2)),ABS(LOG(((F33/SUM($F33:$S33))/(F$4/SUM($F$4:$S$4)))*4+2,2)))-3)/7,IF(F33&gt;F$5,ABS(LOG(((F$5/SUM($F33:$S33))/(F$4/SUM($F$4:$S$4)))*4+2,2)),ABS(LOG(((F33/SUM($F33:$S33))/(F$4/SUM($F$4:$S$4)))*4+2,2)))-3))</f>
        <v>2.4108289480521385</v>
      </c>
      <c r="V33" s="2">
        <f t="shared" si="30"/>
        <v>4.4880011599439404</v>
      </c>
      <c r="W33" s="2">
        <f t="shared" si="30"/>
        <v>5.5083606313525753</v>
      </c>
      <c r="X33" s="2">
        <f t="shared" si="30"/>
        <v>5.1877318360833797</v>
      </c>
      <c r="Y33" s="2">
        <f t="shared" si="30"/>
        <v>4.2378153324004746</v>
      </c>
      <c r="Z33" s="2">
        <f t="shared" si="30"/>
        <v>1.3299096723354356</v>
      </c>
      <c r="AA33" s="2">
        <f t="shared" si="30"/>
        <v>5.9862585205621599</v>
      </c>
      <c r="AB33" s="2">
        <f t="shared" si="30"/>
        <v>4.183925557963339</v>
      </c>
      <c r="AC33" s="2">
        <f t="shared" si="30"/>
        <v>0.31784309995029991</v>
      </c>
      <c r="AD33" s="2">
        <f t="shared" si="30"/>
        <v>1.2255101430559581</v>
      </c>
      <c r="AE33" s="2">
        <f t="shared" si="30"/>
        <v>-1.9999990458530685</v>
      </c>
      <c r="AF33" s="2">
        <f t="shared" si="30"/>
        <v>-1.8330415140877991</v>
      </c>
      <c r="AG33" s="2">
        <f t="shared" si="30"/>
        <v>-1.1757543413031422</v>
      </c>
      <c r="AH33" s="2">
        <f t="shared" si="30"/>
        <v>-0.29578359952295097</v>
      </c>
      <c r="AI33" s="18" t="str">
        <f t="shared" si="5"/>
        <v>C55</v>
      </c>
      <c r="AJ33" s="2">
        <f t="shared" si="6"/>
        <v>2.3090394192227501</v>
      </c>
      <c r="AK33" s="16"/>
      <c r="AL33" s="56"/>
      <c r="AM33" s="16"/>
    </row>
    <row r="34" spans="1:39" ht="10.5" customHeight="1" x14ac:dyDescent="0.25">
      <c r="A34" s="15">
        <v>26</v>
      </c>
      <c r="B34" s="2">
        <f t="shared" si="2"/>
        <v>10.243457500960066</v>
      </c>
      <c r="C34" s="15">
        <v>2</v>
      </c>
      <c r="D34" s="2">
        <v>32.262519351532099</v>
      </c>
      <c r="E34" s="18" t="s">
        <v>183</v>
      </c>
      <c r="F34" s="5">
        <v>3.8070995678117785E-3</v>
      </c>
      <c r="G34" s="5">
        <v>9.0853032135421299E-2</v>
      </c>
      <c r="H34" s="5">
        <v>0.93701881354607086</v>
      </c>
      <c r="I34" s="5">
        <v>1.1929462764284073</v>
      </c>
      <c r="J34" s="5">
        <v>3.0654943820681777</v>
      </c>
      <c r="K34" s="5">
        <v>4.4988282252994956E-2</v>
      </c>
      <c r="L34" s="5">
        <v>2.792672457536947</v>
      </c>
      <c r="M34" s="5">
        <v>0.40143929126424166</v>
      </c>
      <c r="N34" s="5">
        <v>0.1167458728113164</v>
      </c>
      <c r="O34" s="5">
        <v>7.0616158353728151</v>
      </c>
      <c r="P34" s="5">
        <v>5.8514056299469163E-3</v>
      </c>
      <c r="Q34" s="5">
        <v>0.60861716465809157</v>
      </c>
      <c r="R34" s="5">
        <v>0.44103678240556987</v>
      </c>
      <c r="S34" s="5">
        <v>5.2988590459261875</v>
      </c>
      <c r="T34" s="18" t="str">
        <f t="shared" si="3"/>
        <v>C58</v>
      </c>
      <c r="U34" s="2">
        <f t="shared" ref="U34:AH34" si="31">IF(OR(F34=0,F34&lt;0.00001,F34&gt;100000),"",IF((IF(F34&gt;F$5,ABS(LOG(((F$5/SUM($F34:$S34))/(F$4/SUM($F$4:$S$4)))*4+2,2)),ABS(LOG(((F34/SUM($F34:$S34))/(F$4/SUM($F$4:$S$4)))*4+2,2)))-3)&gt;8,(IF(F34&gt;F$5,ABS(LOG(((F$5/SUM($F34:$S34))/(F$4/SUM($F$4:$S$4)))*4+2,2)),ABS(LOG(((F34/SUM($F34:$S34))/(F$4/SUM($F$4:$S$4)))*4+2,2)))-3)/7,IF(F34&gt;F$5,ABS(LOG(((F$5/SUM($F34:$S34))/(F$4/SUM($F$4:$S$4)))*4+2,2)),ABS(LOG(((F34/SUM($F34:$S34))/(F$4/SUM($F$4:$S$4)))*4+2,2)))-3))</f>
        <v>-0.74546131634416746</v>
      </c>
      <c r="V34" s="2">
        <f t="shared" si="31"/>
        <v>1.5027708612451667</v>
      </c>
      <c r="W34" s="2">
        <f t="shared" si="31"/>
        <v>6.4182971401562643</v>
      </c>
      <c r="X34" s="2">
        <f t="shared" si="31"/>
        <v>3.7887880219393164</v>
      </c>
      <c r="Y34" s="2">
        <f t="shared" si="31"/>
        <v>5.2853251034151345</v>
      </c>
      <c r="Z34" s="2">
        <f t="shared" si="31"/>
        <v>6.9149304865267816</v>
      </c>
      <c r="AA34" s="2">
        <f t="shared" si="31"/>
        <v>6.9924057330870806</v>
      </c>
      <c r="AB34" s="2">
        <f t="shared" si="31"/>
        <v>3.3022131992350578</v>
      </c>
      <c r="AC34" s="2">
        <f t="shared" si="31"/>
        <v>1.7548657021128271</v>
      </c>
      <c r="AD34" s="2">
        <f t="shared" si="31"/>
        <v>3.3201009140558115</v>
      </c>
      <c r="AE34" s="2">
        <f t="shared" si="31"/>
        <v>-1.9999993435150722</v>
      </c>
      <c r="AF34" s="2">
        <f t="shared" si="31"/>
        <v>-1.8424465687003311</v>
      </c>
      <c r="AG34" s="2">
        <f t="shared" si="31"/>
        <v>-1.0801227455151354</v>
      </c>
      <c r="AH34" s="2">
        <f t="shared" si="31"/>
        <v>-0.92371708833672583</v>
      </c>
      <c r="AI34" s="18" t="str">
        <f t="shared" si="5"/>
        <v>C58</v>
      </c>
      <c r="AJ34" s="2">
        <f t="shared" si="6"/>
        <v>4.4494658862773679</v>
      </c>
      <c r="AK34" s="16"/>
      <c r="AL34" s="56"/>
      <c r="AM34" s="16"/>
    </row>
    <row r="35" spans="1:39" ht="10.5" customHeight="1" x14ac:dyDescent="0.25">
      <c r="A35" s="15">
        <v>27</v>
      </c>
      <c r="B35" s="2">
        <f t="shared" si="2"/>
        <v>9.8614195720597184</v>
      </c>
      <c r="C35" s="15">
        <v>2</v>
      </c>
      <c r="D35" s="2">
        <v>31.737458718228403</v>
      </c>
      <c r="E35" s="18" t="s">
        <v>161</v>
      </c>
      <c r="F35" s="5"/>
      <c r="G35" s="5">
        <v>0.28908566674590946</v>
      </c>
      <c r="H35" s="5">
        <v>0.38307714745123816</v>
      </c>
      <c r="I35" s="5">
        <v>2.0632842787818988</v>
      </c>
      <c r="J35" s="5">
        <v>0.86608148424860176</v>
      </c>
      <c r="K35" s="5">
        <v>8.0809431964393399E-2</v>
      </c>
      <c r="L35" s="5">
        <v>0.65559097426834267</v>
      </c>
      <c r="M35" s="5">
        <v>0.51718903769009072</v>
      </c>
      <c r="N35" s="5"/>
      <c r="O35" s="5">
        <v>0.16649337309832285</v>
      </c>
      <c r="P35" s="5">
        <v>6.20298109923864E-2</v>
      </c>
      <c r="Q35" s="5">
        <v>0.34335721593423596</v>
      </c>
      <c r="R35" s="5">
        <v>0.17972527644146497</v>
      </c>
      <c r="S35" s="5">
        <v>1.5214662711659548</v>
      </c>
      <c r="T35" s="18" t="str">
        <f t="shared" si="3"/>
        <v>C6</v>
      </c>
      <c r="U35" s="2" t="str">
        <f t="shared" ref="U35:AH35" si="32">IF(OR(F35=0,F35&lt;0.00001,F35&gt;100000),"",IF((IF(F35&gt;F$5,ABS(LOG(((F$5/SUM($F35:$S35))/(F$4/SUM($F$4:$S$4)))*4+2,2)),ABS(LOG(((F35/SUM($F35:$S35))/(F$4/SUM($F$4:$S$4)))*4+2,2)))-3)&gt;8,(IF(F35&gt;F$5,ABS(LOG(((F$5/SUM($F35:$S35))/(F$4/SUM($F$4:$S$4)))*4+2,2)),ABS(LOG(((F35/SUM($F35:$S35))/(F$4/SUM($F$4:$S$4)))*4+2,2)))-3)/7,IF(F35&gt;F$5,ABS(LOG(((F$5/SUM($F35:$S35))/(F$4/SUM($F$4:$S$4)))*4+2,2)),ABS(LOG(((F35/SUM($F35:$S35))/(F$4/SUM($F$4:$S$4)))*4+2,2)))-3))</f>
        <v/>
      </c>
      <c r="V35" s="2">
        <f t="shared" si="32"/>
        <v>4.6834782085682729</v>
      </c>
      <c r="W35" s="2">
        <f t="shared" si="32"/>
        <v>6.7569218770234194</v>
      </c>
      <c r="X35" s="2">
        <f t="shared" si="32"/>
        <v>6.1877751542755952</v>
      </c>
      <c r="Y35" s="2">
        <f t="shared" si="32"/>
        <v>5.0930599110627242</v>
      </c>
      <c r="Z35" s="2">
        <f t="shared" si="32"/>
        <v>1.341057696557153</v>
      </c>
      <c r="AA35" s="2">
        <f t="shared" si="32"/>
        <v>6.5326452103840609</v>
      </c>
      <c r="AB35" s="2">
        <f t="shared" si="32"/>
        <v>5.2700180650452371</v>
      </c>
      <c r="AC35" s="2" t="str">
        <f t="shared" si="32"/>
        <v/>
      </c>
      <c r="AD35" s="2">
        <f t="shared" si="32"/>
        <v>-5.8059433470169175E-2</v>
      </c>
      <c r="AE35" s="2">
        <f t="shared" si="32"/>
        <v>-1.9999979681619025</v>
      </c>
      <c r="AF35" s="2">
        <f t="shared" si="32"/>
        <v>-1.7351774166844138</v>
      </c>
      <c r="AG35" s="2">
        <f t="shared" si="32"/>
        <v>-0.91255652891365591</v>
      </c>
      <c r="AH35" s="2">
        <f t="shared" si="32"/>
        <v>-1.0107263053453859</v>
      </c>
      <c r="AI35" s="18" t="str">
        <f t="shared" si="5"/>
        <v>C6</v>
      </c>
      <c r="AJ35" s="2">
        <f t="shared" si="6"/>
        <v>2.5737458718228403</v>
      </c>
      <c r="AK35" s="16"/>
      <c r="AL35" s="56"/>
      <c r="AM35" s="4"/>
    </row>
    <row r="36" spans="1:39" ht="10.5" customHeight="1" x14ac:dyDescent="0.25">
      <c r="A36" s="15">
        <v>28</v>
      </c>
      <c r="B36" s="2">
        <f t="shared" si="2"/>
        <v>9.9047861419449426</v>
      </c>
      <c r="C36" s="15">
        <v>2</v>
      </c>
      <c r="D36" s="2">
        <v>32.106075747325399</v>
      </c>
      <c r="E36" s="18" t="s">
        <v>184</v>
      </c>
      <c r="F36" s="5">
        <v>4.8100461004677134E-4</v>
      </c>
      <c r="G36" s="5">
        <v>1.0737422111736794</v>
      </c>
      <c r="H36" s="5">
        <v>1.0219008278497048</v>
      </c>
      <c r="I36" s="5">
        <v>3.7296356104865369</v>
      </c>
      <c r="J36" s="5">
        <v>1.8131726360841087</v>
      </c>
      <c r="K36" s="5">
        <v>1.8804954547893091E-2</v>
      </c>
      <c r="L36" s="5">
        <v>2.1809795934212484</v>
      </c>
      <c r="M36" s="5">
        <v>2.7190617961567112</v>
      </c>
      <c r="N36" s="5">
        <v>8.9872089645711417E-2</v>
      </c>
      <c r="O36" s="5">
        <v>0.28627807260621541</v>
      </c>
      <c r="P36" s="5">
        <v>7.5512625822184043E-2</v>
      </c>
      <c r="Q36" s="5">
        <v>3.0730341443643083</v>
      </c>
      <c r="R36" s="5">
        <v>0.22247366148294051</v>
      </c>
      <c r="S36" s="5">
        <v>8.3706084995161003</v>
      </c>
      <c r="T36" s="18" t="str">
        <f t="shared" si="3"/>
        <v>C60</v>
      </c>
      <c r="U36" s="2">
        <f t="shared" ref="U36:AH36" si="33">IF(OR(F36=0,F36&lt;0.00001,F36&gt;100000),"",IF((IF(F36&gt;F$5,ABS(LOG(((F$5/SUM($F36:$S36))/(F$4/SUM($F$4:$S$4)))*4+2,2)),ABS(LOG(((F36/SUM($F36:$S36))/(F$4/SUM($F$4:$S$4)))*4+2,2)))-3)&gt;8,(IF(F36&gt;F$5,ABS(LOG(((F$5/SUM($F36:$S36))/(F$4/SUM($F$4:$S$4)))*4+2,2)),ABS(LOG(((F36/SUM($F36:$S36))/(F$4/SUM($F$4:$S$4)))*4+2,2)))-3)/7,IF(F36&gt;F$5,ABS(LOG(((F$5/SUM($F36:$S36))/(F$4/SUM($F$4:$S$4)))*4+2,2)),ABS(LOG(((F36/SUM($F36:$S36))/(F$4/SUM($F$4:$S$4)))*4+2,2)))-3))</f>
        <v>-1.7901663781415855</v>
      </c>
      <c r="V36" s="2">
        <f t="shared" si="33"/>
        <v>4.7841270647970306</v>
      </c>
      <c r="W36" s="2">
        <f t="shared" si="33"/>
        <v>6.3819875569743001</v>
      </c>
      <c r="X36" s="2">
        <f t="shared" si="33"/>
        <v>5.254912591259135</v>
      </c>
      <c r="Y36" s="2">
        <f t="shared" si="33"/>
        <v>4.3744157009627624</v>
      </c>
      <c r="Z36" s="2">
        <f t="shared" si="33"/>
        <v>5.4999714451465991</v>
      </c>
      <c r="AA36" s="2">
        <f t="shared" si="33"/>
        <v>6.4754366030230646</v>
      </c>
      <c r="AB36" s="2">
        <f t="shared" si="33"/>
        <v>5.8696922619417062</v>
      </c>
      <c r="AC36" s="2">
        <f t="shared" si="33"/>
        <v>1.2635242840998764</v>
      </c>
      <c r="AD36" s="2">
        <f t="shared" si="33"/>
        <v>-0.7299128403811852</v>
      </c>
      <c r="AE36" s="2">
        <f t="shared" si="33"/>
        <v>-1.9999994130493277</v>
      </c>
      <c r="AF36" s="2">
        <f t="shared" si="33"/>
        <v>-1.3950417743832044</v>
      </c>
      <c r="AG36" s="2">
        <f t="shared" si="33"/>
        <v>-1.5122305105918499</v>
      </c>
      <c r="AH36" s="2">
        <f t="shared" si="33"/>
        <v>-0.64061432262827012</v>
      </c>
      <c r="AI36" s="18" t="str">
        <f t="shared" si="5"/>
        <v>C60</v>
      </c>
      <c r="AJ36" s="2">
        <f t="shared" si="6"/>
        <v>5.011040039043861</v>
      </c>
      <c r="AK36" s="16"/>
      <c r="AL36" s="56"/>
      <c r="AM36" s="16"/>
    </row>
    <row r="37" spans="1:39" ht="10.5" customHeight="1" x14ac:dyDescent="0.25">
      <c r="A37" s="15">
        <v>29</v>
      </c>
      <c r="B37" s="2">
        <f t="shared" si="2"/>
        <v>9.3897283004752055</v>
      </c>
      <c r="C37" s="15">
        <v>2</v>
      </c>
      <c r="D37" s="2">
        <v>35.82863535082555</v>
      </c>
      <c r="E37" s="18" t="s">
        <v>185</v>
      </c>
      <c r="F37" s="5"/>
      <c r="G37" s="5">
        <v>1.3114589657056325E-2</v>
      </c>
      <c r="H37" s="5">
        <v>7.7102974684252841</v>
      </c>
      <c r="I37" s="5">
        <v>7.104812006998583</v>
      </c>
      <c r="J37" s="5">
        <v>6.1014090656095483</v>
      </c>
      <c r="K37" s="5">
        <v>2.7306649206278624</v>
      </c>
      <c r="L37" s="5">
        <v>1.0833600683699389</v>
      </c>
      <c r="M37" s="5">
        <v>13.581482179171356</v>
      </c>
      <c r="N37" s="5">
        <v>3.5222000560068643</v>
      </c>
      <c r="O37" s="5">
        <v>10.410663465732297</v>
      </c>
      <c r="P37" s="5"/>
      <c r="Q37" s="5">
        <v>5.8958806947591071</v>
      </c>
      <c r="R37" s="5">
        <v>0.66687205560548468</v>
      </c>
      <c r="S37" s="5">
        <v>32.935782969423371</v>
      </c>
      <c r="T37" s="18" t="str">
        <f t="shared" si="3"/>
        <v>C61</v>
      </c>
      <c r="U37" s="2" t="str">
        <f t="shared" ref="U37:AH37" si="34">IF(OR(F37=0,F37&lt;0.00001,F37&gt;100000),"",IF((IF(F37&gt;F$5,ABS(LOG(((F$5/SUM($F37:$S37))/(F$4/SUM($F$4:$S$4)))*4+2,2)),ABS(LOG(((F37/SUM($F37:$S37))/(F$4/SUM($F$4:$S$4)))*4+2,2)))-3)&gt;8,(IF(F37&gt;F$5,ABS(LOG(((F$5/SUM($F37:$S37))/(F$4/SUM($F$4:$S$4)))*4+2,2)),ABS(LOG(((F37/SUM($F37:$S37))/(F$4/SUM($F$4:$S$4)))*4+2,2)))-3)/7,IF(F37&gt;F$5,ABS(LOG(((F$5/SUM($F37:$S37))/(F$4/SUM($F$4:$S$4)))*4+2,2)),ABS(LOG(((F37/SUM($F37:$S37))/(F$4/SUM($F$4:$S$4)))*4+2,2)))-3))</f>
        <v/>
      </c>
      <c r="V37" s="2">
        <f t="shared" si="34"/>
        <v>-1.5577551256568425</v>
      </c>
      <c r="W37" s="2">
        <f t="shared" si="34"/>
        <v>7.4005956752122035</v>
      </c>
      <c r="X37" s="2">
        <f t="shared" si="34"/>
        <v>4.2989105401588139</v>
      </c>
      <c r="Y37" s="2">
        <f t="shared" si="34"/>
        <v>4.2321390485984178</v>
      </c>
      <c r="Z37" s="2">
        <f t="shared" si="34"/>
        <v>1.3704993959458363</v>
      </c>
      <c r="AA37" s="2">
        <f t="shared" si="34"/>
        <v>3.5972981407774638</v>
      </c>
      <c r="AB37" s="2">
        <f t="shared" si="34"/>
        <v>6.2938469730561781</v>
      </c>
      <c r="AC37" s="2">
        <f t="shared" si="34"/>
        <v>4.518438812588669</v>
      </c>
      <c r="AD37" s="2">
        <f t="shared" si="34"/>
        <v>1.8881524499994384</v>
      </c>
      <c r="AE37" s="2" t="str">
        <f t="shared" si="34"/>
        <v/>
      </c>
      <c r="AF37" s="2">
        <f t="shared" si="34"/>
        <v>-1.6565597537224541</v>
      </c>
      <c r="AG37" s="2">
        <f t="shared" si="34"/>
        <v>-1.5947942961715253</v>
      </c>
      <c r="AH37" s="2">
        <f t="shared" si="34"/>
        <v>-0.59031917629242958</v>
      </c>
      <c r="AI37" s="18" t="str">
        <f t="shared" si="5"/>
        <v>C61</v>
      </c>
      <c r="AJ37" s="2">
        <f t="shared" si="6"/>
        <v>2.0921236193131252</v>
      </c>
      <c r="AK37" s="16"/>
      <c r="AL37" s="56"/>
      <c r="AM37" s="16"/>
    </row>
    <row r="38" spans="1:39" ht="10.5" customHeight="1" x14ac:dyDescent="0.25">
      <c r="A38" s="15">
        <v>30</v>
      </c>
      <c r="B38" s="2">
        <f t="shared" si="2"/>
        <v>5.6389588733193969</v>
      </c>
      <c r="C38" s="15">
        <v>2</v>
      </c>
      <c r="D38" s="2">
        <v>33.894232502007696</v>
      </c>
      <c r="E38" s="18" t="s">
        <v>186</v>
      </c>
      <c r="F38" s="5">
        <v>1.1561281115461801E-4</v>
      </c>
      <c r="G38" s="5">
        <v>0.22773599164464173</v>
      </c>
      <c r="H38" s="5">
        <v>2.0200993547817356</v>
      </c>
      <c r="I38" s="5">
        <v>0.57858510023746601</v>
      </c>
      <c r="J38" s="5">
        <v>3.6457022124459826</v>
      </c>
      <c r="K38" s="5">
        <v>0.16810530458368353</v>
      </c>
      <c r="L38" s="5">
        <v>0.29802264608661316</v>
      </c>
      <c r="M38" s="5">
        <v>0.79164834835583531</v>
      </c>
      <c r="N38" s="5">
        <v>0.28208831332297979</v>
      </c>
      <c r="O38" s="5">
        <v>4.0784686408581769E-5</v>
      </c>
      <c r="P38" s="5">
        <v>0.12319172476012215</v>
      </c>
      <c r="Q38" s="5">
        <v>0.21375376549922689</v>
      </c>
      <c r="R38" s="5">
        <v>0.92224670457589553</v>
      </c>
      <c r="S38" s="5">
        <v>5.9111260869771778</v>
      </c>
      <c r="T38" s="18" t="str">
        <f t="shared" si="3"/>
        <v>C67</v>
      </c>
      <c r="U38" s="2">
        <f t="shared" ref="U38:AH38" si="35">IF(OR(F38=0,F38&lt;0.00001,F38&gt;100000),"",IF((IF(F38&gt;F$5,ABS(LOG(((F$5/SUM($F38:$S38))/(F$4/SUM($F$4:$S$4)))*4+2,2)),ABS(LOG(((F38/SUM($F38:$S38))/(F$4/SUM($F$4:$S$4)))*4+2,2)))-3)&gt;8,(IF(F38&gt;F$5,ABS(LOG(((F$5/SUM($F38:$S38))/(F$4/SUM($F$4:$S$4)))*4+2,2)),ABS(LOG(((F38/SUM($F38:$S38))/(F$4/SUM($F$4:$S$4)))*4+2,2)))-3)/7,IF(F38&gt;F$5,ABS(LOG(((F$5/SUM($F38:$S38))/(F$4/SUM($F$4:$S$4)))*4+2,2)),ABS(LOG(((F38/SUM($F38:$S38))/(F$4/SUM($F$4:$S$4)))*4+2,2)))-3))</f>
        <v>-1.9143615523391377</v>
      </c>
      <c r="V38" s="2">
        <f t="shared" si="35"/>
        <v>3.2722626384615809</v>
      </c>
      <c r="W38" s="2">
        <f t="shared" si="35"/>
        <v>1.1518362742346695</v>
      </c>
      <c r="X38" s="2">
        <f t="shared" si="35"/>
        <v>3.294904776652853</v>
      </c>
      <c r="Y38" s="2">
        <f t="shared" si="35"/>
        <v>6.0706542248665762</v>
      </c>
      <c r="Z38" s="2">
        <f t="shared" si="35"/>
        <v>1.3361983312924526</v>
      </c>
      <c r="AA38" s="2">
        <f t="shared" si="35"/>
        <v>4.3187595850460916</v>
      </c>
      <c r="AB38" s="2">
        <f t="shared" si="35"/>
        <v>4.7970427243868876</v>
      </c>
      <c r="AC38" s="2">
        <f t="shared" si="35"/>
        <v>3.4882653952136895</v>
      </c>
      <c r="AD38" s="2">
        <f t="shared" si="35"/>
        <v>-1.9995284815669676</v>
      </c>
      <c r="AE38" s="2">
        <f t="shared" si="35"/>
        <v>-1.9999990460484338</v>
      </c>
      <c r="AF38" s="2">
        <f t="shared" si="35"/>
        <v>-1.91744488869943</v>
      </c>
      <c r="AG38" s="2">
        <f t="shared" si="35"/>
        <v>-0.10846619907197219</v>
      </c>
      <c r="AH38" s="2">
        <f t="shared" si="35"/>
        <v>-0.51608812762407918</v>
      </c>
      <c r="AI38" s="18" t="str">
        <f t="shared" si="5"/>
        <v>C67</v>
      </c>
      <c r="AJ38" s="2">
        <f t="shared" si="6"/>
        <v>2.8314899821148591</v>
      </c>
      <c r="AK38" s="16"/>
      <c r="AL38" s="57"/>
      <c r="AM38" s="16"/>
    </row>
    <row r="39" spans="1:39" ht="10.5" customHeight="1" x14ac:dyDescent="0.25">
      <c r="A39" s="15">
        <v>31</v>
      </c>
      <c r="B39" s="2">
        <f t="shared" si="2"/>
        <v>9.0202732426646648</v>
      </c>
      <c r="C39" s="15">
        <v>2</v>
      </c>
      <c r="D39" s="2">
        <v>32.031148601208251</v>
      </c>
      <c r="E39" s="18" t="s">
        <v>187</v>
      </c>
      <c r="F39" s="5"/>
      <c r="G39" s="5">
        <v>6.9329887619656416E-2</v>
      </c>
      <c r="H39" s="5">
        <v>0.68956422359096403</v>
      </c>
      <c r="I39" s="5">
        <v>1.0166240375955817</v>
      </c>
      <c r="J39" s="5">
        <v>1.0431822687249217</v>
      </c>
      <c r="K39" s="5">
        <v>1.7426555617095839E-3</v>
      </c>
      <c r="L39" s="5">
        <v>0.2808463662105819</v>
      </c>
      <c r="M39" s="5">
        <v>0.14954902999429137</v>
      </c>
      <c r="N39" s="5"/>
      <c r="O39" s="5">
        <v>3.2916828760649794</v>
      </c>
      <c r="P39" s="5">
        <v>0.10435740697978509</v>
      </c>
      <c r="Q39" s="5">
        <v>2.5551023238196251</v>
      </c>
      <c r="R39" s="5">
        <v>0.21508533568182314</v>
      </c>
      <c r="S39" s="5">
        <v>1.8455979952715682</v>
      </c>
      <c r="T39" s="18" t="str">
        <f t="shared" si="3"/>
        <v>C68</v>
      </c>
      <c r="U39" s="2" t="str">
        <f t="shared" ref="U39:AH39" si="36">IF(OR(F39=0,F39&lt;0.00001,F39&gt;100000),"",IF((IF(F39&gt;F$5,ABS(LOG(((F$5/SUM($F39:$S39))/(F$4/SUM($F$4:$S$4)))*4+2,2)),ABS(LOG(((F39/SUM($F39:$S39))/(F$4/SUM($F$4:$S$4)))*4+2,2)))-3)&gt;8,(IF(F39&gt;F$5,ABS(LOG(((F$5/SUM($F39:$S39))/(F$4/SUM($F$4:$S$4)))*4+2,2)),ABS(LOG(((F39/SUM($F39:$S39))/(F$4/SUM($F$4:$S$4)))*4+2,2)))-3)/7,IF(F39&gt;F$5,ABS(LOG(((F$5/SUM($F39:$S39))/(F$4/SUM($F$4:$S$4)))*4+2,2)),ABS(LOG(((F39/SUM($F39:$S39))/(F$4/SUM($F$4:$S$4)))*4+2,2)))-3))</f>
        <v/>
      </c>
      <c r="V39" s="2">
        <f t="shared" si="36"/>
        <v>2.0399689067255711</v>
      </c>
      <c r="W39" s="2">
        <f t="shared" si="36"/>
        <v>6.944623635666284</v>
      </c>
      <c r="X39" s="2">
        <f t="shared" si="36"/>
        <v>4.5175555143824653</v>
      </c>
      <c r="Y39" s="2">
        <f t="shared" si="36"/>
        <v>4.7048268159389126</v>
      </c>
      <c r="Z39" s="2">
        <f t="shared" si="36"/>
        <v>3.2307029546890016</v>
      </c>
      <c r="AA39" s="2">
        <f t="shared" si="36"/>
        <v>4.6601250183877978</v>
      </c>
      <c r="AB39" s="2">
        <f t="shared" si="36"/>
        <v>2.8611402173974785</v>
      </c>
      <c r="AC39" s="2" t="str">
        <f t="shared" si="36"/>
        <v/>
      </c>
      <c r="AD39" s="2">
        <f t="shared" si="36"/>
        <v>3.1923727629828171</v>
      </c>
      <c r="AE39" s="2">
        <f t="shared" si="36"/>
        <v>-1.9999987140403757</v>
      </c>
      <c r="AF39" s="2">
        <f t="shared" si="36"/>
        <v>-1.0372920632960418</v>
      </c>
      <c r="AG39" s="2">
        <f t="shared" si="36"/>
        <v>-1.1108522085450787</v>
      </c>
      <c r="AH39" s="2">
        <f t="shared" si="36"/>
        <v>-1.1874081505203555</v>
      </c>
      <c r="AI39" s="18" t="str">
        <f t="shared" si="5"/>
        <v>C68</v>
      </c>
      <c r="AJ39" s="2">
        <f t="shared" si="6"/>
        <v>5.6318655120812942</v>
      </c>
      <c r="AK39" s="16"/>
      <c r="AL39" s="56"/>
      <c r="AM39" s="16"/>
    </row>
    <row r="40" spans="1:39" ht="10.5" customHeight="1" x14ac:dyDescent="0.25">
      <c r="A40" s="15">
        <v>32</v>
      </c>
      <c r="B40" s="2">
        <f t="shared" si="2"/>
        <v>7.7880759507870181</v>
      </c>
      <c r="C40" s="15">
        <v>2</v>
      </c>
      <c r="D40" s="2">
        <v>29.488672361332</v>
      </c>
      <c r="E40" s="18" t="s">
        <v>188</v>
      </c>
      <c r="F40" s="5">
        <v>1.1870048336880041E-2</v>
      </c>
      <c r="G40" s="5">
        <v>2.473594930167591E-2</v>
      </c>
      <c r="H40" s="5">
        <v>0.1385194589922972</v>
      </c>
      <c r="I40" s="5">
        <v>0.5090153310893728</v>
      </c>
      <c r="J40" s="5">
        <v>2.206427017050427</v>
      </c>
      <c r="K40" s="5">
        <v>5.6833935639607702E-2</v>
      </c>
      <c r="L40" s="5">
        <v>0.27878185498440938</v>
      </c>
      <c r="M40" s="5">
        <v>0.14140613525911569</v>
      </c>
      <c r="N40" s="5">
        <v>6.9336452792274433E-2</v>
      </c>
      <c r="O40" s="5">
        <v>9.589039464050332</v>
      </c>
      <c r="P40" s="5">
        <v>6.6348239551114616E-2</v>
      </c>
      <c r="Q40" s="5">
        <v>1.9316913924597563</v>
      </c>
      <c r="R40" s="5">
        <v>1.559851305977583E-2</v>
      </c>
      <c r="S40" s="5">
        <v>3.833392091246004</v>
      </c>
      <c r="T40" s="18" t="str">
        <f t="shared" si="3"/>
        <v>C73</v>
      </c>
      <c r="U40" s="2">
        <f t="shared" ref="U40:AH40" si="37">IF(OR(F40=0,F40&lt;0.00001,F40&gt;100000),"",IF((IF(F40&gt;F$5,ABS(LOG(((F$5/SUM($F40:$S40))/(F$4/SUM($F$4:$S$4)))*4+2,2)),ABS(LOG(((F40/SUM($F40:$S40))/(F$4/SUM($F$4:$S$4)))*4+2,2)))-3)&gt;8,(IF(F40&gt;F$5,ABS(LOG(((F$5/SUM($F40:$S40))/(F$4/SUM($F$4:$S$4)))*4+2,2)),ABS(LOG(((F40/SUM($F40:$S40))/(F$4/SUM($F$4:$S$4)))*4+2,2)))-3)/7,IF(F40&gt;F$5,ABS(LOG(((F$5/SUM($F40:$S40))/(F$4/SUM($F$4:$S$4)))*4+2,2)),ABS(LOG(((F40/SUM($F40:$S40))/(F$4/SUM($F$4:$S$4)))*4+2,2)))-3))</f>
        <v>0.59722458518396104</v>
      </c>
      <c r="V40" s="2">
        <f t="shared" si="37"/>
        <v>0.1007890767004751</v>
      </c>
      <c r="W40" s="2">
        <f t="shared" si="37"/>
        <v>3.905590671139878</v>
      </c>
      <c r="X40" s="2">
        <f t="shared" si="37"/>
        <v>2.8112643628617979</v>
      </c>
      <c r="Y40" s="2">
        <f t="shared" si="37"/>
        <v>5.0378964708653449</v>
      </c>
      <c r="Z40" s="2">
        <f t="shared" si="37"/>
        <v>7.4764051322129319</v>
      </c>
      <c r="AA40" s="2">
        <f t="shared" si="37"/>
        <v>3.9144882054444059</v>
      </c>
      <c r="AB40" s="2">
        <f t="shared" si="37"/>
        <v>2.0734226299425584</v>
      </c>
      <c r="AC40" s="2">
        <f t="shared" si="37"/>
        <v>1.274727794338582</v>
      </c>
      <c r="AD40" s="2">
        <f t="shared" si="37"/>
        <v>3.9733005930309995</v>
      </c>
      <c r="AE40" s="2">
        <f t="shared" si="37"/>
        <v>-1.9999992325895484</v>
      </c>
      <c r="AF40" s="2">
        <f t="shared" si="37"/>
        <v>-1.4858685776659657</v>
      </c>
      <c r="AG40" s="2">
        <f t="shared" si="37"/>
        <v>-1.9477554267744599</v>
      </c>
      <c r="AH40" s="2">
        <f t="shared" si="37"/>
        <v>-1.0457940597100284</v>
      </c>
      <c r="AI40" s="18" t="str">
        <f t="shared" si="5"/>
        <v>C73</v>
      </c>
      <c r="AJ40" s="2">
        <f t="shared" si="6"/>
        <v>2.3488672361331999</v>
      </c>
      <c r="AK40" s="16"/>
      <c r="AL40" s="56"/>
      <c r="AM40" s="16"/>
    </row>
    <row r="41" spans="1:39" ht="10.5" customHeight="1" x14ac:dyDescent="0.25">
      <c r="A41" s="15">
        <v>33</v>
      </c>
      <c r="B41" s="2">
        <f t="shared" si="2"/>
        <v>5.9393618464222362</v>
      </c>
      <c r="C41" s="15">
        <v>2</v>
      </c>
      <c r="D41" s="2">
        <v>34.899022023210101</v>
      </c>
      <c r="E41" s="18" t="s">
        <v>189</v>
      </c>
      <c r="F41" s="5"/>
      <c r="G41" s="5">
        <v>0.38227980321431204</v>
      </c>
      <c r="H41" s="5">
        <v>4.7881085874428413</v>
      </c>
      <c r="I41" s="5">
        <v>0.64817529376213856</v>
      </c>
      <c r="J41" s="5">
        <v>13.713261458737026</v>
      </c>
      <c r="K41" s="5">
        <v>3.3582716964324577</v>
      </c>
      <c r="L41" s="5"/>
      <c r="M41" s="5">
        <v>1.9334189907710451</v>
      </c>
      <c r="N41" s="5">
        <v>0.71035214314973782</v>
      </c>
      <c r="O41" s="5">
        <v>1.4175616146209817</v>
      </c>
      <c r="P41" s="5"/>
      <c r="Q41" s="5">
        <v>2.4251777322720773</v>
      </c>
      <c r="R41" s="5">
        <v>1.0066175867539774E-4</v>
      </c>
      <c r="S41" s="5">
        <v>8.0113048783599101</v>
      </c>
      <c r="T41" s="18" t="str">
        <f t="shared" si="3"/>
        <v>C74</v>
      </c>
      <c r="U41" s="2" t="str">
        <f t="shared" ref="U41:AH41" si="38">IF(OR(F41=0,F41&lt;0.00001,F41&gt;100000),"",IF((IF(F41&gt;F$5,ABS(LOG(((F$5/SUM($F41:$S41))/(F$4/SUM($F$4:$S$4)))*4+2,2)),ABS(LOG(((F41/SUM($F41:$S41))/(F$4/SUM($F$4:$S$4)))*4+2,2)))-3)&gt;8,(IF(F41&gt;F$5,ABS(LOG(((F$5/SUM($F41:$S41))/(F$4/SUM($F$4:$S$4)))*4+2,2)),ABS(LOG(((F41/SUM($F41:$S41))/(F$4/SUM($F$4:$S$4)))*4+2,2)))-3)/7,IF(F41&gt;F$5,ABS(LOG(((F$5/SUM($F41:$S41))/(F$4/SUM($F$4:$S$4)))*4+2,2)),ABS(LOG(((F41/SUM($F41:$S41))/(F$4/SUM($F$4:$S$4)))*4+2,2)))-3))</f>
        <v/>
      </c>
      <c r="V41" s="2">
        <f t="shared" si="38"/>
        <v>2.736689471452487</v>
      </c>
      <c r="W41" s="2">
        <f t="shared" si="38"/>
        <v>1.1439665781788957</v>
      </c>
      <c r="X41" s="2">
        <f t="shared" si="38"/>
        <v>2.2019636239210243</v>
      </c>
      <c r="Y41" s="2">
        <f t="shared" si="38"/>
        <v>6.6799330563532155</v>
      </c>
      <c r="Z41" s="2">
        <f t="shared" si="38"/>
        <v>1.5554934722556326</v>
      </c>
      <c r="AA41" s="2" t="str">
        <f t="shared" si="38"/>
        <v/>
      </c>
      <c r="AB41" s="2">
        <f t="shared" si="38"/>
        <v>4.7852032503925699</v>
      </c>
      <c r="AC41" s="2">
        <f t="shared" si="38"/>
        <v>3.5197728997097411</v>
      </c>
      <c r="AD41" s="2">
        <f t="shared" si="38"/>
        <v>0.48895303874639007</v>
      </c>
      <c r="AE41" s="2" t="str">
        <f t="shared" si="38"/>
        <v/>
      </c>
      <c r="AF41" s="2">
        <f t="shared" si="38"/>
        <v>-1.6536640888634171</v>
      </c>
      <c r="AG41" s="2">
        <f t="shared" si="38"/>
        <v>-1.99982670253957</v>
      </c>
      <c r="AH41" s="2">
        <f t="shared" si="38"/>
        <v>-1.0079411067472148</v>
      </c>
      <c r="AI41" s="18" t="str">
        <f t="shared" si="5"/>
        <v>C74</v>
      </c>
      <c r="AJ41" s="2">
        <f t="shared" si="6"/>
        <v>2.3962232350433235</v>
      </c>
      <c r="AK41" s="16"/>
      <c r="AL41" s="56"/>
      <c r="AM41" s="16"/>
    </row>
    <row r="42" spans="1:39" ht="10.5" customHeight="1" x14ac:dyDescent="0.25">
      <c r="A42" s="15">
        <v>34</v>
      </c>
      <c r="B42" s="2">
        <f t="shared" si="2"/>
        <v>8.9840250440560183</v>
      </c>
      <c r="C42" s="15">
        <v>2</v>
      </c>
      <c r="D42" s="2">
        <v>27.148055074718798</v>
      </c>
      <c r="E42" s="18" t="s">
        <v>190</v>
      </c>
      <c r="F42" s="5">
        <v>1.0970551521750064E-2</v>
      </c>
      <c r="G42" s="5">
        <v>0.63485252487270649</v>
      </c>
      <c r="H42" s="5">
        <v>0.1694142309582139</v>
      </c>
      <c r="I42" s="5">
        <v>0.83201001522102702</v>
      </c>
      <c r="J42" s="5">
        <v>2.1388879954088083</v>
      </c>
      <c r="K42" s="5">
        <v>0.24766504272269249</v>
      </c>
      <c r="L42" s="5">
        <v>0.80540412876342082</v>
      </c>
      <c r="M42" s="5">
        <v>0.97712600364733426</v>
      </c>
      <c r="N42" s="5">
        <v>0.38256276951939711</v>
      </c>
      <c r="O42" s="5">
        <v>0.90320654029894321</v>
      </c>
      <c r="P42" s="5">
        <v>5.1420169920179615E-2</v>
      </c>
      <c r="Q42" s="5">
        <v>0.14836272609266141</v>
      </c>
      <c r="R42" s="5">
        <v>1.9759468239861563E-2</v>
      </c>
      <c r="S42" s="5">
        <v>7.9328783243185788</v>
      </c>
      <c r="T42" s="18" t="str">
        <f t="shared" si="3"/>
        <v>C75</v>
      </c>
      <c r="U42" s="2">
        <f t="shared" ref="U42:AH42" si="39">IF(OR(F42=0,F42&lt;0.00001,F42&gt;100000),"",IF((IF(F42&gt;F$5,ABS(LOG(((F$5/SUM($F42:$S42))/(F$4/SUM($F$4:$S$4)))*4+2,2)),ABS(LOG(((F42/SUM($F42:$S42))/(F$4/SUM($F$4:$S$4)))*4+2,2)))-3)&gt;8,(IF(F42&gt;F$5,ABS(LOG(((F$5/SUM($F42:$S42))/(F$4/SUM($F$4:$S$4)))*4+2,2)),ABS(LOG(((F42/SUM($F42:$S42))/(F$4/SUM($F$4:$S$4)))*4+2,2)))-3)/7,IF(F42&gt;F$5,ABS(LOG(((F$5/SUM($F42:$S42))/(F$4/SUM($F$4:$S$4)))*4+2,2)),ABS(LOG(((F42/SUM($F42:$S42))/(F$4/SUM($F$4:$S$4)))*4+2,2)))-3))</f>
        <v>0.76039659441970775</v>
      </c>
      <c r="V42" s="2">
        <f t="shared" si="39"/>
        <v>4.7204152396840655</v>
      </c>
      <c r="W42" s="2">
        <f t="shared" si="39"/>
        <v>4.4949589203105811</v>
      </c>
      <c r="X42" s="2">
        <f t="shared" si="39"/>
        <v>3.8010303980007762</v>
      </c>
      <c r="Y42" s="2">
        <f t="shared" si="39"/>
        <v>5.2983061075615314</v>
      </c>
      <c r="Z42" s="2">
        <f t="shared" si="39"/>
        <v>1.4150581253591012</v>
      </c>
      <c r="AA42" s="2">
        <f t="shared" si="39"/>
        <v>5.734820556782271</v>
      </c>
      <c r="AB42" s="2">
        <f t="shared" si="39"/>
        <v>5.0914817584899552</v>
      </c>
      <c r="AC42" s="2">
        <f t="shared" si="39"/>
        <v>3.9126312234825749</v>
      </c>
      <c r="AD42" s="2">
        <f t="shared" si="39"/>
        <v>1.036487904769186</v>
      </c>
      <c r="AE42" s="2">
        <f t="shared" si="39"/>
        <v>-1.999999050554661</v>
      </c>
      <c r="AF42" s="2">
        <f t="shared" si="39"/>
        <v>-1.9424698186661991</v>
      </c>
      <c r="AG42" s="2">
        <f t="shared" si="39"/>
        <v>-1.9189402950593393</v>
      </c>
      <c r="AH42" s="2">
        <f t="shared" si="39"/>
        <v>-0.23433426370571508</v>
      </c>
      <c r="AI42" s="18" t="str">
        <f t="shared" si="5"/>
        <v>C75</v>
      </c>
      <c r="AJ42" s="2">
        <f t="shared" si="6"/>
        <v>2.1148055074718797</v>
      </c>
      <c r="AK42" s="16"/>
      <c r="AL42" s="57"/>
      <c r="AM42" s="16"/>
    </row>
    <row r="43" spans="1:39" ht="10.5" customHeight="1" x14ac:dyDescent="0.25">
      <c r="A43" s="15">
        <v>35</v>
      </c>
      <c r="B43" s="2">
        <f t="shared" si="2"/>
        <v>8.859740268136246</v>
      </c>
      <c r="C43" s="15">
        <v>2</v>
      </c>
      <c r="D43" s="2">
        <v>33.959627278661401</v>
      </c>
      <c r="E43" s="18" t="s">
        <v>191</v>
      </c>
      <c r="F43" s="5">
        <v>0.85008419942474645</v>
      </c>
      <c r="G43" s="5">
        <v>1.0072574976170522E-2</v>
      </c>
      <c r="H43" s="5">
        <v>9.9415429387943046</v>
      </c>
      <c r="I43" s="5">
        <v>0.36137545113290376</v>
      </c>
      <c r="J43" s="5">
        <v>19.562636508642502</v>
      </c>
      <c r="K43" s="5">
        <v>0.28837913958433331</v>
      </c>
      <c r="L43" s="5">
        <v>5.6093844762720746</v>
      </c>
      <c r="M43" s="5">
        <v>0.94523873719488316</v>
      </c>
      <c r="N43" s="5">
        <v>0.31372072450663108</v>
      </c>
      <c r="O43" s="5">
        <v>14.902036982135444</v>
      </c>
      <c r="P43" s="5">
        <v>0.14428466916681584</v>
      </c>
      <c r="Q43" s="5">
        <v>17.837413363194848</v>
      </c>
      <c r="R43" s="5"/>
      <c r="S43" s="5">
        <v>58.637438494886524</v>
      </c>
      <c r="T43" s="18" t="str">
        <f t="shared" si="3"/>
        <v>LDJ</v>
      </c>
      <c r="U43" s="2">
        <f t="shared" ref="U43:AH43" si="40">IF(OR(F43=0,F43&lt;0.00001,F43&gt;100000),"",IF((IF(F43&gt;F$5,ABS(LOG(((F$5/SUM($F43:$S43))/(F$4/SUM($F$4:$S$4)))*4+2,2)),ABS(LOG(((F43/SUM($F43:$S43))/(F$4/SUM($F$4:$S$4)))*4+2,2)))-3)&gt;8,(IF(F43&gt;F$5,ABS(LOG(((F$5/SUM($F43:$S43))/(F$4/SUM($F$4:$S$4)))*4+2,2)),ABS(LOG(((F43/SUM($F43:$S43))/(F$4/SUM($F$4:$S$4)))*4+2,2)))-3)/7,IF(F43&gt;F$5,ABS(LOG(((F$5/SUM($F43:$S43))/(F$4/SUM($F$4:$S$4)))*4+2,2)),ABS(LOG(((F43/SUM($F43:$S43))/(F$4/SUM($F$4:$S$4)))*4+2,2)))-3))</f>
        <v>3.7484445711646339</v>
      </c>
      <c r="V43" s="2">
        <f t="shared" si="40"/>
        <v>-1.7425588366501745</v>
      </c>
      <c r="W43" s="2">
        <f t="shared" si="40"/>
        <v>7.2714841234928009</v>
      </c>
      <c r="X43" s="2">
        <f t="shared" si="40"/>
        <v>-7.2658116211426815E-2</v>
      </c>
      <c r="Y43" s="2">
        <f t="shared" si="40"/>
        <v>5.406240203168597</v>
      </c>
      <c r="Z43" s="2">
        <f t="shared" si="40"/>
        <v>7.0427762282747359</v>
      </c>
      <c r="AA43" s="2">
        <f t="shared" si="40"/>
        <v>5.4517848223617911</v>
      </c>
      <c r="AB43" s="2">
        <f t="shared" si="40"/>
        <v>2.0389772560000905</v>
      </c>
      <c r="AC43" s="2">
        <f t="shared" si="40"/>
        <v>0.74989210680569185</v>
      </c>
      <c r="AD43" s="2">
        <f t="shared" si="40"/>
        <v>1.9081661606317981</v>
      </c>
      <c r="AE43" s="2">
        <f t="shared" si="40"/>
        <v>-1.9999998880762462</v>
      </c>
      <c r="AF43" s="2">
        <f t="shared" si="40"/>
        <v>-1.3431909230934154</v>
      </c>
      <c r="AG43" s="2" t="str">
        <f t="shared" si="40"/>
        <v/>
      </c>
      <c r="AH43" s="2">
        <f t="shared" si="40"/>
        <v>-0.3716803970101199</v>
      </c>
      <c r="AI43" s="18" t="str">
        <f t="shared" si="5"/>
        <v>LDJ</v>
      </c>
      <c r="AJ43" s="2">
        <f t="shared" si="6"/>
        <v>2.7980520917498373</v>
      </c>
      <c r="AK43" s="16"/>
      <c r="AL43" s="56"/>
      <c r="AM43" s="4"/>
    </row>
    <row r="44" spans="1:39" ht="10.5" customHeight="1" x14ac:dyDescent="0.25">
      <c r="A44" s="16"/>
      <c r="B44" s="2"/>
      <c r="C44" s="16"/>
      <c r="D44" s="2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2" t="str">
        <f t="shared" ref="U44:AH44" si="41">IF(OR(F44=0,F44&lt;0.00001,F44&gt;100000),"",IF((IF(F44&gt;F$5,ABS(LOG(((F$5/SUM($F44:$S44))/(F$4/SUM($F$4:$S$4)))*4+2,2)),ABS(LOG(((F44/SUM($F44:$S44))/(F$4/SUM($F$4:$S$4)))*4+2,2)))-3)&gt;8,(IF(F44&gt;F$5,ABS(LOG(((F$5/SUM($F44:$S44))/(F$4/SUM($F$4:$S$4)))*4+2,2)),ABS(LOG(((F44/SUM($F44:$S44))/(F$4/SUM($F$4:$S$4)))*4+2,2)))-3)/7,IF(F44&gt;F$5,ABS(LOG(((F$5/SUM($F44:$S44))/(F$4/SUM($F$4:$S$4)))*4+2,2)),ABS(LOG(((F44/SUM($F44:$S44))/(F$4/SUM($F$4:$S$4)))*4+2,2)))-3))</f>
        <v/>
      </c>
      <c r="V44" s="2" t="str">
        <f t="shared" si="41"/>
        <v/>
      </c>
      <c r="W44" s="2" t="str">
        <f t="shared" si="41"/>
        <v/>
      </c>
      <c r="X44" s="2" t="str">
        <f t="shared" si="41"/>
        <v/>
      </c>
      <c r="Y44" s="2" t="str">
        <f t="shared" si="41"/>
        <v/>
      </c>
      <c r="Z44" s="2" t="str">
        <f t="shared" si="41"/>
        <v/>
      </c>
      <c r="AA44" s="2" t="str">
        <f t="shared" si="41"/>
        <v/>
      </c>
      <c r="AB44" s="2" t="str">
        <f t="shared" si="41"/>
        <v/>
      </c>
      <c r="AC44" s="2" t="str">
        <f t="shared" si="41"/>
        <v/>
      </c>
      <c r="AD44" s="2" t="str">
        <f t="shared" si="41"/>
        <v/>
      </c>
      <c r="AE44" s="2" t="str">
        <f t="shared" si="41"/>
        <v/>
      </c>
      <c r="AF44" s="2" t="str">
        <f t="shared" si="41"/>
        <v/>
      </c>
      <c r="AG44" s="2" t="str">
        <f t="shared" si="41"/>
        <v/>
      </c>
      <c r="AH44" s="2" t="str">
        <f t="shared" si="41"/>
        <v/>
      </c>
      <c r="AI44" s="18"/>
      <c r="AJ44" s="16"/>
      <c r="AK44" s="16"/>
      <c r="AL44" s="57"/>
      <c r="AM44" s="16"/>
    </row>
    <row r="45" spans="1:39" ht="10.5" customHeight="1" x14ac:dyDescent="0.25">
      <c r="A45" s="16"/>
      <c r="B45" s="2"/>
      <c r="C45" s="16"/>
      <c r="D45" s="2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2" t="str">
        <f t="shared" ref="U45:AH45" si="42">IF(OR(F45=0,F45&lt;0.00001,F45&gt;100000),"",IF((IF(F45&gt;F$5,ABS(LOG(((F$5/SUM($F45:$S45))/(F$4/SUM($F$4:$S$4)))*4+2,2)),ABS(LOG(((F45/SUM($F45:$S45))/(F$4/SUM($F$4:$S$4)))*4+2,2)))-3)&gt;8,(IF(F45&gt;F$5,ABS(LOG(((F$5/SUM($F45:$S45))/(F$4/SUM($F$4:$S$4)))*4+2,2)),ABS(LOG(((F45/SUM($F45:$S45))/(F$4/SUM($F$4:$S$4)))*4+2,2)))-3)/7,IF(F45&gt;F$5,ABS(LOG(((F$5/SUM($F45:$S45))/(F$4/SUM($F$4:$S$4)))*4+2,2)),ABS(LOG(((F45/SUM($F45:$S45))/(F$4/SUM($F$4:$S$4)))*4+2,2)))-3))</f>
        <v/>
      </c>
      <c r="V45" s="2" t="str">
        <f t="shared" si="42"/>
        <v/>
      </c>
      <c r="W45" s="2" t="str">
        <f t="shared" si="42"/>
        <v/>
      </c>
      <c r="X45" s="2" t="str">
        <f t="shared" si="42"/>
        <v/>
      </c>
      <c r="Y45" s="2" t="str">
        <f t="shared" si="42"/>
        <v/>
      </c>
      <c r="Z45" s="2" t="str">
        <f t="shared" si="42"/>
        <v/>
      </c>
      <c r="AA45" s="2" t="str">
        <f t="shared" si="42"/>
        <v/>
      </c>
      <c r="AB45" s="2" t="str">
        <f t="shared" si="42"/>
        <v/>
      </c>
      <c r="AC45" s="2" t="str">
        <f t="shared" si="42"/>
        <v/>
      </c>
      <c r="AD45" s="2" t="str">
        <f t="shared" si="42"/>
        <v/>
      </c>
      <c r="AE45" s="2" t="str">
        <f t="shared" si="42"/>
        <v/>
      </c>
      <c r="AF45" s="2" t="str">
        <f t="shared" si="42"/>
        <v/>
      </c>
      <c r="AG45" s="2" t="str">
        <f t="shared" si="42"/>
        <v/>
      </c>
      <c r="AH45" s="2" t="str">
        <f t="shared" si="42"/>
        <v/>
      </c>
      <c r="AI45" s="18"/>
      <c r="AJ45" s="16"/>
      <c r="AK45" s="16"/>
      <c r="AL45" s="57"/>
      <c r="AM45" s="16"/>
    </row>
    <row r="46" spans="1:39" ht="10.5" customHeight="1" x14ac:dyDescent="0.25">
      <c r="A46" s="16"/>
      <c r="B46" s="2"/>
      <c r="C46" s="16"/>
      <c r="D46" s="2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2" t="str">
        <f t="shared" ref="U46:AH46" si="43">IF(OR(F46=0,F46&lt;0.00001,F46&gt;100000),"",IF((IF(F46&gt;F$5,ABS(LOG(((F$5/SUM($F46:$S46))/(F$4/SUM($F$4:$S$4)))*4+2,2)),ABS(LOG(((F46/SUM($F46:$S46))/(F$4/SUM($F$4:$S$4)))*4+2,2)))-3)&gt;8,(IF(F46&gt;F$5,ABS(LOG(((F$5/SUM($F46:$S46))/(F$4/SUM($F$4:$S$4)))*4+2,2)),ABS(LOG(((F46/SUM($F46:$S46))/(F$4/SUM($F$4:$S$4)))*4+2,2)))-3)/7,IF(F46&gt;F$5,ABS(LOG(((F$5/SUM($F46:$S46))/(F$4/SUM($F$4:$S$4)))*4+2,2)),ABS(LOG(((F46/SUM($F46:$S46))/(F$4/SUM($F$4:$S$4)))*4+2,2)))-3))</f>
        <v/>
      </c>
      <c r="V46" s="2" t="str">
        <f t="shared" si="43"/>
        <v/>
      </c>
      <c r="W46" s="2" t="str">
        <f t="shared" si="43"/>
        <v/>
      </c>
      <c r="X46" s="2" t="str">
        <f t="shared" si="43"/>
        <v/>
      </c>
      <c r="Y46" s="2" t="str">
        <f t="shared" si="43"/>
        <v/>
      </c>
      <c r="Z46" s="2" t="str">
        <f t="shared" si="43"/>
        <v/>
      </c>
      <c r="AA46" s="2" t="str">
        <f t="shared" si="43"/>
        <v/>
      </c>
      <c r="AB46" s="2" t="str">
        <f t="shared" si="43"/>
        <v/>
      </c>
      <c r="AC46" s="2" t="str">
        <f t="shared" si="43"/>
        <v/>
      </c>
      <c r="AD46" s="2" t="str">
        <f t="shared" si="43"/>
        <v/>
      </c>
      <c r="AE46" s="2" t="str">
        <f t="shared" si="43"/>
        <v/>
      </c>
      <c r="AF46" s="2" t="str">
        <f t="shared" si="43"/>
        <v/>
      </c>
      <c r="AG46" s="2" t="str">
        <f t="shared" si="43"/>
        <v/>
      </c>
      <c r="AH46" s="2" t="str">
        <f t="shared" si="43"/>
        <v/>
      </c>
      <c r="AI46" s="18"/>
      <c r="AJ46" s="16"/>
      <c r="AK46" s="16"/>
      <c r="AL46" s="57"/>
      <c r="AM46" s="16"/>
    </row>
    <row r="47" spans="1:39" ht="10.5" customHeight="1" x14ac:dyDescent="0.25">
      <c r="A47" s="16"/>
      <c r="B47" s="2"/>
      <c r="C47" s="16"/>
      <c r="D47" s="2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2" t="str">
        <f t="shared" ref="U47:AH47" si="44">IF(OR(F47=0,F47&lt;0.00001,F47&gt;100000),"",IF((IF(F47&gt;F$5,ABS(LOG(((F$5/SUM($F47:$S47))/(F$4/SUM($F$4:$S$4)))*4+2,2)),ABS(LOG(((F47/SUM($F47:$S47))/(F$4/SUM($F$4:$S$4)))*4+2,2)))-3)&gt;8,(IF(F47&gt;F$5,ABS(LOG(((F$5/SUM($F47:$S47))/(F$4/SUM($F$4:$S$4)))*4+2,2)),ABS(LOG(((F47/SUM($F47:$S47))/(F$4/SUM($F$4:$S$4)))*4+2,2)))-3)/7,IF(F47&gt;F$5,ABS(LOG(((F$5/SUM($F47:$S47))/(F$4/SUM($F$4:$S$4)))*4+2,2)),ABS(LOG(((F47/SUM($F47:$S47))/(F$4/SUM($F$4:$S$4)))*4+2,2)))-3))</f>
        <v/>
      </c>
      <c r="V47" s="2" t="str">
        <f t="shared" si="44"/>
        <v/>
      </c>
      <c r="W47" s="2" t="str">
        <f t="shared" si="44"/>
        <v/>
      </c>
      <c r="X47" s="2" t="str">
        <f t="shared" si="44"/>
        <v/>
      </c>
      <c r="Y47" s="2" t="str">
        <f t="shared" si="44"/>
        <v/>
      </c>
      <c r="Z47" s="2" t="str">
        <f t="shared" si="44"/>
        <v/>
      </c>
      <c r="AA47" s="2" t="str">
        <f t="shared" si="44"/>
        <v/>
      </c>
      <c r="AB47" s="2" t="str">
        <f t="shared" si="44"/>
        <v/>
      </c>
      <c r="AC47" s="2" t="str">
        <f t="shared" si="44"/>
        <v/>
      </c>
      <c r="AD47" s="2" t="str">
        <f t="shared" si="44"/>
        <v/>
      </c>
      <c r="AE47" s="2" t="str">
        <f t="shared" si="44"/>
        <v/>
      </c>
      <c r="AF47" s="2" t="str">
        <f t="shared" si="44"/>
        <v/>
      </c>
      <c r="AG47" s="2" t="str">
        <f t="shared" si="44"/>
        <v/>
      </c>
      <c r="AH47" s="2" t="str">
        <f t="shared" si="44"/>
        <v/>
      </c>
      <c r="AI47" s="18"/>
      <c r="AJ47" s="16"/>
      <c r="AK47" s="16"/>
      <c r="AL47" s="57"/>
      <c r="AM47" s="16"/>
    </row>
    <row r="48" spans="1:39" ht="10.5" customHeight="1" x14ac:dyDescent="0.25">
      <c r="A48" s="16"/>
      <c r="B48" s="2"/>
      <c r="C48" s="16"/>
      <c r="D48" s="2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2" t="str">
        <f t="shared" ref="U48:AH48" si="45">IF(OR(F48=0,F48&lt;0.00001,F48&gt;100000),"",IF((IF(F48&gt;F$5,ABS(LOG(((F$5/SUM($F48:$S48))/(F$4/SUM($F$4:$S$4)))*4+2,2)),ABS(LOG(((F48/SUM($F48:$S48))/(F$4/SUM($F$4:$S$4)))*4+2,2)))-3)&gt;8,(IF(F48&gt;F$5,ABS(LOG(((F$5/SUM($F48:$S48))/(F$4/SUM($F$4:$S$4)))*4+2,2)),ABS(LOG(((F48/SUM($F48:$S48))/(F$4/SUM($F$4:$S$4)))*4+2,2)))-3)/7,IF(F48&gt;F$5,ABS(LOG(((F$5/SUM($F48:$S48))/(F$4/SUM($F$4:$S$4)))*4+2,2)),ABS(LOG(((F48/SUM($F48:$S48))/(F$4/SUM($F$4:$S$4)))*4+2,2)))-3))</f>
        <v/>
      </c>
      <c r="V48" s="2" t="str">
        <f t="shared" si="45"/>
        <v/>
      </c>
      <c r="W48" s="2" t="str">
        <f t="shared" si="45"/>
        <v/>
      </c>
      <c r="X48" s="2" t="str">
        <f t="shared" si="45"/>
        <v/>
      </c>
      <c r="Y48" s="2" t="str">
        <f t="shared" si="45"/>
        <v/>
      </c>
      <c r="Z48" s="2" t="str">
        <f t="shared" si="45"/>
        <v/>
      </c>
      <c r="AA48" s="2" t="str">
        <f t="shared" si="45"/>
        <v/>
      </c>
      <c r="AB48" s="2" t="str">
        <f t="shared" si="45"/>
        <v/>
      </c>
      <c r="AC48" s="2" t="str">
        <f t="shared" si="45"/>
        <v/>
      </c>
      <c r="AD48" s="2" t="str">
        <f t="shared" si="45"/>
        <v/>
      </c>
      <c r="AE48" s="2" t="str">
        <f t="shared" si="45"/>
        <v/>
      </c>
      <c r="AF48" s="2" t="str">
        <f t="shared" si="45"/>
        <v/>
      </c>
      <c r="AG48" s="2" t="str">
        <f t="shared" si="45"/>
        <v/>
      </c>
      <c r="AH48" s="2" t="str">
        <f t="shared" si="45"/>
        <v/>
      </c>
      <c r="AI48" s="18"/>
      <c r="AJ48" s="16"/>
      <c r="AK48" s="16"/>
      <c r="AL48" s="57"/>
      <c r="AM48" s="16"/>
    </row>
    <row r="49" spans="1:39" ht="10.5" customHeight="1" x14ac:dyDescent="0.25">
      <c r="A49" s="16"/>
      <c r="B49" s="2"/>
      <c r="C49" s="16"/>
      <c r="D49" s="2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2" t="str">
        <f t="shared" ref="U49:AH49" si="46">IF(OR(F49=0,F49&lt;0.00001,F49&gt;100000),"",IF((IF(F49&gt;F$5,ABS(LOG(((F$5/SUM($F49:$S49))/(F$4/SUM($F$4:$S$4)))*4+2,2)),ABS(LOG(((F49/SUM($F49:$S49))/(F$4/SUM($F$4:$S$4)))*4+2,2)))-3)&gt;8,(IF(F49&gt;F$5,ABS(LOG(((F$5/SUM($F49:$S49))/(F$4/SUM($F$4:$S$4)))*4+2,2)),ABS(LOG(((F49/SUM($F49:$S49))/(F$4/SUM($F$4:$S$4)))*4+2,2)))-3)/7,IF(F49&gt;F$5,ABS(LOG(((F$5/SUM($F49:$S49))/(F$4/SUM($F$4:$S$4)))*4+2,2)),ABS(LOG(((F49/SUM($F49:$S49))/(F$4/SUM($F$4:$S$4)))*4+2,2)))-3))</f>
        <v/>
      </c>
      <c r="V49" s="2" t="str">
        <f t="shared" si="46"/>
        <v/>
      </c>
      <c r="W49" s="2" t="str">
        <f t="shared" si="46"/>
        <v/>
      </c>
      <c r="X49" s="2" t="str">
        <f t="shared" si="46"/>
        <v/>
      </c>
      <c r="Y49" s="2" t="str">
        <f t="shared" si="46"/>
        <v/>
      </c>
      <c r="Z49" s="2" t="str">
        <f t="shared" si="46"/>
        <v/>
      </c>
      <c r="AA49" s="2" t="str">
        <f t="shared" si="46"/>
        <v/>
      </c>
      <c r="AB49" s="2" t="str">
        <f t="shared" si="46"/>
        <v/>
      </c>
      <c r="AC49" s="2" t="str">
        <f t="shared" si="46"/>
        <v/>
      </c>
      <c r="AD49" s="2" t="str">
        <f t="shared" si="46"/>
        <v/>
      </c>
      <c r="AE49" s="2" t="str">
        <f t="shared" si="46"/>
        <v/>
      </c>
      <c r="AF49" s="2" t="str">
        <f t="shared" si="46"/>
        <v/>
      </c>
      <c r="AG49" s="2" t="str">
        <f t="shared" si="46"/>
        <v/>
      </c>
      <c r="AH49" s="2" t="str">
        <f t="shared" si="46"/>
        <v/>
      </c>
      <c r="AI49" s="18"/>
      <c r="AJ49" s="16"/>
      <c r="AK49" s="16"/>
      <c r="AL49" s="57"/>
      <c r="AM49" s="16"/>
    </row>
    <row r="50" spans="1:39" ht="10.5" customHeight="1" x14ac:dyDescent="0.25">
      <c r="A50" s="16"/>
      <c r="B50" s="2"/>
      <c r="C50" s="16"/>
      <c r="D50" s="2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2" t="str">
        <f t="shared" ref="U50:AH50" si="47">IF(OR(F50=0,F50&lt;0.00001,F50&gt;100000),"",IF((IF(F50&gt;F$5,ABS(LOG(((F$5/SUM($F50:$S50))/(F$4/SUM($F$4:$S$4)))*4+2,2)),ABS(LOG(((F50/SUM($F50:$S50))/(F$4/SUM($F$4:$S$4)))*4+2,2)))-3)&gt;8,(IF(F50&gt;F$5,ABS(LOG(((F$5/SUM($F50:$S50))/(F$4/SUM($F$4:$S$4)))*4+2,2)),ABS(LOG(((F50/SUM($F50:$S50))/(F$4/SUM($F$4:$S$4)))*4+2,2)))-3)/7,IF(F50&gt;F$5,ABS(LOG(((F$5/SUM($F50:$S50))/(F$4/SUM($F$4:$S$4)))*4+2,2)),ABS(LOG(((F50/SUM($F50:$S50))/(F$4/SUM($F$4:$S$4)))*4+2,2)))-3))</f>
        <v/>
      </c>
      <c r="V50" s="2" t="str">
        <f t="shared" si="47"/>
        <v/>
      </c>
      <c r="W50" s="2" t="str">
        <f t="shared" si="47"/>
        <v/>
      </c>
      <c r="X50" s="2" t="str">
        <f t="shared" si="47"/>
        <v/>
      </c>
      <c r="Y50" s="2" t="str">
        <f t="shared" si="47"/>
        <v/>
      </c>
      <c r="Z50" s="2" t="str">
        <f t="shared" si="47"/>
        <v/>
      </c>
      <c r="AA50" s="2" t="str">
        <f t="shared" si="47"/>
        <v/>
      </c>
      <c r="AB50" s="2" t="str">
        <f t="shared" si="47"/>
        <v/>
      </c>
      <c r="AC50" s="2" t="str">
        <f t="shared" si="47"/>
        <v/>
      </c>
      <c r="AD50" s="2" t="str">
        <f t="shared" si="47"/>
        <v/>
      </c>
      <c r="AE50" s="2" t="str">
        <f t="shared" si="47"/>
        <v/>
      </c>
      <c r="AF50" s="2" t="str">
        <f t="shared" si="47"/>
        <v/>
      </c>
      <c r="AG50" s="2" t="str">
        <f t="shared" si="47"/>
        <v/>
      </c>
      <c r="AH50" s="2" t="str">
        <f t="shared" si="47"/>
        <v/>
      </c>
      <c r="AI50" s="18"/>
      <c r="AJ50" s="16"/>
      <c r="AK50" s="16"/>
      <c r="AL50" s="57"/>
      <c r="AM50" s="16"/>
    </row>
    <row r="51" spans="1:39" ht="10.5" customHeight="1" x14ac:dyDescent="0.25">
      <c r="A51" s="16"/>
      <c r="B51" s="2"/>
      <c r="C51" s="16"/>
      <c r="D51" s="2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2" t="str">
        <f t="shared" ref="U51:AH51" si="48">IF(OR(F51=0,F51&lt;0.00001,F51&gt;100000),"",IF((IF(F51&gt;F$5,ABS(LOG(((F$5/SUM($F51:$S51))/(F$4/SUM($F$4:$S$4)))*4+2,2)),ABS(LOG(((F51/SUM($F51:$S51))/(F$4/SUM($F$4:$S$4)))*4+2,2)))-3)&gt;8,(IF(F51&gt;F$5,ABS(LOG(((F$5/SUM($F51:$S51))/(F$4/SUM($F$4:$S$4)))*4+2,2)),ABS(LOG(((F51/SUM($F51:$S51))/(F$4/SUM($F$4:$S$4)))*4+2,2)))-3)/7,IF(F51&gt;F$5,ABS(LOG(((F$5/SUM($F51:$S51))/(F$4/SUM($F$4:$S$4)))*4+2,2)),ABS(LOG(((F51/SUM($F51:$S51))/(F$4/SUM($F$4:$S$4)))*4+2,2)))-3))</f>
        <v/>
      </c>
      <c r="V51" s="2" t="str">
        <f t="shared" si="48"/>
        <v/>
      </c>
      <c r="W51" s="2" t="str">
        <f t="shared" si="48"/>
        <v/>
      </c>
      <c r="X51" s="2" t="str">
        <f t="shared" si="48"/>
        <v/>
      </c>
      <c r="Y51" s="2" t="str">
        <f t="shared" si="48"/>
        <v/>
      </c>
      <c r="Z51" s="2" t="str">
        <f t="shared" si="48"/>
        <v/>
      </c>
      <c r="AA51" s="2" t="str">
        <f t="shared" si="48"/>
        <v/>
      </c>
      <c r="AB51" s="2" t="str">
        <f t="shared" si="48"/>
        <v/>
      </c>
      <c r="AC51" s="2" t="str">
        <f t="shared" si="48"/>
        <v/>
      </c>
      <c r="AD51" s="2" t="str">
        <f t="shared" si="48"/>
        <v/>
      </c>
      <c r="AE51" s="2" t="str">
        <f t="shared" si="48"/>
        <v/>
      </c>
      <c r="AF51" s="2" t="str">
        <f t="shared" si="48"/>
        <v/>
      </c>
      <c r="AG51" s="2" t="str">
        <f t="shared" si="48"/>
        <v/>
      </c>
      <c r="AH51" s="2" t="str">
        <f t="shared" si="48"/>
        <v/>
      </c>
      <c r="AI51" s="18"/>
      <c r="AJ51" s="16"/>
      <c r="AK51" s="16"/>
      <c r="AL51" s="57"/>
      <c r="AM51" s="16"/>
    </row>
    <row r="52" spans="1:39" ht="10.5" customHeight="1" x14ac:dyDescent="0.25">
      <c r="A52" s="16"/>
      <c r="B52" s="2"/>
      <c r="C52" s="16"/>
      <c r="D52" s="2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2" t="str">
        <f t="shared" ref="U52:AH52" si="49">IF(OR(F52=0,F52&lt;0.00001,F52&gt;100000),"",IF((IF(F52&gt;F$5,ABS(LOG(((F$5/SUM($F52:$S52))/(F$4/SUM($F$4:$S$4)))*4+2,2)),ABS(LOG(((F52/SUM($F52:$S52))/(F$4/SUM($F$4:$S$4)))*4+2,2)))-3)&gt;8,(IF(F52&gt;F$5,ABS(LOG(((F$5/SUM($F52:$S52))/(F$4/SUM($F$4:$S$4)))*4+2,2)),ABS(LOG(((F52/SUM($F52:$S52))/(F$4/SUM($F$4:$S$4)))*4+2,2)))-3)/7,IF(F52&gt;F$5,ABS(LOG(((F$5/SUM($F52:$S52))/(F$4/SUM($F$4:$S$4)))*4+2,2)),ABS(LOG(((F52/SUM($F52:$S52))/(F$4/SUM($F$4:$S$4)))*4+2,2)))-3))</f>
        <v/>
      </c>
      <c r="V52" s="2" t="str">
        <f t="shared" si="49"/>
        <v/>
      </c>
      <c r="W52" s="2" t="str">
        <f t="shared" si="49"/>
        <v/>
      </c>
      <c r="X52" s="2" t="str">
        <f t="shared" si="49"/>
        <v/>
      </c>
      <c r="Y52" s="2" t="str">
        <f t="shared" si="49"/>
        <v/>
      </c>
      <c r="Z52" s="2" t="str">
        <f t="shared" si="49"/>
        <v/>
      </c>
      <c r="AA52" s="2" t="str">
        <f t="shared" si="49"/>
        <v/>
      </c>
      <c r="AB52" s="2" t="str">
        <f t="shared" si="49"/>
        <v/>
      </c>
      <c r="AC52" s="2" t="str">
        <f t="shared" si="49"/>
        <v/>
      </c>
      <c r="AD52" s="2" t="str">
        <f t="shared" si="49"/>
        <v/>
      </c>
      <c r="AE52" s="2" t="str">
        <f t="shared" si="49"/>
        <v/>
      </c>
      <c r="AF52" s="2" t="str">
        <f t="shared" si="49"/>
        <v/>
      </c>
      <c r="AG52" s="2" t="str">
        <f t="shared" si="49"/>
        <v/>
      </c>
      <c r="AH52" s="2" t="str">
        <f t="shared" si="49"/>
        <v/>
      </c>
      <c r="AI52" s="18"/>
      <c r="AJ52" s="16"/>
      <c r="AK52" s="16"/>
      <c r="AL52" s="57"/>
      <c r="AM52" s="16"/>
    </row>
    <row r="53" spans="1:39" ht="10.5" customHeight="1" x14ac:dyDescent="0.25">
      <c r="A53" s="16"/>
      <c r="B53" s="2"/>
      <c r="C53" s="16"/>
      <c r="D53" s="2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2" t="str">
        <f t="shared" ref="U53:AH53" si="50">IF(OR(F53=0,F53&lt;0.00001,F53&gt;100000),"",IF((IF(F53&gt;F$5,ABS(LOG(((F$5/SUM($F53:$S53))/(F$4/SUM($F$4:$S$4)))*4+2,2)),ABS(LOG(((F53/SUM($F53:$S53))/(F$4/SUM($F$4:$S$4)))*4+2,2)))-3)&gt;8,(IF(F53&gt;F$5,ABS(LOG(((F$5/SUM($F53:$S53))/(F$4/SUM($F$4:$S$4)))*4+2,2)),ABS(LOG(((F53/SUM($F53:$S53))/(F$4/SUM($F$4:$S$4)))*4+2,2)))-3)/7,IF(F53&gt;F$5,ABS(LOG(((F$5/SUM($F53:$S53))/(F$4/SUM($F$4:$S$4)))*4+2,2)),ABS(LOG(((F53/SUM($F53:$S53))/(F$4/SUM($F$4:$S$4)))*4+2,2)))-3))</f>
        <v/>
      </c>
      <c r="V53" s="2" t="str">
        <f t="shared" si="50"/>
        <v/>
      </c>
      <c r="W53" s="2" t="str">
        <f t="shared" si="50"/>
        <v/>
      </c>
      <c r="X53" s="2" t="str">
        <f t="shared" si="50"/>
        <v/>
      </c>
      <c r="Y53" s="2" t="str">
        <f t="shared" si="50"/>
        <v/>
      </c>
      <c r="Z53" s="2" t="str">
        <f t="shared" si="50"/>
        <v/>
      </c>
      <c r="AA53" s="2" t="str">
        <f t="shared" si="50"/>
        <v/>
      </c>
      <c r="AB53" s="2" t="str">
        <f t="shared" si="50"/>
        <v/>
      </c>
      <c r="AC53" s="2" t="str">
        <f t="shared" si="50"/>
        <v/>
      </c>
      <c r="AD53" s="2" t="str">
        <f t="shared" si="50"/>
        <v/>
      </c>
      <c r="AE53" s="2" t="str">
        <f t="shared" si="50"/>
        <v/>
      </c>
      <c r="AF53" s="2" t="str">
        <f t="shared" si="50"/>
        <v/>
      </c>
      <c r="AG53" s="2" t="str">
        <f t="shared" si="50"/>
        <v/>
      </c>
      <c r="AH53" s="2" t="str">
        <f t="shared" si="50"/>
        <v/>
      </c>
      <c r="AI53" s="18"/>
      <c r="AJ53" s="16"/>
      <c r="AK53" s="16"/>
      <c r="AL53" s="57"/>
      <c r="AM53" s="16"/>
    </row>
    <row r="54" spans="1:39" ht="10.5" customHeight="1" x14ac:dyDescent="0.25">
      <c r="A54" s="16"/>
      <c r="B54" s="2"/>
      <c r="C54" s="16"/>
      <c r="D54" s="2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2" t="str">
        <f t="shared" ref="U54:AH54" si="51">IF(OR(F54=0,F54&lt;0.00001,F54&gt;100000),"",IF((IF(F54&gt;F$5,ABS(LOG(((F$5/SUM($F54:$S54))/(F$4/SUM($F$4:$S$4)))*4+2,2)),ABS(LOG(((F54/SUM($F54:$S54))/(F$4/SUM($F$4:$S$4)))*4+2,2)))-3)&gt;8,(IF(F54&gt;F$5,ABS(LOG(((F$5/SUM($F54:$S54))/(F$4/SUM($F$4:$S$4)))*4+2,2)),ABS(LOG(((F54/SUM($F54:$S54))/(F$4/SUM($F$4:$S$4)))*4+2,2)))-3)/7,IF(F54&gt;F$5,ABS(LOG(((F$5/SUM($F54:$S54))/(F$4/SUM($F$4:$S$4)))*4+2,2)),ABS(LOG(((F54/SUM($F54:$S54))/(F$4/SUM($F$4:$S$4)))*4+2,2)))-3))</f>
        <v/>
      </c>
      <c r="V54" s="2" t="str">
        <f t="shared" si="51"/>
        <v/>
      </c>
      <c r="W54" s="2" t="str">
        <f t="shared" si="51"/>
        <v/>
      </c>
      <c r="X54" s="2" t="str">
        <f t="shared" si="51"/>
        <v/>
      </c>
      <c r="Y54" s="2" t="str">
        <f t="shared" si="51"/>
        <v/>
      </c>
      <c r="Z54" s="2" t="str">
        <f t="shared" si="51"/>
        <v/>
      </c>
      <c r="AA54" s="2" t="str">
        <f t="shared" si="51"/>
        <v/>
      </c>
      <c r="AB54" s="2" t="str">
        <f t="shared" si="51"/>
        <v/>
      </c>
      <c r="AC54" s="2" t="str">
        <f t="shared" si="51"/>
        <v/>
      </c>
      <c r="AD54" s="2" t="str">
        <f t="shared" si="51"/>
        <v/>
      </c>
      <c r="AE54" s="2" t="str">
        <f t="shared" si="51"/>
        <v/>
      </c>
      <c r="AF54" s="2" t="str">
        <f t="shared" si="51"/>
        <v/>
      </c>
      <c r="AG54" s="2" t="str">
        <f t="shared" si="51"/>
        <v/>
      </c>
      <c r="AH54" s="2" t="str">
        <f t="shared" si="51"/>
        <v/>
      </c>
      <c r="AI54" s="18"/>
      <c r="AJ54" s="16"/>
      <c r="AK54" s="16"/>
      <c r="AL54" s="57"/>
      <c r="AM54" s="16"/>
    </row>
    <row r="55" spans="1:39" ht="10.5" customHeight="1" x14ac:dyDescent="0.25">
      <c r="A55" s="16"/>
      <c r="B55" s="2"/>
      <c r="C55" s="16"/>
      <c r="D55" s="2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2" t="str">
        <f t="shared" ref="U55:AH55" si="52">IF(OR(F55=0,F55&lt;0.00001,F55&gt;100000),"",IF((IF(F55&gt;F$5,ABS(LOG(((F$5/SUM($F55:$S55))/(F$4/SUM($F$4:$S$4)))*4+2,2)),ABS(LOG(((F55/SUM($F55:$S55))/(F$4/SUM($F$4:$S$4)))*4+2,2)))-3)&gt;8,(IF(F55&gt;F$5,ABS(LOG(((F$5/SUM($F55:$S55))/(F$4/SUM($F$4:$S$4)))*4+2,2)),ABS(LOG(((F55/SUM($F55:$S55))/(F$4/SUM($F$4:$S$4)))*4+2,2)))-3)/7,IF(F55&gt;F$5,ABS(LOG(((F$5/SUM($F55:$S55))/(F$4/SUM($F$4:$S$4)))*4+2,2)),ABS(LOG(((F55/SUM($F55:$S55))/(F$4/SUM($F$4:$S$4)))*4+2,2)))-3))</f>
        <v/>
      </c>
      <c r="V55" s="2" t="str">
        <f t="shared" si="52"/>
        <v/>
      </c>
      <c r="W55" s="2" t="str">
        <f t="shared" si="52"/>
        <v/>
      </c>
      <c r="X55" s="2" t="str">
        <f t="shared" si="52"/>
        <v/>
      </c>
      <c r="Y55" s="2" t="str">
        <f t="shared" si="52"/>
        <v/>
      </c>
      <c r="Z55" s="2" t="str">
        <f t="shared" si="52"/>
        <v/>
      </c>
      <c r="AA55" s="2" t="str">
        <f t="shared" si="52"/>
        <v/>
      </c>
      <c r="AB55" s="2" t="str">
        <f t="shared" si="52"/>
        <v/>
      </c>
      <c r="AC55" s="2" t="str">
        <f t="shared" si="52"/>
        <v/>
      </c>
      <c r="AD55" s="2" t="str">
        <f t="shared" si="52"/>
        <v/>
      </c>
      <c r="AE55" s="2" t="str">
        <f t="shared" si="52"/>
        <v/>
      </c>
      <c r="AF55" s="2" t="str">
        <f t="shared" si="52"/>
        <v/>
      </c>
      <c r="AG55" s="2" t="str">
        <f t="shared" si="52"/>
        <v/>
      </c>
      <c r="AH55" s="2" t="str">
        <f t="shared" si="52"/>
        <v/>
      </c>
      <c r="AI55" s="18"/>
      <c r="AJ55" s="16"/>
      <c r="AK55" s="16"/>
      <c r="AL55" s="57"/>
      <c r="AM55" s="16"/>
    </row>
    <row r="56" spans="1:39" ht="10.5" customHeight="1" x14ac:dyDescent="0.25">
      <c r="A56" s="16"/>
      <c r="B56" s="2"/>
      <c r="C56" s="16"/>
      <c r="D56" s="2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2" t="str">
        <f t="shared" ref="U56:AH56" si="53">IF(OR(F56=0,F56&lt;0.00001,F56&gt;100000),"",IF((IF(F56&gt;F$5,ABS(LOG(((F$5/SUM($F56:$S56))/(F$4/SUM($F$4:$S$4)))*4+2,2)),ABS(LOG(((F56/SUM($F56:$S56))/(F$4/SUM($F$4:$S$4)))*4+2,2)))-3)&gt;8,(IF(F56&gt;F$5,ABS(LOG(((F$5/SUM($F56:$S56))/(F$4/SUM($F$4:$S$4)))*4+2,2)),ABS(LOG(((F56/SUM($F56:$S56))/(F$4/SUM($F$4:$S$4)))*4+2,2)))-3)/7,IF(F56&gt;F$5,ABS(LOG(((F$5/SUM($F56:$S56))/(F$4/SUM($F$4:$S$4)))*4+2,2)),ABS(LOG(((F56/SUM($F56:$S56))/(F$4/SUM($F$4:$S$4)))*4+2,2)))-3))</f>
        <v/>
      </c>
      <c r="V56" s="2" t="str">
        <f t="shared" si="53"/>
        <v/>
      </c>
      <c r="W56" s="2" t="str">
        <f t="shared" si="53"/>
        <v/>
      </c>
      <c r="X56" s="2" t="str">
        <f t="shared" si="53"/>
        <v/>
      </c>
      <c r="Y56" s="2" t="str">
        <f t="shared" si="53"/>
        <v/>
      </c>
      <c r="Z56" s="2" t="str">
        <f t="shared" si="53"/>
        <v/>
      </c>
      <c r="AA56" s="2" t="str">
        <f t="shared" si="53"/>
        <v/>
      </c>
      <c r="AB56" s="2" t="str">
        <f t="shared" si="53"/>
        <v/>
      </c>
      <c r="AC56" s="2" t="str">
        <f t="shared" si="53"/>
        <v/>
      </c>
      <c r="AD56" s="2" t="str">
        <f t="shared" si="53"/>
        <v/>
      </c>
      <c r="AE56" s="2" t="str">
        <f t="shared" si="53"/>
        <v/>
      </c>
      <c r="AF56" s="2" t="str">
        <f t="shared" si="53"/>
        <v/>
      </c>
      <c r="AG56" s="2" t="str">
        <f t="shared" si="53"/>
        <v/>
      </c>
      <c r="AH56" s="2" t="str">
        <f t="shared" si="53"/>
        <v/>
      </c>
      <c r="AI56" s="18"/>
      <c r="AJ56" s="16"/>
      <c r="AK56" s="16"/>
      <c r="AL56" s="57"/>
      <c r="AM56" s="16"/>
    </row>
    <row r="57" spans="1:39" ht="10.5" customHeight="1" x14ac:dyDescent="0.25">
      <c r="A57" s="16"/>
      <c r="B57" s="2"/>
      <c r="C57" s="16"/>
      <c r="D57" s="2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2" t="str">
        <f t="shared" ref="U57:AH57" si="54">IF(OR(F57=0,F57&lt;0.00001,F57&gt;100000),"",IF((IF(F57&gt;F$5,ABS(LOG(((F$5/SUM($F57:$S57))/(F$4/SUM($F$4:$S$4)))*4+2,2)),ABS(LOG(((F57/SUM($F57:$S57))/(F$4/SUM($F$4:$S$4)))*4+2,2)))-3)&gt;8,(IF(F57&gt;F$5,ABS(LOG(((F$5/SUM($F57:$S57))/(F$4/SUM($F$4:$S$4)))*4+2,2)),ABS(LOG(((F57/SUM($F57:$S57))/(F$4/SUM($F$4:$S$4)))*4+2,2)))-3)/7,IF(F57&gt;F$5,ABS(LOG(((F$5/SUM($F57:$S57))/(F$4/SUM($F$4:$S$4)))*4+2,2)),ABS(LOG(((F57/SUM($F57:$S57))/(F$4/SUM($F$4:$S$4)))*4+2,2)))-3))</f>
        <v/>
      </c>
      <c r="V57" s="2" t="str">
        <f t="shared" si="54"/>
        <v/>
      </c>
      <c r="W57" s="2" t="str">
        <f t="shared" si="54"/>
        <v/>
      </c>
      <c r="X57" s="2" t="str">
        <f t="shared" si="54"/>
        <v/>
      </c>
      <c r="Y57" s="2" t="str">
        <f t="shared" si="54"/>
        <v/>
      </c>
      <c r="Z57" s="2" t="str">
        <f t="shared" si="54"/>
        <v/>
      </c>
      <c r="AA57" s="2" t="str">
        <f t="shared" si="54"/>
        <v/>
      </c>
      <c r="AB57" s="2" t="str">
        <f t="shared" si="54"/>
        <v/>
      </c>
      <c r="AC57" s="2" t="str">
        <f t="shared" si="54"/>
        <v/>
      </c>
      <c r="AD57" s="2" t="str">
        <f t="shared" si="54"/>
        <v/>
      </c>
      <c r="AE57" s="2" t="str">
        <f t="shared" si="54"/>
        <v/>
      </c>
      <c r="AF57" s="2" t="str">
        <f t="shared" si="54"/>
        <v/>
      </c>
      <c r="AG57" s="2" t="str">
        <f t="shared" si="54"/>
        <v/>
      </c>
      <c r="AH57" s="2" t="str">
        <f t="shared" si="54"/>
        <v/>
      </c>
      <c r="AI57" s="18"/>
      <c r="AJ57" s="16"/>
      <c r="AK57" s="16"/>
      <c r="AL57" s="57"/>
      <c r="AM57" s="16"/>
    </row>
    <row r="58" spans="1:39" ht="10.5" customHeight="1" x14ac:dyDescent="0.25">
      <c r="A58" s="16"/>
      <c r="B58" s="2"/>
      <c r="C58" s="16"/>
      <c r="D58" s="2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2" t="str">
        <f t="shared" ref="U58:AH58" si="55">IF(OR(F58=0,F58&lt;0.00001,F58&gt;100000),"",IF((IF(F58&gt;F$5,ABS(LOG(((F$5/SUM($F58:$S58))/(F$4/SUM($F$4:$S$4)))*4+2,2)),ABS(LOG(((F58/SUM($F58:$S58))/(F$4/SUM($F$4:$S$4)))*4+2,2)))-3)&gt;8,(IF(F58&gt;F$5,ABS(LOG(((F$5/SUM($F58:$S58))/(F$4/SUM($F$4:$S$4)))*4+2,2)),ABS(LOG(((F58/SUM($F58:$S58))/(F$4/SUM($F$4:$S$4)))*4+2,2)))-3)/7,IF(F58&gt;F$5,ABS(LOG(((F$5/SUM($F58:$S58))/(F$4/SUM($F$4:$S$4)))*4+2,2)),ABS(LOG(((F58/SUM($F58:$S58))/(F$4/SUM($F$4:$S$4)))*4+2,2)))-3))</f>
        <v/>
      </c>
      <c r="V58" s="2" t="str">
        <f t="shared" si="55"/>
        <v/>
      </c>
      <c r="W58" s="2" t="str">
        <f t="shared" si="55"/>
        <v/>
      </c>
      <c r="X58" s="2" t="str">
        <f t="shared" si="55"/>
        <v/>
      </c>
      <c r="Y58" s="2" t="str">
        <f t="shared" si="55"/>
        <v/>
      </c>
      <c r="Z58" s="2" t="str">
        <f t="shared" si="55"/>
        <v/>
      </c>
      <c r="AA58" s="2" t="str">
        <f t="shared" si="55"/>
        <v/>
      </c>
      <c r="AB58" s="2" t="str">
        <f t="shared" si="55"/>
        <v/>
      </c>
      <c r="AC58" s="2" t="str">
        <f t="shared" si="55"/>
        <v/>
      </c>
      <c r="AD58" s="2" t="str">
        <f t="shared" si="55"/>
        <v/>
      </c>
      <c r="AE58" s="2" t="str">
        <f t="shared" si="55"/>
        <v/>
      </c>
      <c r="AF58" s="2" t="str">
        <f t="shared" si="55"/>
        <v/>
      </c>
      <c r="AG58" s="2" t="str">
        <f t="shared" si="55"/>
        <v/>
      </c>
      <c r="AH58" s="2" t="str">
        <f t="shared" si="55"/>
        <v/>
      </c>
      <c r="AI58" s="18"/>
      <c r="AJ58" s="16"/>
      <c r="AK58" s="16"/>
      <c r="AL58" s="57"/>
      <c r="AM58" s="16"/>
    </row>
    <row r="59" spans="1:39" ht="10.5" customHeight="1" x14ac:dyDescent="0.25">
      <c r="A59" s="16"/>
      <c r="B59" s="2"/>
      <c r="C59" s="16"/>
      <c r="D59" s="2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2" t="str">
        <f t="shared" ref="U59:AH59" si="56">IF(OR(F59=0,F59&lt;0.00001,F59&gt;100000),"",IF((IF(F59&gt;F$5,ABS(LOG(((F$5/SUM($F59:$S59))/(F$4/SUM($F$4:$S$4)))*4+2,2)),ABS(LOG(((F59/SUM($F59:$S59))/(F$4/SUM($F$4:$S$4)))*4+2,2)))-3)&gt;8,(IF(F59&gt;F$5,ABS(LOG(((F$5/SUM($F59:$S59))/(F$4/SUM($F$4:$S$4)))*4+2,2)),ABS(LOG(((F59/SUM($F59:$S59))/(F$4/SUM($F$4:$S$4)))*4+2,2)))-3)/7,IF(F59&gt;F$5,ABS(LOG(((F$5/SUM($F59:$S59))/(F$4/SUM($F$4:$S$4)))*4+2,2)),ABS(LOG(((F59/SUM($F59:$S59))/(F$4/SUM($F$4:$S$4)))*4+2,2)))-3))</f>
        <v/>
      </c>
      <c r="V59" s="2" t="str">
        <f t="shared" si="56"/>
        <v/>
      </c>
      <c r="W59" s="2" t="str">
        <f t="shared" si="56"/>
        <v/>
      </c>
      <c r="X59" s="2" t="str">
        <f t="shared" si="56"/>
        <v/>
      </c>
      <c r="Y59" s="2" t="str">
        <f t="shared" si="56"/>
        <v/>
      </c>
      <c r="Z59" s="2" t="str">
        <f t="shared" si="56"/>
        <v/>
      </c>
      <c r="AA59" s="2" t="str">
        <f t="shared" si="56"/>
        <v/>
      </c>
      <c r="AB59" s="2" t="str">
        <f t="shared" si="56"/>
        <v/>
      </c>
      <c r="AC59" s="2" t="str">
        <f t="shared" si="56"/>
        <v/>
      </c>
      <c r="AD59" s="2" t="str">
        <f t="shared" si="56"/>
        <v/>
      </c>
      <c r="AE59" s="2" t="str">
        <f t="shared" si="56"/>
        <v/>
      </c>
      <c r="AF59" s="2" t="str">
        <f t="shared" si="56"/>
        <v/>
      </c>
      <c r="AG59" s="2" t="str">
        <f t="shared" si="56"/>
        <v/>
      </c>
      <c r="AH59" s="2" t="str">
        <f t="shared" si="56"/>
        <v/>
      </c>
      <c r="AI59" s="18"/>
      <c r="AJ59" s="16"/>
      <c r="AK59" s="16"/>
      <c r="AL59" s="57"/>
      <c r="AM59" s="16"/>
    </row>
    <row r="60" spans="1:39" ht="10.5" customHeight="1" x14ac:dyDescent="0.25">
      <c r="A60" s="16"/>
      <c r="B60" s="2"/>
      <c r="C60" s="16"/>
      <c r="D60" s="2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2" t="str">
        <f t="shared" ref="U60:AH60" si="57">IF(OR(F60=0,F60&lt;0.00001,F60&gt;100000),"",IF((IF(F60&gt;F$5,ABS(LOG(((F$5/SUM($F60:$S60))/(F$4/SUM($F$4:$S$4)))*4+2,2)),ABS(LOG(((F60/SUM($F60:$S60))/(F$4/SUM($F$4:$S$4)))*4+2,2)))-3)&gt;8,(IF(F60&gt;F$5,ABS(LOG(((F$5/SUM($F60:$S60))/(F$4/SUM($F$4:$S$4)))*4+2,2)),ABS(LOG(((F60/SUM($F60:$S60))/(F$4/SUM($F$4:$S$4)))*4+2,2)))-3)/7,IF(F60&gt;F$5,ABS(LOG(((F$5/SUM($F60:$S60))/(F$4/SUM($F$4:$S$4)))*4+2,2)),ABS(LOG(((F60/SUM($F60:$S60))/(F$4/SUM($F$4:$S$4)))*4+2,2)))-3))</f>
        <v/>
      </c>
      <c r="V60" s="2" t="str">
        <f t="shared" si="57"/>
        <v/>
      </c>
      <c r="W60" s="2" t="str">
        <f t="shared" si="57"/>
        <v/>
      </c>
      <c r="X60" s="2" t="str">
        <f t="shared" si="57"/>
        <v/>
      </c>
      <c r="Y60" s="2" t="str">
        <f t="shared" si="57"/>
        <v/>
      </c>
      <c r="Z60" s="2" t="str">
        <f t="shared" si="57"/>
        <v/>
      </c>
      <c r="AA60" s="2" t="str">
        <f t="shared" si="57"/>
        <v/>
      </c>
      <c r="AB60" s="2" t="str">
        <f t="shared" si="57"/>
        <v/>
      </c>
      <c r="AC60" s="2" t="str">
        <f t="shared" si="57"/>
        <v/>
      </c>
      <c r="AD60" s="2" t="str">
        <f t="shared" si="57"/>
        <v/>
      </c>
      <c r="AE60" s="2" t="str">
        <f t="shared" si="57"/>
        <v/>
      </c>
      <c r="AF60" s="2" t="str">
        <f t="shared" si="57"/>
        <v/>
      </c>
      <c r="AG60" s="2" t="str">
        <f t="shared" si="57"/>
        <v/>
      </c>
      <c r="AH60" s="2" t="str">
        <f t="shared" si="57"/>
        <v/>
      </c>
      <c r="AI60" s="18"/>
      <c r="AJ60" s="16"/>
      <c r="AK60" s="16"/>
      <c r="AL60" s="57"/>
      <c r="AM60" s="16"/>
    </row>
    <row r="61" spans="1:39" ht="10.5" customHeight="1" x14ac:dyDescent="0.25">
      <c r="A61" s="16"/>
      <c r="B61" s="2"/>
      <c r="C61" s="16"/>
      <c r="D61" s="2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2" t="str">
        <f t="shared" ref="U61:AH61" si="58">IF(OR(F61=0,F61&lt;0.00001,F61&gt;100000),"",IF((IF(F61&gt;F$5,ABS(LOG(((F$5/SUM($F61:$S61))/(F$4/SUM($F$4:$S$4)))*4+2,2)),ABS(LOG(((F61/SUM($F61:$S61))/(F$4/SUM($F$4:$S$4)))*4+2,2)))-3)&gt;8,(IF(F61&gt;F$5,ABS(LOG(((F$5/SUM($F61:$S61))/(F$4/SUM($F$4:$S$4)))*4+2,2)),ABS(LOG(((F61/SUM($F61:$S61))/(F$4/SUM($F$4:$S$4)))*4+2,2)))-3)/7,IF(F61&gt;F$5,ABS(LOG(((F$5/SUM($F61:$S61))/(F$4/SUM($F$4:$S$4)))*4+2,2)),ABS(LOG(((F61/SUM($F61:$S61))/(F$4/SUM($F$4:$S$4)))*4+2,2)))-3))</f>
        <v/>
      </c>
      <c r="V61" s="2" t="str">
        <f t="shared" si="58"/>
        <v/>
      </c>
      <c r="W61" s="2" t="str">
        <f t="shared" si="58"/>
        <v/>
      </c>
      <c r="X61" s="2" t="str">
        <f t="shared" si="58"/>
        <v/>
      </c>
      <c r="Y61" s="2" t="str">
        <f t="shared" si="58"/>
        <v/>
      </c>
      <c r="Z61" s="2" t="str">
        <f t="shared" si="58"/>
        <v/>
      </c>
      <c r="AA61" s="2" t="str">
        <f t="shared" si="58"/>
        <v/>
      </c>
      <c r="AB61" s="2" t="str">
        <f t="shared" si="58"/>
        <v/>
      </c>
      <c r="AC61" s="2" t="str">
        <f t="shared" si="58"/>
        <v/>
      </c>
      <c r="AD61" s="2" t="str">
        <f t="shared" si="58"/>
        <v/>
      </c>
      <c r="AE61" s="2" t="str">
        <f t="shared" si="58"/>
        <v/>
      </c>
      <c r="AF61" s="2" t="str">
        <f t="shared" si="58"/>
        <v/>
      </c>
      <c r="AG61" s="2" t="str">
        <f t="shared" si="58"/>
        <v/>
      </c>
      <c r="AH61" s="2" t="str">
        <f t="shared" si="58"/>
        <v/>
      </c>
      <c r="AI61" s="18"/>
      <c r="AJ61" s="16"/>
      <c r="AK61" s="16"/>
      <c r="AL61" s="57"/>
      <c r="AM61" s="16"/>
    </row>
    <row r="62" spans="1:39" ht="10.5" customHeight="1" x14ac:dyDescent="0.25">
      <c r="A62" s="16"/>
      <c r="B62" s="2"/>
      <c r="C62" s="16"/>
      <c r="D62" s="2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2" t="str">
        <f t="shared" ref="U62:AH62" si="59">IF(OR(F62=0,F62&lt;0.00001,F62&gt;100000),"",IF((IF(F62&gt;F$5,ABS(LOG(((F$5/SUM($F62:$S62))/(F$4/SUM($F$4:$S$4)))*4+2,2)),ABS(LOG(((F62/SUM($F62:$S62))/(F$4/SUM($F$4:$S$4)))*4+2,2)))-3)&gt;8,(IF(F62&gt;F$5,ABS(LOG(((F$5/SUM($F62:$S62))/(F$4/SUM($F$4:$S$4)))*4+2,2)),ABS(LOG(((F62/SUM($F62:$S62))/(F$4/SUM($F$4:$S$4)))*4+2,2)))-3)/7,IF(F62&gt;F$5,ABS(LOG(((F$5/SUM($F62:$S62))/(F$4/SUM($F$4:$S$4)))*4+2,2)),ABS(LOG(((F62/SUM($F62:$S62))/(F$4/SUM($F$4:$S$4)))*4+2,2)))-3))</f>
        <v/>
      </c>
      <c r="V62" s="2" t="str">
        <f t="shared" si="59"/>
        <v/>
      </c>
      <c r="W62" s="2" t="str">
        <f t="shared" si="59"/>
        <v/>
      </c>
      <c r="X62" s="2" t="str">
        <f t="shared" si="59"/>
        <v/>
      </c>
      <c r="Y62" s="2" t="str">
        <f t="shared" si="59"/>
        <v/>
      </c>
      <c r="Z62" s="2" t="str">
        <f t="shared" si="59"/>
        <v/>
      </c>
      <c r="AA62" s="2" t="str">
        <f t="shared" si="59"/>
        <v/>
      </c>
      <c r="AB62" s="2" t="str">
        <f t="shared" si="59"/>
        <v/>
      </c>
      <c r="AC62" s="2" t="str">
        <f t="shared" si="59"/>
        <v/>
      </c>
      <c r="AD62" s="2" t="str">
        <f t="shared" si="59"/>
        <v/>
      </c>
      <c r="AE62" s="2" t="str">
        <f t="shared" si="59"/>
        <v/>
      </c>
      <c r="AF62" s="2" t="str">
        <f t="shared" si="59"/>
        <v/>
      </c>
      <c r="AG62" s="2" t="str">
        <f t="shared" si="59"/>
        <v/>
      </c>
      <c r="AH62" s="2" t="str">
        <f t="shared" si="59"/>
        <v/>
      </c>
      <c r="AI62" s="18"/>
      <c r="AJ62" s="16"/>
      <c r="AK62" s="16"/>
      <c r="AL62" s="57"/>
      <c r="AM62" s="16"/>
    </row>
    <row r="63" spans="1:39" ht="10.5" customHeight="1" x14ac:dyDescent="0.25">
      <c r="A63" s="16"/>
      <c r="B63" s="2"/>
      <c r="C63" s="16"/>
      <c r="D63" s="2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2" t="str">
        <f t="shared" ref="U63:AH63" si="60">IF(OR(F63=0,F63&lt;0.00001,F63&gt;100000),"",IF((IF(F63&gt;F$5,ABS(LOG(((F$5/SUM($F63:$S63))/(F$4/SUM($F$4:$S$4)))*4+2,2)),ABS(LOG(((F63/SUM($F63:$S63))/(F$4/SUM($F$4:$S$4)))*4+2,2)))-3)&gt;8,(IF(F63&gt;F$5,ABS(LOG(((F$5/SUM($F63:$S63))/(F$4/SUM($F$4:$S$4)))*4+2,2)),ABS(LOG(((F63/SUM($F63:$S63))/(F$4/SUM($F$4:$S$4)))*4+2,2)))-3)/7,IF(F63&gt;F$5,ABS(LOG(((F$5/SUM($F63:$S63))/(F$4/SUM($F$4:$S$4)))*4+2,2)),ABS(LOG(((F63/SUM($F63:$S63))/(F$4/SUM($F$4:$S$4)))*4+2,2)))-3))</f>
        <v/>
      </c>
      <c r="V63" s="2" t="str">
        <f t="shared" si="60"/>
        <v/>
      </c>
      <c r="W63" s="2" t="str">
        <f t="shared" si="60"/>
        <v/>
      </c>
      <c r="X63" s="2" t="str">
        <f t="shared" si="60"/>
        <v/>
      </c>
      <c r="Y63" s="2" t="str">
        <f t="shared" si="60"/>
        <v/>
      </c>
      <c r="Z63" s="2" t="str">
        <f t="shared" si="60"/>
        <v/>
      </c>
      <c r="AA63" s="2" t="str">
        <f t="shared" si="60"/>
        <v/>
      </c>
      <c r="AB63" s="2" t="str">
        <f t="shared" si="60"/>
        <v/>
      </c>
      <c r="AC63" s="2" t="str">
        <f t="shared" si="60"/>
        <v/>
      </c>
      <c r="AD63" s="2" t="str">
        <f t="shared" si="60"/>
        <v/>
      </c>
      <c r="AE63" s="2" t="str">
        <f t="shared" si="60"/>
        <v/>
      </c>
      <c r="AF63" s="2" t="str">
        <f t="shared" si="60"/>
        <v/>
      </c>
      <c r="AG63" s="2" t="str">
        <f t="shared" si="60"/>
        <v/>
      </c>
      <c r="AH63" s="2" t="str">
        <f t="shared" si="60"/>
        <v/>
      </c>
      <c r="AI63" s="18"/>
      <c r="AJ63" s="16"/>
      <c r="AK63" s="16"/>
      <c r="AL63" s="57"/>
      <c r="AM63" s="16"/>
    </row>
    <row r="64" spans="1:39" ht="10.5" customHeight="1" x14ac:dyDescent="0.25">
      <c r="A64" s="16"/>
      <c r="B64" s="2"/>
      <c r="C64" s="16"/>
      <c r="D64" s="2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2" t="str">
        <f t="shared" ref="U64:AH64" si="61">IF(OR(F64=0,F64&lt;0.00001,F64&gt;100000),"",IF((IF(F64&gt;F$5,ABS(LOG(((F$5/SUM($F64:$S64))/(F$4/SUM($F$4:$S$4)))*4+2,2)),ABS(LOG(((F64/SUM($F64:$S64))/(F$4/SUM($F$4:$S$4)))*4+2,2)))-3)&gt;8,(IF(F64&gt;F$5,ABS(LOG(((F$5/SUM($F64:$S64))/(F$4/SUM($F$4:$S$4)))*4+2,2)),ABS(LOG(((F64/SUM($F64:$S64))/(F$4/SUM($F$4:$S$4)))*4+2,2)))-3)/7,IF(F64&gt;F$5,ABS(LOG(((F$5/SUM($F64:$S64))/(F$4/SUM($F$4:$S$4)))*4+2,2)),ABS(LOG(((F64/SUM($F64:$S64))/(F$4/SUM($F$4:$S$4)))*4+2,2)))-3))</f>
        <v/>
      </c>
      <c r="V64" s="2" t="str">
        <f t="shared" si="61"/>
        <v/>
      </c>
      <c r="W64" s="2" t="str">
        <f t="shared" si="61"/>
        <v/>
      </c>
      <c r="X64" s="2" t="str">
        <f t="shared" si="61"/>
        <v/>
      </c>
      <c r="Y64" s="2" t="str">
        <f t="shared" si="61"/>
        <v/>
      </c>
      <c r="Z64" s="2" t="str">
        <f t="shared" si="61"/>
        <v/>
      </c>
      <c r="AA64" s="2" t="str">
        <f t="shared" si="61"/>
        <v/>
      </c>
      <c r="AB64" s="2" t="str">
        <f t="shared" si="61"/>
        <v/>
      </c>
      <c r="AC64" s="2" t="str">
        <f t="shared" si="61"/>
        <v/>
      </c>
      <c r="AD64" s="2" t="str">
        <f t="shared" si="61"/>
        <v/>
      </c>
      <c r="AE64" s="2" t="str">
        <f t="shared" si="61"/>
        <v/>
      </c>
      <c r="AF64" s="2" t="str">
        <f t="shared" si="61"/>
        <v/>
      </c>
      <c r="AG64" s="2" t="str">
        <f t="shared" si="61"/>
        <v/>
      </c>
      <c r="AH64" s="2" t="str">
        <f t="shared" si="61"/>
        <v/>
      </c>
      <c r="AI64" s="18"/>
      <c r="AJ64" s="16"/>
      <c r="AK64" s="16"/>
      <c r="AL64" s="57"/>
      <c r="AM64" s="16"/>
    </row>
    <row r="65" spans="1:39" ht="10.5" customHeight="1" x14ac:dyDescent="0.25">
      <c r="A65" s="16"/>
      <c r="B65" s="2"/>
      <c r="C65" s="16"/>
      <c r="D65" s="2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2" t="str">
        <f t="shared" ref="U65:AH65" si="62">IF(OR(F65=0,F65&lt;0.00001,F65&gt;100000),"",IF((IF(F65&gt;F$5,ABS(LOG(((F$5/SUM($F65:$S65))/(F$4/SUM($F$4:$S$4)))*4+2,2)),ABS(LOG(((F65/SUM($F65:$S65))/(F$4/SUM($F$4:$S$4)))*4+2,2)))-3)&gt;8,(IF(F65&gt;F$5,ABS(LOG(((F$5/SUM($F65:$S65))/(F$4/SUM($F$4:$S$4)))*4+2,2)),ABS(LOG(((F65/SUM($F65:$S65))/(F$4/SUM($F$4:$S$4)))*4+2,2)))-3)/7,IF(F65&gt;F$5,ABS(LOG(((F$5/SUM($F65:$S65))/(F$4/SUM($F$4:$S$4)))*4+2,2)),ABS(LOG(((F65/SUM($F65:$S65))/(F$4/SUM($F$4:$S$4)))*4+2,2)))-3))</f>
        <v/>
      </c>
      <c r="V65" s="2" t="str">
        <f t="shared" si="62"/>
        <v/>
      </c>
      <c r="W65" s="2" t="str">
        <f t="shared" si="62"/>
        <v/>
      </c>
      <c r="X65" s="2" t="str">
        <f t="shared" si="62"/>
        <v/>
      </c>
      <c r="Y65" s="2" t="str">
        <f t="shared" si="62"/>
        <v/>
      </c>
      <c r="Z65" s="2" t="str">
        <f t="shared" si="62"/>
        <v/>
      </c>
      <c r="AA65" s="2" t="str">
        <f t="shared" si="62"/>
        <v/>
      </c>
      <c r="AB65" s="2" t="str">
        <f t="shared" si="62"/>
        <v/>
      </c>
      <c r="AC65" s="2" t="str">
        <f t="shared" si="62"/>
        <v/>
      </c>
      <c r="AD65" s="2" t="str">
        <f t="shared" si="62"/>
        <v/>
      </c>
      <c r="AE65" s="2" t="str">
        <f t="shared" si="62"/>
        <v/>
      </c>
      <c r="AF65" s="2" t="str">
        <f t="shared" si="62"/>
        <v/>
      </c>
      <c r="AG65" s="2" t="str">
        <f t="shared" si="62"/>
        <v/>
      </c>
      <c r="AH65" s="2" t="str">
        <f t="shared" si="62"/>
        <v/>
      </c>
      <c r="AI65" s="18"/>
      <c r="AJ65" s="16"/>
      <c r="AK65" s="16"/>
      <c r="AL65" s="57"/>
      <c r="AM65" s="16"/>
    </row>
    <row r="66" spans="1:39" ht="10.5" customHeight="1" x14ac:dyDescent="0.25">
      <c r="A66" s="16"/>
      <c r="B66" s="2"/>
      <c r="C66" s="16"/>
      <c r="D66" s="2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2" t="str">
        <f t="shared" ref="U66:AH66" si="63">IF(OR(F66=0,F66&lt;0.00001,F66&gt;100000),"",IF((IF(F66&gt;F$5,ABS(LOG(((F$5/SUM($F66:$S66))/(F$4/SUM($F$4:$S$4)))*4+2,2)),ABS(LOG(((F66/SUM($F66:$S66))/(F$4/SUM($F$4:$S$4)))*4+2,2)))-3)&gt;8,(IF(F66&gt;F$5,ABS(LOG(((F$5/SUM($F66:$S66))/(F$4/SUM($F$4:$S$4)))*4+2,2)),ABS(LOG(((F66/SUM($F66:$S66))/(F$4/SUM($F$4:$S$4)))*4+2,2)))-3)/7,IF(F66&gt;F$5,ABS(LOG(((F$5/SUM($F66:$S66))/(F$4/SUM($F$4:$S$4)))*4+2,2)),ABS(LOG(((F66/SUM($F66:$S66))/(F$4/SUM($F$4:$S$4)))*4+2,2)))-3))</f>
        <v/>
      </c>
      <c r="V66" s="2" t="str">
        <f t="shared" si="63"/>
        <v/>
      </c>
      <c r="W66" s="2" t="str">
        <f t="shared" si="63"/>
        <v/>
      </c>
      <c r="X66" s="2" t="str">
        <f t="shared" si="63"/>
        <v/>
      </c>
      <c r="Y66" s="2" t="str">
        <f t="shared" si="63"/>
        <v/>
      </c>
      <c r="Z66" s="2" t="str">
        <f t="shared" si="63"/>
        <v/>
      </c>
      <c r="AA66" s="2" t="str">
        <f t="shared" si="63"/>
        <v/>
      </c>
      <c r="AB66" s="2" t="str">
        <f t="shared" si="63"/>
        <v/>
      </c>
      <c r="AC66" s="2" t="str">
        <f t="shared" si="63"/>
        <v/>
      </c>
      <c r="AD66" s="2" t="str">
        <f t="shared" si="63"/>
        <v/>
      </c>
      <c r="AE66" s="2" t="str">
        <f t="shared" si="63"/>
        <v/>
      </c>
      <c r="AF66" s="2" t="str">
        <f t="shared" si="63"/>
        <v/>
      </c>
      <c r="AG66" s="2" t="str">
        <f t="shared" si="63"/>
        <v/>
      </c>
      <c r="AH66" s="2" t="str">
        <f t="shared" si="63"/>
        <v/>
      </c>
      <c r="AI66" s="18"/>
      <c r="AJ66" s="16"/>
      <c r="AK66" s="16"/>
      <c r="AL66" s="57"/>
      <c r="AM66" s="16"/>
    </row>
    <row r="67" spans="1:39" ht="10.5" customHeight="1" x14ac:dyDescent="0.25">
      <c r="A67" s="16"/>
      <c r="B67" s="2"/>
      <c r="C67" s="16"/>
      <c r="D67" s="2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2" t="str">
        <f t="shared" ref="U67:AH67" si="64">IF(OR(F67=0,F67&lt;0.00001,F67&gt;100000),"",IF((IF(F67&gt;F$5,ABS(LOG(((F$5/SUM($F67:$S67))/(F$4/SUM($F$4:$S$4)))*4+2,2)),ABS(LOG(((F67/SUM($F67:$S67))/(F$4/SUM($F$4:$S$4)))*4+2,2)))-3)&gt;8,(IF(F67&gt;F$5,ABS(LOG(((F$5/SUM($F67:$S67))/(F$4/SUM($F$4:$S$4)))*4+2,2)),ABS(LOG(((F67/SUM($F67:$S67))/(F$4/SUM($F$4:$S$4)))*4+2,2)))-3)/7,IF(F67&gt;F$5,ABS(LOG(((F$5/SUM($F67:$S67))/(F$4/SUM($F$4:$S$4)))*4+2,2)),ABS(LOG(((F67/SUM($F67:$S67))/(F$4/SUM($F$4:$S$4)))*4+2,2)))-3))</f>
        <v/>
      </c>
      <c r="V67" s="2" t="str">
        <f t="shared" si="64"/>
        <v/>
      </c>
      <c r="W67" s="2" t="str">
        <f t="shared" si="64"/>
        <v/>
      </c>
      <c r="X67" s="2" t="str">
        <f t="shared" si="64"/>
        <v/>
      </c>
      <c r="Y67" s="2" t="str">
        <f t="shared" si="64"/>
        <v/>
      </c>
      <c r="Z67" s="2" t="str">
        <f t="shared" si="64"/>
        <v/>
      </c>
      <c r="AA67" s="2" t="str">
        <f t="shared" si="64"/>
        <v/>
      </c>
      <c r="AB67" s="2" t="str">
        <f t="shared" si="64"/>
        <v/>
      </c>
      <c r="AC67" s="2" t="str">
        <f t="shared" si="64"/>
        <v/>
      </c>
      <c r="AD67" s="2" t="str">
        <f t="shared" si="64"/>
        <v/>
      </c>
      <c r="AE67" s="2" t="str">
        <f t="shared" si="64"/>
        <v/>
      </c>
      <c r="AF67" s="2" t="str">
        <f t="shared" si="64"/>
        <v/>
      </c>
      <c r="AG67" s="2" t="str">
        <f t="shared" si="64"/>
        <v/>
      </c>
      <c r="AH67" s="2" t="str">
        <f t="shared" si="64"/>
        <v/>
      </c>
      <c r="AI67" s="18"/>
      <c r="AJ67" s="16"/>
      <c r="AK67" s="16"/>
      <c r="AL67" s="57"/>
      <c r="AM67" s="16"/>
    </row>
    <row r="68" spans="1:39" ht="10.5" customHeight="1" x14ac:dyDescent="0.25">
      <c r="A68" s="16"/>
      <c r="B68" s="2"/>
      <c r="C68" s="16"/>
      <c r="D68" s="2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2" t="str">
        <f t="shared" ref="U68:AH68" si="65">IF(OR(F68=0,F68&lt;0.00001,F68&gt;100000),"",IF((IF(F68&gt;F$5,ABS(LOG(((F$5/SUM($F68:$S68))/(F$4/SUM($F$4:$S$4)))*4+2,2)),ABS(LOG(((F68/SUM($F68:$S68))/(F$4/SUM($F$4:$S$4)))*4+2,2)))-3)&gt;8,(IF(F68&gt;F$5,ABS(LOG(((F$5/SUM($F68:$S68))/(F$4/SUM($F$4:$S$4)))*4+2,2)),ABS(LOG(((F68/SUM($F68:$S68))/(F$4/SUM($F$4:$S$4)))*4+2,2)))-3)/7,IF(F68&gt;F$5,ABS(LOG(((F$5/SUM($F68:$S68))/(F$4/SUM($F$4:$S$4)))*4+2,2)),ABS(LOG(((F68/SUM($F68:$S68))/(F$4/SUM($F$4:$S$4)))*4+2,2)))-3))</f>
        <v/>
      </c>
      <c r="V68" s="2" t="str">
        <f t="shared" si="65"/>
        <v/>
      </c>
      <c r="W68" s="2" t="str">
        <f t="shared" si="65"/>
        <v/>
      </c>
      <c r="X68" s="2" t="str">
        <f t="shared" si="65"/>
        <v/>
      </c>
      <c r="Y68" s="2" t="str">
        <f t="shared" si="65"/>
        <v/>
      </c>
      <c r="Z68" s="2" t="str">
        <f t="shared" si="65"/>
        <v/>
      </c>
      <c r="AA68" s="2" t="str">
        <f t="shared" si="65"/>
        <v/>
      </c>
      <c r="AB68" s="2" t="str">
        <f t="shared" si="65"/>
        <v/>
      </c>
      <c r="AC68" s="2" t="str">
        <f t="shared" si="65"/>
        <v/>
      </c>
      <c r="AD68" s="2" t="str">
        <f t="shared" si="65"/>
        <v/>
      </c>
      <c r="AE68" s="2" t="str">
        <f t="shared" si="65"/>
        <v/>
      </c>
      <c r="AF68" s="2" t="str">
        <f t="shared" si="65"/>
        <v/>
      </c>
      <c r="AG68" s="2" t="str">
        <f t="shared" si="65"/>
        <v/>
      </c>
      <c r="AH68" s="2" t="str">
        <f t="shared" si="65"/>
        <v/>
      </c>
      <c r="AI68" s="18"/>
      <c r="AJ68" s="16"/>
      <c r="AK68" s="16"/>
      <c r="AL68" s="57"/>
      <c r="AM68" s="16"/>
    </row>
    <row r="69" spans="1:39" ht="10.5" customHeight="1" x14ac:dyDescent="0.25">
      <c r="A69" s="16"/>
      <c r="B69" s="2"/>
      <c r="C69" s="16"/>
      <c r="D69" s="2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2" t="str">
        <f t="shared" ref="U69:AH69" si="66">IF(OR(F69=0,F69&lt;0.00001,F69&gt;100000),"",IF((IF(F69&gt;F$5,ABS(LOG(((F$5/SUM($F69:$S69))/(F$4/SUM($F$4:$S$4)))*4+2,2)),ABS(LOG(((F69/SUM($F69:$S69))/(F$4/SUM($F$4:$S$4)))*4+2,2)))-3)&gt;8,(IF(F69&gt;F$5,ABS(LOG(((F$5/SUM($F69:$S69))/(F$4/SUM($F$4:$S$4)))*4+2,2)),ABS(LOG(((F69/SUM($F69:$S69))/(F$4/SUM($F$4:$S$4)))*4+2,2)))-3)/7,IF(F69&gt;F$5,ABS(LOG(((F$5/SUM($F69:$S69))/(F$4/SUM($F$4:$S$4)))*4+2,2)),ABS(LOG(((F69/SUM($F69:$S69))/(F$4/SUM($F$4:$S$4)))*4+2,2)))-3))</f>
        <v/>
      </c>
      <c r="V69" s="2" t="str">
        <f t="shared" si="66"/>
        <v/>
      </c>
      <c r="W69" s="2" t="str">
        <f t="shared" si="66"/>
        <v/>
      </c>
      <c r="X69" s="2" t="str">
        <f t="shared" si="66"/>
        <v/>
      </c>
      <c r="Y69" s="2" t="str">
        <f t="shared" si="66"/>
        <v/>
      </c>
      <c r="Z69" s="2" t="str">
        <f t="shared" si="66"/>
        <v/>
      </c>
      <c r="AA69" s="2" t="str">
        <f t="shared" si="66"/>
        <v/>
      </c>
      <c r="AB69" s="2" t="str">
        <f t="shared" si="66"/>
        <v/>
      </c>
      <c r="AC69" s="2" t="str">
        <f t="shared" si="66"/>
        <v/>
      </c>
      <c r="AD69" s="2" t="str">
        <f t="shared" si="66"/>
        <v/>
      </c>
      <c r="AE69" s="2" t="str">
        <f t="shared" si="66"/>
        <v/>
      </c>
      <c r="AF69" s="2" t="str">
        <f t="shared" si="66"/>
        <v/>
      </c>
      <c r="AG69" s="2" t="str">
        <f t="shared" si="66"/>
        <v/>
      </c>
      <c r="AH69" s="2" t="str">
        <f t="shared" si="66"/>
        <v/>
      </c>
      <c r="AI69" s="18"/>
      <c r="AJ69" s="16"/>
      <c r="AK69" s="16"/>
      <c r="AL69" s="57"/>
      <c r="AM69" s="16"/>
    </row>
    <row r="70" spans="1:39" ht="10.5" customHeight="1" x14ac:dyDescent="0.25">
      <c r="A70" s="16"/>
      <c r="B70" s="2"/>
      <c r="C70" s="16"/>
      <c r="D70" s="2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2" t="str">
        <f t="shared" ref="U70:AH70" si="67">IF(OR(F70=0,F70&lt;0.00001,F70&gt;100000),"",IF((IF(F70&gt;F$5,ABS(LOG(((F$5/SUM($F70:$S70))/(F$4/SUM($F$4:$S$4)))*4+2,2)),ABS(LOG(((F70/SUM($F70:$S70))/(F$4/SUM($F$4:$S$4)))*4+2,2)))-3)&gt;8,(IF(F70&gt;F$5,ABS(LOG(((F$5/SUM($F70:$S70))/(F$4/SUM($F$4:$S$4)))*4+2,2)),ABS(LOG(((F70/SUM($F70:$S70))/(F$4/SUM($F$4:$S$4)))*4+2,2)))-3)/7,IF(F70&gt;F$5,ABS(LOG(((F$5/SUM($F70:$S70))/(F$4/SUM($F$4:$S$4)))*4+2,2)),ABS(LOG(((F70/SUM($F70:$S70))/(F$4/SUM($F$4:$S$4)))*4+2,2)))-3))</f>
        <v/>
      </c>
      <c r="V70" s="2" t="str">
        <f t="shared" si="67"/>
        <v/>
      </c>
      <c r="W70" s="2" t="str">
        <f t="shared" si="67"/>
        <v/>
      </c>
      <c r="X70" s="2" t="str">
        <f t="shared" si="67"/>
        <v/>
      </c>
      <c r="Y70" s="2" t="str">
        <f t="shared" si="67"/>
        <v/>
      </c>
      <c r="Z70" s="2" t="str">
        <f t="shared" si="67"/>
        <v/>
      </c>
      <c r="AA70" s="2" t="str">
        <f t="shared" si="67"/>
        <v/>
      </c>
      <c r="AB70" s="2" t="str">
        <f t="shared" si="67"/>
        <v/>
      </c>
      <c r="AC70" s="2" t="str">
        <f t="shared" si="67"/>
        <v/>
      </c>
      <c r="AD70" s="2" t="str">
        <f t="shared" si="67"/>
        <v/>
      </c>
      <c r="AE70" s="2" t="str">
        <f t="shared" si="67"/>
        <v/>
      </c>
      <c r="AF70" s="2" t="str">
        <f t="shared" si="67"/>
        <v/>
      </c>
      <c r="AG70" s="2" t="str">
        <f t="shared" si="67"/>
        <v/>
      </c>
      <c r="AH70" s="2" t="str">
        <f t="shared" si="67"/>
        <v/>
      </c>
      <c r="AI70" s="18"/>
      <c r="AJ70" s="16"/>
      <c r="AK70" s="16"/>
      <c r="AL70" s="57"/>
      <c r="AM70" s="16"/>
    </row>
    <row r="71" spans="1:39" ht="10.5" customHeight="1" x14ac:dyDescent="0.25">
      <c r="A71" s="16"/>
      <c r="B71" s="2"/>
      <c r="C71" s="16"/>
      <c r="D71" s="2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2" t="str">
        <f t="shared" ref="U71:AH71" si="68">IF(OR(F71=0,F71&lt;0.00001,F71&gt;100000),"",IF((IF(F71&gt;F$5,ABS(LOG(((F$5/SUM($F71:$S71))/(F$4/SUM($F$4:$S$4)))*4+2,2)),ABS(LOG(((F71/SUM($F71:$S71))/(F$4/SUM($F$4:$S$4)))*4+2,2)))-3)&gt;8,(IF(F71&gt;F$5,ABS(LOG(((F$5/SUM($F71:$S71))/(F$4/SUM($F$4:$S$4)))*4+2,2)),ABS(LOG(((F71/SUM($F71:$S71))/(F$4/SUM($F$4:$S$4)))*4+2,2)))-3)/7,IF(F71&gt;F$5,ABS(LOG(((F$5/SUM($F71:$S71))/(F$4/SUM($F$4:$S$4)))*4+2,2)),ABS(LOG(((F71/SUM($F71:$S71))/(F$4/SUM($F$4:$S$4)))*4+2,2)))-3))</f>
        <v/>
      </c>
      <c r="V71" s="2" t="str">
        <f t="shared" si="68"/>
        <v/>
      </c>
      <c r="W71" s="2" t="str">
        <f t="shared" si="68"/>
        <v/>
      </c>
      <c r="X71" s="2" t="str">
        <f t="shared" si="68"/>
        <v/>
      </c>
      <c r="Y71" s="2" t="str">
        <f t="shared" si="68"/>
        <v/>
      </c>
      <c r="Z71" s="2" t="str">
        <f t="shared" si="68"/>
        <v/>
      </c>
      <c r="AA71" s="2" t="str">
        <f t="shared" si="68"/>
        <v/>
      </c>
      <c r="AB71" s="2" t="str">
        <f t="shared" si="68"/>
        <v/>
      </c>
      <c r="AC71" s="2" t="str">
        <f t="shared" si="68"/>
        <v/>
      </c>
      <c r="AD71" s="2" t="str">
        <f t="shared" si="68"/>
        <v/>
      </c>
      <c r="AE71" s="2" t="str">
        <f t="shared" si="68"/>
        <v/>
      </c>
      <c r="AF71" s="2" t="str">
        <f t="shared" si="68"/>
        <v/>
      </c>
      <c r="AG71" s="2" t="str">
        <f t="shared" si="68"/>
        <v/>
      </c>
      <c r="AH71" s="2" t="str">
        <f t="shared" si="68"/>
        <v/>
      </c>
      <c r="AI71" s="18"/>
      <c r="AJ71" s="16"/>
      <c r="AK71" s="16"/>
      <c r="AL71" s="57"/>
      <c r="AM71" s="16"/>
    </row>
    <row r="72" spans="1:39" ht="10.5" customHeight="1" x14ac:dyDescent="0.25">
      <c r="A72" s="16"/>
      <c r="B72" s="2"/>
      <c r="C72" s="16"/>
      <c r="D72" s="2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2" t="str">
        <f t="shared" ref="U72:AH72" si="69">IF(OR(F72=0,F72&lt;0.00001,F72&gt;100000),"",IF((IF(F72&gt;F$5,ABS(LOG(((F$5/SUM($F72:$S72))/(F$4/SUM($F$4:$S$4)))*4+2,2)),ABS(LOG(((F72/SUM($F72:$S72))/(F$4/SUM($F$4:$S$4)))*4+2,2)))-3)&gt;8,(IF(F72&gt;F$5,ABS(LOG(((F$5/SUM($F72:$S72))/(F$4/SUM($F$4:$S$4)))*4+2,2)),ABS(LOG(((F72/SUM($F72:$S72))/(F$4/SUM($F$4:$S$4)))*4+2,2)))-3)/7,IF(F72&gt;F$5,ABS(LOG(((F$5/SUM($F72:$S72))/(F$4/SUM($F$4:$S$4)))*4+2,2)),ABS(LOG(((F72/SUM($F72:$S72))/(F$4/SUM($F$4:$S$4)))*4+2,2)))-3))</f>
        <v/>
      </c>
      <c r="V72" s="2" t="str">
        <f t="shared" si="69"/>
        <v/>
      </c>
      <c r="W72" s="2" t="str">
        <f t="shared" si="69"/>
        <v/>
      </c>
      <c r="X72" s="2" t="str">
        <f t="shared" si="69"/>
        <v/>
      </c>
      <c r="Y72" s="2" t="str">
        <f t="shared" si="69"/>
        <v/>
      </c>
      <c r="Z72" s="2" t="str">
        <f t="shared" si="69"/>
        <v/>
      </c>
      <c r="AA72" s="2" t="str">
        <f t="shared" si="69"/>
        <v/>
      </c>
      <c r="AB72" s="2" t="str">
        <f t="shared" si="69"/>
        <v/>
      </c>
      <c r="AC72" s="2" t="str">
        <f t="shared" si="69"/>
        <v/>
      </c>
      <c r="AD72" s="2" t="str">
        <f t="shared" si="69"/>
        <v/>
      </c>
      <c r="AE72" s="2" t="str">
        <f t="shared" si="69"/>
        <v/>
      </c>
      <c r="AF72" s="2" t="str">
        <f t="shared" si="69"/>
        <v/>
      </c>
      <c r="AG72" s="2" t="str">
        <f t="shared" si="69"/>
        <v/>
      </c>
      <c r="AH72" s="2" t="str">
        <f t="shared" si="69"/>
        <v/>
      </c>
      <c r="AI72" s="18"/>
      <c r="AJ72" s="16"/>
      <c r="AK72" s="16"/>
      <c r="AL72" s="57"/>
      <c r="AM72" s="16"/>
    </row>
    <row r="73" spans="1:39" ht="10.5" customHeight="1" x14ac:dyDescent="0.25">
      <c r="A73" s="16"/>
      <c r="B73" s="2"/>
      <c r="C73" s="16"/>
      <c r="D73" s="2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2" t="str">
        <f t="shared" ref="U73:AH73" si="70">IF(OR(F73=0,F73&lt;0.00001,F73&gt;100000),"",IF((IF(F73&gt;F$5,ABS(LOG(((F$5/SUM($F73:$S73))/(F$4/SUM($F$4:$S$4)))*4+2,2)),ABS(LOG(((F73/SUM($F73:$S73))/(F$4/SUM($F$4:$S$4)))*4+2,2)))-3)&gt;8,(IF(F73&gt;F$5,ABS(LOG(((F$5/SUM($F73:$S73))/(F$4/SUM($F$4:$S$4)))*4+2,2)),ABS(LOG(((F73/SUM($F73:$S73))/(F$4/SUM($F$4:$S$4)))*4+2,2)))-3)/7,IF(F73&gt;F$5,ABS(LOG(((F$5/SUM($F73:$S73))/(F$4/SUM($F$4:$S$4)))*4+2,2)),ABS(LOG(((F73/SUM($F73:$S73))/(F$4/SUM($F$4:$S$4)))*4+2,2)))-3))</f>
        <v/>
      </c>
      <c r="V73" s="2" t="str">
        <f t="shared" si="70"/>
        <v/>
      </c>
      <c r="W73" s="2" t="str">
        <f t="shared" si="70"/>
        <v/>
      </c>
      <c r="X73" s="2" t="str">
        <f t="shared" si="70"/>
        <v/>
      </c>
      <c r="Y73" s="2" t="str">
        <f t="shared" si="70"/>
        <v/>
      </c>
      <c r="Z73" s="2" t="str">
        <f t="shared" si="70"/>
        <v/>
      </c>
      <c r="AA73" s="2" t="str">
        <f t="shared" si="70"/>
        <v/>
      </c>
      <c r="AB73" s="2" t="str">
        <f t="shared" si="70"/>
        <v/>
      </c>
      <c r="AC73" s="2" t="str">
        <f t="shared" si="70"/>
        <v/>
      </c>
      <c r="AD73" s="2" t="str">
        <f t="shared" si="70"/>
        <v/>
      </c>
      <c r="AE73" s="2" t="str">
        <f t="shared" si="70"/>
        <v/>
      </c>
      <c r="AF73" s="2" t="str">
        <f t="shared" si="70"/>
        <v/>
      </c>
      <c r="AG73" s="2" t="str">
        <f t="shared" si="70"/>
        <v/>
      </c>
      <c r="AH73" s="2" t="str">
        <f t="shared" si="70"/>
        <v/>
      </c>
      <c r="AI73" s="18"/>
      <c r="AJ73" s="16"/>
      <c r="AK73" s="16"/>
      <c r="AL73" s="57"/>
      <c r="AM73" s="16"/>
    </row>
    <row r="74" spans="1:39" ht="10.5" customHeight="1" x14ac:dyDescent="0.25">
      <c r="A74" s="16"/>
      <c r="B74" s="2"/>
      <c r="C74" s="16"/>
      <c r="D74" s="2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2" t="str">
        <f t="shared" ref="U74:AH74" si="71">IF(OR(F74=0,F74&lt;0.00001,F74&gt;100000),"",IF((IF(F74&gt;F$5,ABS(LOG(((F$5/SUM($F74:$S74))/(F$4/SUM($F$4:$S$4)))*4+2,2)),ABS(LOG(((F74/SUM($F74:$S74))/(F$4/SUM($F$4:$S$4)))*4+2,2)))-3)&gt;8,(IF(F74&gt;F$5,ABS(LOG(((F$5/SUM($F74:$S74))/(F$4/SUM($F$4:$S$4)))*4+2,2)),ABS(LOG(((F74/SUM($F74:$S74))/(F$4/SUM($F$4:$S$4)))*4+2,2)))-3)/7,IF(F74&gt;F$5,ABS(LOG(((F$5/SUM($F74:$S74))/(F$4/SUM($F$4:$S$4)))*4+2,2)),ABS(LOG(((F74/SUM($F74:$S74))/(F$4/SUM($F$4:$S$4)))*4+2,2)))-3))</f>
        <v/>
      </c>
      <c r="V74" s="2" t="str">
        <f t="shared" si="71"/>
        <v/>
      </c>
      <c r="W74" s="2" t="str">
        <f t="shared" si="71"/>
        <v/>
      </c>
      <c r="X74" s="2" t="str">
        <f t="shared" si="71"/>
        <v/>
      </c>
      <c r="Y74" s="2" t="str">
        <f t="shared" si="71"/>
        <v/>
      </c>
      <c r="Z74" s="2" t="str">
        <f t="shared" si="71"/>
        <v/>
      </c>
      <c r="AA74" s="2" t="str">
        <f t="shared" si="71"/>
        <v/>
      </c>
      <c r="AB74" s="2" t="str">
        <f t="shared" si="71"/>
        <v/>
      </c>
      <c r="AC74" s="2" t="str">
        <f t="shared" si="71"/>
        <v/>
      </c>
      <c r="AD74" s="2" t="str">
        <f t="shared" si="71"/>
        <v/>
      </c>
      <c r="AE74" s="2" t="str">
        <f t="shared" si="71"/>
        <v/>
      </c>
      <c r="AF74" s="2" t="str">
        <f t="shared" si="71"/>
        <v/>
      </c>
      <c r="AG74" s="2" t="str">
        <f t="shared" si="71"/>
        <v/>
      </c>
      <c r="AH74" s="2" t="str">
        <f t="shared" si="71"/>
        <v/>
      </c>
      <c r="AI74" s="18"/>
      <c r="AJ74" s="16"/>
      <c r="AK74" s="16"/>
      <c r="AL74" s="57"/>
      <c r="AM74" s="16"/>
    </row>
    <row r="75" spans="1:39" ht="10.5" customHeight="1" x14ac:dyDescent="0.25">
      <c r="A75" s="16"/>
      <c r="B75" s="2"/>
      <c r="C75" s="16"/>
      <c r="D75" s="2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2" t="str">
        <f t="shared" ref="U75:AH75" si="72">IF(OR(F75=0,F75&lt;0.00001,F75&gt;100000),"",IF((IF(F75&gt;F$5,ABS(LOG(((F$5/SUM($F75:$S75))/(F$4/SUM($F$4:$S$4)))*4+2,2)),ABS(LOG(((F75/SUM($F75:$S75))/(F$4/SUM($F$4:$S$4)))*4+2,2)))-3)&gt;8,(IF(F75&gt;F$5,ABS(LOG(((F$5/SUM($F75:$S75))/(F$4/SUM($F$4:$S$4)))*4+2,2)),ABS(LOG(((F75/SUM($F75:$S75))/(F$4/SUM($F$4:$S$4)))*4+2,2)))-3)/7,IF(F75&gt;F$5,ABS(LOG(((F$5/SUM($F75:$S75))/(F$4/SUM($F$4:$S$4)))*4+2,2)),ABS(LOG(((F75/SUM($F75:$S75))/(F$4/SUM($F$4:$S$4)))*4+2,2)))-3))</f>
        <v/>
      </c>
      <c r="V75" s="2" t="str">
        <f t="shared" si="72"/>
        <v/>
      </c>
      <c r="W75" s="2" t="str">
        <f t="shared" si="72"/>
        <v/>
      </c>
      <c r="X75" s="2" t="str">
        <f t="shared" si="72"/>
        <v/>
      </c>
      <c r="Y75" s="2" t="str">
        <f t="shared" si="72"/>
        <v/>
      </c>
      <c r="Z75" s="2" t="str">
        <f t="shared" si="72"/>
        <v/>
      </c>
      <c r="AA75" s="2" t="str">
        <f t="shared" si="72"/>
        <v/>
      </c>
      <c r="AB75" s="2" t="str">
        <f t="shared" si="72"/>
        <v/>
      </c>
      <c r="AC75" s="2" t="str">
        <f t="shared" si="72"/>
        <v/>
      </c>
      <c r="AD75" s="2" t="str">
        <f t="shared" si="72"/>
        <v/>
      </c>
      <c r="AE75" s="2" t="str">
        <f t="shared" si="72"/>
        <v/>
      </c>
      <c r="AF75" s="2" t="str">
        <f t="shared" si="72"/>
        <v/>
      </c>
      <c r="AG75" s="2" t="str">
        <f t="shared" si="72"/>
        <v/>
      </c>
      <c r="AH75" s="2" t="str">
        <f t="shared" si="72"/>
        <v/>
      </c>
      <c r="AI75" s="18"/>
      <c r="AJ75" s="16"/>
      <c r="AK75" s="16"/>
      <c r="AL75" s="57"/>
      <c r="AM75" s="16"/>
    </row>
    <row r="76" spans="1:39" ht="10.5" customHeight="1" x14ac:dyDescent="0.25">
      <c r="A76" s="16"/>
      <c r="B76" s="2"/>
      <c r="C76" s="16"/>
      <c r="D76" s="2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2" t="str">
        <f t="shared" ref="U76:AH76" si="73">IF(OR(F76=0,F76&lt;0.00001,F76&gt;100000),"",IF((IF(F76&gt;F$5,ABS(LOG(((F$5/SUM($F76:$S76))/(F$4/SUM($F$4:$S$4)))*4+2,2)),ABS(LOG(((F76/SUM($F76:$S76))/(F$4/SUM($F$4:$S$4)))*4+2,2)))-3)&gt;8,(IF(F76&gt;F$5,ABS(LOG(((F$5/SUM($F76:$S76))/(F$4/SUM($F$4:$S$4)))*4+2,2)),ABS(LOG(((F76/SUM($F76:$S76))/(F$4/SUM($F$4:$S$4)))*4+2,2)))-3)/7,IF(F76&gt;F$5,ABS(LOG(((F$5/SUM($F76:$S76))/(F$4/SUM($F$4:$S$4)))*4+2,2)),ABS(LOG(((F76/SUM($F76:$S76))/(F$4/SUM($F$4:$S$4)))*4+2,2)))-3))</f>
        <v/>
      </c>
      <c r="V76" s="2" t="str">
        <f t="shared" si="73"/>
        <v/>
      </c>
      <c r="W76" s="2" t="str">
        <f t="shared" si="73"/>
        <v/>
      </c>
      <c r="X76" s="2" t="str">
        <f t="shared" si="73"/>
        <v/>
      </c>
      <c r="Y76" s="2" t="str">
        <f t="shared" si="73"/>
        <v/>
      </c>
      <c r="Z76" s="2" t="str">
        <f t="shared" si="73"/>
        <v/>
      </c>
      <c r="AA76" s="2" t="str">
        <f t="shared" si="73"/>
        <v/>
      </c>
      <c r="AB76" s="2" t="str">
        <f t="shared" si="73"/>
        <v/>
      </c>
      <c r="AC76" s="2" t="str">
        <f t="shared" si="73"/>
        <v/>
      </c>
      <c r="AD76" s="2" t="str">
        <f t="shared" si="73"/>
        <v/>
      </c>
      <c r="AE76" s="2" t="str">
        <f t="shared" si="73"/>
        <v/>
      </c>
      <c r="AF76" s="2" t="str">
        <f t="shared" si="73"/>
        <v/>
      </c>
      <c r="AG76" s="2" t="str">
        <f t="shared" si="73"/>
        <v/>
      </c>
      <c r="AH76" s="2" t="str">
        <f t="shared" si="73"/>
        <v/>
      </c>
      <c r="AI76" s="18"/>
      <c r="AJ76" s="16"/>
      <c r="AK76" s="16"/>
      <c r="AL76" s="57"/>
      <c r="AM76" s="16"/>
    </row>
    <row r="77" spans="1:39" ht="10.5" customHeight="1" x14ac:dyDescent="0.25">
      <c r="A77" s="16"/>
      <c r="B77" s="2"/>
      <c r="C77" s="16"/>
      <c r="D77" s="2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2" t="str">
        <f t="shared" ref="U77:AH77" si="74">IF(OR(F77=0,F77&lt;0.00001,F77&gt;100000),"",IF((IF(F77&gt;F$5,ABS(LOG(((F$5/SUM($F77:$S77))/(F$4/SUM($F$4:$S$4)))*4+2,2)),ABS(LOG(((F77/SUM($F77:$S77))/(F$4/SUM($F$4:$S$4)))*4+2,2)))-3)&gt;8,(IF(F77&gt;F$5,ABS(LOG(((F$5/SUM($F77:$S77))/(F$4/SUM($F$4:$S$4)))*4+2,2)),ABS(LOG(((F77/SUM($F77:$S77))/(F$4/SUM($F$4:$S$4)))*4+2,2)))-3)/7,IF(F77&gt;F$5,ABS(LOG(((F$5/SUM($F77:$S77))/(F$4/SUM($F$4:$S$4)))*4+2,2)),ABS(LOG(((F77/SUM($F77:$S77))/(F$4/SUM($F$4:$S$4)))*4+2,2)))-3))</f>
        <v/>
      </c>
      <c r="V77" s="2" t="str">
        <f t="shared" si="74"/>
        <v/>
      </c>
      <c r="W77" s="2" t="str">
        <f t="shared" si="74"/>
        <v/>
      </c>
      <c r="X77" s="2" t="str">
        <f t="shared" si="74"/>
        <v/>
      </c>
      <c r="Y77" s="2" t="str">
        <f t="shared" si="74"/>
        <v/>
      </c>
      <c r="Z77" s="2" t="str">
        <f t="shared" si="74"/>
        <v/>
      </c>
      <c r="AA77" s="2" t="str">
        <f t="shared" si="74"/>
        <v/>
      </c>
      <c r="AB77" s="2" t="str">
        <f t="shared" si="74"/>
        <v/>
      </c>
      <c r="AC77" s="2" t="str">
        <f t="shared" si="74"/>
        <v/>
      </c>
      <c r="AD77" s="2" t="str">
        <f t="shared" si="74"/>
        <v/>
      </c>
      <c r="AE77" s="2" t="str">
        <f t="shared" si="74"/>
        <v/>
      </c>
      <c r="AF77" s="2" t="str">
        <f t="shared" si="74"/>
        <v/>
      </c>
      <c r="AG77" s="2" t="str">
        <f t="shared" si="74"/>
        <v/>
      </c>
      <c r="AH77" s="2" t="str">
        <f t="shared" si="74"/>
        <v/>
      </c>
      <c r="AI77" s="18"/>
      <c r="AJ77" s="16"/>
      <c r="AK77" s="16"/>
      <c r="AL77" s="57"/>
      <c r="AM77" s="16"/>
    </row>
    <row r="78" spans="1:39" ht="10.5" customHeight="1" x14ac:dyDescent="0.25">
      <c r="A78" s="16"/>
      <c r="B78" s="2"/>
      <c r="C78" s="16"/>
      <c r="D78" s="2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2" t="str">
        <f t="shared" ref="U78:AH78" si="75">IF(OR(F78=0,F78&lt;0.00001,F78&gt;100000),"",IF((IF(F78&gt;F$5,ABS(LOG(((F$5/SUM($F78:$S78))/(F$4/SUM($F$4:$S$4)))*4+2,2)),ABS(LOG(((F78/SUM($F78:$S78))/(F$4/SUM($F$4:$S$4)))*4+2,2)))-3)&gt;8,(IF(F78&gt;F$5,ABS(LOG(((F$5/SUM($F78:$S78))/(F$4/SUM($F$4:$S$4)))*4+2,2)),ABS(LOG(((F78/SUM($F78:$S78))/(F$4/SUM($F$4:$S$4)))*4+2,2)))-3)/7,IF(F78&gt;F$5,ABS(LOG(((F$5/SUM($F78:$S78))/(F$4/SUM($F$4:$S$4)))*4+2,2)),ABS(LOG(((F78/SUM($F78:$S78))/(F$4/SUM($F$4:$S$4)))*4+2,2)))-3))</f>
        <v/>
      </c>
      <c r="V78" s="2" t="str">
        <f t="shared" si="75"/>
        <v/>
      </c>
      <c r="W78" s="2" t="str">
        <f t="shared" si="75"/>
        <v/>
      </c>
      <c r="X78" s="2" t="str">
        <f t="shared" si="75"/>
        <v/>
      </c>
      <c r="Y78" s="2" t="str">
        <f t="shared" si="75"/>
        <v/>
      </c>
      <c r="Z78" s="2" t="str">
        <f t="shared" si="75"/>
        <v/>
      </c>
      <c r="AA78" s="2" t="str">
        <f t="shared" si="75"/>
        <v/>
      </c>
      <c r="AB78" s="2" t="str">
        <f t="shared" si="75"/>
        <v/>
      </c>
      <c r="AC78" s="2" t="str">
        <f t="shared" si="75"/>
        <v/>
      </c>
      <c r="AD78" s="2" t="str">
        <f t="shared" si="75"/>
        <v/>
      </c>
      <c r="AE78" s="2" t="str">
        <f t="shared" si="75"/>
        <v/>
      </c>
      <c r="AF78" s="2" t="str">
        <f t="shared" si="75"/>
        <v/>
      </c>
      <c r="AG78" s="2" t="str">
        <f t="shared" si="75"/>
        <v/>
      </c>
      <c r="AH78" s="2" t="str">
        <f t="shared" si="75"/>
        <v/>
      </c>
      <c r="AI78" s="18"/>
      <c r="AJ78" s="16"/>
      <c r="AK78" s="16"/>
      <c r="AL78" s="57"/>
      <c r="AM78" s="16"/>
    </row>
    <row r="79" spans="1:39" ht="10.5" customHeight="1" x14ac:dyDescent="0.25">
      <c r="A79" s="16"/>
      <c r="B79" s="2"/>
      <c r="C79" s="16"/>
      <c r="D79" s="2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2" t="str">
        <f t="shared" ref="U79:AH79" si="76">IF(OR(F79=0,F79&lt;0.00001,F79&gt;100000),"",IF((IF(F79&gt;F$5,ABS(LOG(((F$5/SUM($F79:$S79))/(F$4/SUM($F$4:$S$4)))*4+2,2)),ABS(LOG(((F79/SUM($F79:$S79))/(F$4/SUM($F$4:$S$4)))*4+2,2)))-3)&gt;8,(IF(F79&gt;F$5,ABS(LOG(((F$5/SUM($F79:$S79))/(F$4/SUM($F$4:$S$4)))*4+2,2)),ABS(LOG(((F79/SUM($F79:$S79))/(F$4/SUM($F$4:$S$4)))*4+2,2)))-3)/7,IF(F79&gt;F$5,ABS(LOG(((F$5/SUM($F79:$S79))/(F$4/SUM($F$4:$S$4)))*4+2,2)),ABS(LOG(((F79/SUM($F79:$S79))/(F$4/SUM($F$4:$S$4)))*4+2,2)))-3))</f>
        <v/>
      </c>
      <c r="V79" s="2" t="str">
        <f t="shared" si="76"/>
        <v/>
      </c>
      <c r="W79" s="2" t="str">
        <f t="shared" si="76"/>
        <v/>
      </c>
      <c r="X79" s="2" t="str">
        <f t="shared" si="76"/>
        <v/>
      </c>
      <c r="Y79" s="2" t="str">
        <f t="shared" si="76"/>
        <v/>
      </c>
      <c r="Z79" s="2" t="str">
        <f t="shared" si="76"/>
        <v/>
      </c>
      <c r="AA79" s="2" t="str">
        <f t="shared" si="76"/>
        <v/>
      </c>
      <c r="AB79" s="2" t="str">
        <f t="shared" si="76"/>
        <v/>
      </c>
      <c r="AC79" s="2" t="str">
        <f t="shared" si="76"/>
        <v/>
      </c>
      <c r="AD79" s="2" t="str">
        <f t="shared" si="76"/>
        <v/>
      </c>
      <c r="AE79" s="2" t="str">
        <f t="shared" si="76"/>
        <v/>
      </c>
      <c r="AF79" s="2" t="str">
        <f t="shared" si="76"/>
        <v/>
      </c>
      <c r="AG79" s="2" t="str">
        <f t="shared" si="76"/>
        <v/>
      </c>
      <c r="AH79" s="2" t="str">
        <f t="shared" si="76"/>
        <v/>
      </c>
      <c r="AI79" s="18"/>
      <c r="AJ79" s="16"/>
      <c r="AK79" s="16"/>
      <c r="AL79" s="57"/>
      <c r="AM79" s="16"/>
    </row>
    <row r="80" spans="1:39" ht="10.5" customHeight="1" x14ac:dyDescent="0.25">
      <c r="A80" s="16"/>
      <c r="B80" s="2"/>
      <c r="C80" s="16"/>
      <c r="D80" s="2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2" t="str">
        <f t="shared" ref="U80:AH80" si="77">IF(OR(F80=0,F80&lt;0.00001,F80&gt;100000),"",IF((IF(F80&gt;F$5,ABS(LOG(((F$5/SUM($F80:$S80))/(F$4/SUM($F$4:$S$4)))*4+2,2)),ABS(LOG(((F80/SUM($F80:$S80))/(F$4/SUM($F$4:$S$4)))*4+2,2)))-3)&gt;8,(IF(F80&gt;F$5,ABS(LOG(((F$5/SUM($F80:$S80))/(F$4/SUM($F$4:$S$4)))*4+2,2)),ABS(LOG(((F80/SUM($F80:$S80))/(F$4/SUM($F$4:$S$4)))*4+2,2)))-3)/7,IF(F80&gt;F$5,ABS(LOG(((F$5/SUM($F80:$S80))/(F$4/SUM($F$4:$S$4)))*4+2,2)),ABS(LOG(((F80/SUM($F80:$S80))/(F$4/SUM($F$4:$S$4)))*4+2,2)))-3))</f>
        <v/>
      </c>
      <c r="V80" s="2" t="str">
        <f t="shared" si="77"/>
        <v/>
      </c>
      <c r="W80" s="2" t="str">
        <f t="shared" si="77"/>
        <v/>
      </c>
      <c r="X80" s="2" t="str">
        <f t="shared" si="77"/>
        <v/>
      </c>
      <c r="Y80" s="2" t="str">
        <f t="shared" si="77"/>
        <v/>
      </c>
      <c r="Z80" s="2" t="str">
        <f t="shared" si="77"/>
        <v/>
      </c>
      <c r="AA80" s="2" t="str">
        <f t="shared" si="77"/>
        <v/>
      </c>
      <c r="AB80" s="2" t="str">
        <f t="shared" si="77"/>
        <v/>
      </c>
      <c r="AC80" s="2" t="str">
        <f t="shared" si="77"/>
        <v/>
      </c>
      <c r="AD80" s="2" t="str">
        <f t="shared" si="77"/>
        <v/>
      </c>
      <c r="AE80" s="2" t="str">
        <f t="shared" si="77"/>
        <v/>
      </c>
      <c r="AF80" s="2" t="str">
        <f t="shared" si="77"/>
        <v/>
      </c>
      <c r="AG80" s="2" t="str">
        <f t="shared" si="77"/>
        <v/>
      </c>
      <c r="AH80" s="2" t="str">
        <f t="shared" si="77"/>
        <v/>
      </c>
      <c r="AI80" s="18"/>
      <c r="AJ80" s="16"/>
      <c r="AK80" s="16"/>
      <c r="AL80" s="57"/>
      <c r="AM80" s="16"/>
    </row>
    <row r="81" spans="1:39" ht="10.5" customHeight="1" x14ac:dyDescent="0.25">
      <c r="A81" s="16"/>
      <c r="B81" s="2"/>
      <c r="C81" s="16"/>
      <c r="D81" s="2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2" t="str">
        <f t="shared" ref="U81:AH81" si="78">IF(OR(F81=0,F81&lt;0.00001,F81&gt;100000),"",IF((IF(F81&gt;F$5,ABS(LOG(((F$5/SUM($F81:$S81))/(F$4/SUM($F$4:$S$4)))*4+2,2)),ABS(LOG(((F81/SUM($F81:$S81))/(F$4/SUM($F$4:$S$4)))*4+2,2)))-3)&gt;8,(IF(F81&gt;F$5,ABS(LOG(((F$5/SUM($F81:$S81))/(F$4/SUM($F$4:$S$4)))*4+2,2)),ABS(LOG(((F81/SUM($F81:$S81))/(F$4/SUM($F$4:$S$4)))*4+2,2)))-3)/7,IF(F81&gt;F$5,ABS(LOG(((F$5/SUM($F81:$S81))/(F$4/SUM($F$4:$S$4)))*4+2,2)),ABS(LOG(((F81/SUM($F81:$S81))/(F$4/SUM($F$4:$S$4)))*4+2,2)))-3))</f>
        <v/>
      </c>
      <c r="V81" s="2" t="str">
        <f t="shared" si="78"/>
        <v/>
      </c>
      <c r="W81" s="2" t="str">
        <f t="shared" si="78"/>
        <v/>
      </c>
      <c r="X81" s="2" t="str">
        <f t="shared" si="78"/>
        <v/>
      </c>
      <c r="Y81" s="2" t="str">
        <f t="shared" si="78"/>
        <v/>
      </c>
      <c r="Z81" s="2" t="str">
        <f t="shared" si="78"/>
        <v/>
      </c>
      <c r="AA81" s="2" t="str">
        <f t="shared" si="78"/>
        <v/>
      </c>
      <c r="AB81" s="2" t="str">
        <f t="shared" si="78"/>
        <v/>
      </c>
      <c r="AC81" s="2" t="str">
        <f t="shared" si="78"/>
        <v/>
      </c>
      <c r="AD81" s="2" t="str">
        <f t="shared" si="78"/>
        <v/>
      </c>
      <c r="AE81" s="2" t="str">
        <f t="shared" si="78"/>
        <v/>
      </c>
      <c r="AF81" s="2" t="str">
        <f t="shared" si="78"/>
        <v/>
      </c>
      <c r="AG81" s="2" t="str">
        <f t="shared" si="78"/>
        <v/>
      </c>
      <c r="AH81" s="2" t="str">
        <f t="shared" si="78"/>
        <v/>
      </c>
      <c r="AI81" s="18"/>
      <c r="AJ81" s="16"/>
      <c r="AK81" s="16"/>
      <c r="AL81" s="57"/>
      <c r="AM81" s="16"/>
    </row>
    <row r="82" spans="1:39" ht="10.5" customHeight="1" x14ac:dyDescent="0.25">
      <c r="A82" s="16"/>
      <c r="B82" s="2"/>
      <c r="C82" s="16"/>
      <c r="D82" s="2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2" t="str">
        <f t="shared" ref="U82:AH82" si="79">IF(OR(F82=0,F82&lt;0.00001,F82&gt;100000),"",IF((IF(F82&gt;F$5,ABS(LOG(((F$5/SUM($F82:$S82))/(F$4/SUM($F$4:$S$4)))*4+2,2)),ABS(LOG(((F82/SUM($F82:$S82))/(F$4/SUM($F$4:$S$4)))*4+2,2)))-3)&gt;8,(IF(F82&gt;F$5,ABS(LOG(((F$5/SUM($F82:$S82))/(F$4/SUM($F$4:$S$4)))*4+2,2)),ABS(LOG(((F82/SUM($F82:$S82))/(F$4/SUM($F$4:$S$4)))*4+2,2)))-3)/7,IF(F82&gt;F$5,ABS(LOG(((F$5/SUM($F82:$S82))/(F$4/SUM($F$4:$S$4)))*4+2,2)),ABS(LOG(((F82/SUM($F82:$S82))/(F$4/SUM($F$4:$S$4)))*4+2,2)))-3))</f>
        <v/>
      </c>
      <c r="V82" s="2" t="str">
        <f t="shared" si="79"/>
        <v/>
      </c>
      <c r="W82" s="2" t="str">
        <f t="shared" si="79"/>
        <v/>
      </c>
      <c r="X82" s="2" t="str">
        <f t="shared" si="79"/>
        <v/>
      </c>
      <c r="Y82" s="2" t="str">
        <f t="shared" si="79"/>
        <v/>
      </c>
      <c r="Z82" s="2" t="str">
        <f t="shared" si="79"/>
        <v/>
      </c>
      <c r="AA82" s="2" t="str">
        <f t="shared" si="79"/>
        <v/>
      </c>
      <c r="AB82" s="2" t="str">
        <f t="shared" si="79"/>
        <v/>
      </c>
      <c r="AC82" s="2" t="str">
        <f t="shared" si="79"/>
        <v/>
      </c>
      <c r="AD82" s="2" t="str">
        <f t="shared" si="79"/>
        <v/>
      </c>
      <c r="AE82" s="2" t="str">
        <f t="shared" si="79"/>
        <v/>
      </c>
      <c r="AF82" s="2" t="str">
        <f t="shared" si="79"/>
        <v/>
      </c>
      <c r="AG82" s="2" t="str">
        <f t="shared" si="79"/>
        <v/>
      </c>
      <c r="AH82" s="2" t="str">
        <f t="shared" si="79"/>
        <v/>
      </c>
      <c r="AI82" s="18"/>
      <c r="AJ82" s="16"/>
      <c r="AK82" s="16"/>
      <c r="AL82" s="57"/>
      <c r="AM82" s="16"/>
    </row>
    <row r="83" spans="1:39" ht="10.5" customHeight="1" x14ac:dyDescent="0.25">
      <c r="A83" s="16"/>
      <c r="B83" s="2"/>
      <c r="C83" s="16"/>
      <c r="D83" s="2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2" t="str">
        <f t="shared" ref="U83:AH83" si="80">IF(OR(F83=0,F83&lt;0.00001,F83&gt;100000),"",IF((IF(F83&gt;F$5,ABS(LOG(((F$5/SUM($F83:$S83))/(F$4/SUM($F$4:$S$4)))*4+2,2)),ABS(LOG(((F83/SUM($F83:$S83))/(F$4/SUM($F$4:$S$4)))*4+2,2)))-3)&gt;8,(IF(F83&gt;F$5,ABS(LOG(((F$5/SUM($F83:$S83))/(F$4/SUM($F$4:$S$4)))*4+2,2)),ABS(LOG(((F83/SUM($F83:$S83))/(F$4/SUM($F$4:$S$4)))*4+2,2)))-3)/7,IF(F83&gt;F$5,ABS(LOG(((F$5/SUM($F83:$S83))/(F$4/SUM($F$4:$S$4)))*4+2,2)),ABS(LOG(((F83/SUM($F83:$S83))/(F$4/SUM($F$4:$S$4)))*4+2,2)))-3))</f>
        <v/>
      </c>
      <c r="V83" s="2" t="str">
        <f t="shared" si="80"/>
        <v/>
      </c>
      <c r="W83" s="2" t="str">
        <f t="shared" si="80"/>
        <v/>
      </c>
      <c r="X83" s="2" t="str">
        <f t="shared" si="80"/>
        <v/>
      </c>
      <c r="Y83" s="2" t="str">
        <f t="shared" si="80"/>
        <v/>
      </c>
      <c r="Z83" s="2" t="str">
        <f t="shared" si="80"/>
        <v/>
      </c>
      <c r="AA83" s="2" t="str">
        <f t="shared" si="80"/>
        <v/>
      </c>
      <c r="AB83" s="2" t="str">
        <f t="shared" si="80"/>
        <v/>
      </c>
      <c r="AC83" s="2" t="str">
        <f t="shared" si="80"/>
        <v/>
      </c>
      <c r="AD83" s="2" t="str">
        <f t="shared" si="80"/>
        <v/>
      </c>
      <c r="AE83" s="2" t="str">
        <f t="shared" si="80"/>
        <v/>
      </c>
      <c r="AF83" s="2" t="str">
        <f t="shared" si="80"/>
        <v/>
      </c>
      <c r="AG83" s="2" t="str">
        <f t="shared" si="80"/>
        <v/>
      </c>
      <c r="AH83" s="2" t="str">
        <f t="shared" si="80"/>
        <v/>
      </c>
      <c r="AI83" s="18"/>
      <c r="AJ83" s="16"/>
      <c r="AK83" s="16"/>
      <c r="AL83" s="57"/>
      <c r="AM83" s="16"/>
    </row>
    <row r="84" spans="1:39" ht="10.5" customHeight="1" x14ac:dyDescent="0.25">
      <c r="A84" s="16"/>
      <c r="B84" s="2"/>
      <c r="C84" s="16"/>
      <c r="D84" s="2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2" t="str">
        <f t="shared" ref="U84:AH84" si="81">IF(OR(F84=0,F84&lt;0.00001,F84&gt;100000),"",IF((IF(F84&gt;F$5,ABS(LOG(((F$5/SUM($F84:$S84))/(F$4/SUM($F$4:$S$4)))*4+2,2)),ABS(LOG(((F84/SUM($F84:$S84))/(F$4/SUM($F$4:$S$4)))*4+2,2)))-3)&gt;8,(IF(F84&gt;F$5,ABS(LOG(((F$5/SUM($F84:$S84))/(F$4/SUM($F$4:$S$4)))*4+2,2)),ABS(LOG(((F84/SUM($F84:$S84))/(F$4/SUM($F$4:$S$4)))*4+2,2)))-3)/7,IF(F84&gt;F$5,ABS(LOG(((F$5/SUM($F84:$S84))/(F$4/SUM($F$4:$S$4)))*4+2,2)),ABS(LOG(((F84/SUM($F84:$S84))/(F$4/SUM($F$4:$S$4)))*4+2,2)))-3))</f>
        <v/>
      </c>
      <c r="V84" s="2" t="str">
        <f t="shared" si="81"/>
        <v/>
      </c>
      <c r="W84" s="2" t="str">
        <f t="shared" si="81"/>
        <v/>
      </c>
      <c r="X84" s="2" t="str">
        <f t="shared" si="81"/>
        <v/>
      </c>
      <c r="Y84" s="2" t="str">
        <f t="shared" si="81"/>
        <v/>
      </c>
      <c r="Z84" s="2" t="str">
        <f t="shared" si="81"/>
        <v/>
      </c>
      <c r="AA84" s="2" t="str">
        <f t="shared" si="81"/>
        <v/>
      </c>
      <c r="AB84" s="2" t="str">
        <f t="shared" si="81"/>
        <v/>
      </c>
      <c r="AC84" s="2" t="str">
        <f t="shared" si="81"/>
        <v/>
      </c>
      <c r="AD84" s="2" t="str">
        <f t="shared" si="81"/>
        <v/>
      </c>
      <c r="AE84" s="2" t="str">
        <f t="shared" si="81"/>
        <v/>
      </c>
      <c r="AF84" s="2" t="str">
        <f t="shared" si="81"/>
        <v/>
      </c>
      <c r="AG84" s="2" t="str">
        <f t="shared" si="81"/>
        <v/>
      </c>
      <c r="AH84" s="2" t="str">
        <f t="shared" si="81"/>
        <v/>
      </c>
      <c r="AI84" s="18"/>
      <c r="AJ84" s="16"/>
      <c r="AK84" s="16"/>
      <c r="AL84" s="57"/>
      <c r="AM84" s="16"/>
    </row>
    <row r="85" spans="1:39" ht="10.5" customHeight="1" x14ac:dyDescent="0.25">
      <c r="A85" s="16"/>
      <c r="B85" s="2"/>
      <c r="C85" s="16"/>
      <c r="D85" s="2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2" t="str">
        <f t="shared" ref="U85:AH85" si="82">IF(OR(F85=0,F85&lt;0.00001,F85&gt;100000),"",IF((IF(F85&gt;F$5,ABS(LOG(((F$5/SUM($F85:$S85))/(F$4/SUM($F$4:$S$4)))*4+2,2)),ABS(LOG(((F85/SUM($F85:$S85))/(F$4/SUM($F$4:$S$4)))*4+2,2)))-3)&gt;8,(IF(F85&gt;F$5,ABS(LOG(((F$5/SUM($F85:$S85))/(F$4/SUM($F$4:$S$4)))*4+2,2)),ABS(LOG(((F85/SUM($F85:$S85))/(F$4/SUM($F$4:$S$4)))*4+2,2)))-3)/7,IF(F85&gt;F$5,ABS(LOG(((F$5/SUM($F85:$S85))/(F$4/SUM($F$4:$S$4)))*4+2,2)),ABS(LOG(((F85/SUM($F85:$S85))/(F$4/SUM($F$4:$S$4)))*4+2,2)))-3))</f>
        <v/>
      </c>
      <c r="V85" s="2" t="str">
        <f t="shared" si="82"/>
        <v/>
      </c>
      <c r="W85" s="2" t="str">
        <f t="shared" si="82"/>
        <v/>
      </c>
      <c r="X85" s="2" t="str">
        <f t="shared" si="82"/>
        <v/>
      </c>
      <c r="Y85" s="2" t="str">
        <f t="shared" si="82"/>
        <v/>
      </c>
      <c r="Z85" s="2" t="str">
        <f t="shared" si="82"/>
        <v/>
      </c>
      <c r="AA85" s="2" t="str">
        <f t="shared" si="82"/>
        <v/>
      </c>
      <c r="AB85" s="2" t="str">
        <f t="shared" si="82"/>
        <v/>
      </c>
      <c r="AC85" s="2" t="str">
        <f t="shared" si="82"/>
        <v/>
      </c>
      <c r="AD85" s="2" t="str">
        <f t="shared" si="82"/>
        <v/>
      </c>
      <c r="AE85" s="2" t="str">
        <f t="shared" si="82"/>
        <v/>
      </c>
      <c r="AF85" s="2" t="str">
        <f t="shared" si="82"/>
        <v/>
      </c>
      <c r="AG85" s="2" t="str">
        <f t="shared" si="82"/>
        <v/>
      </c>
      <c r="AH85" s="2" t="str">
        <f t="shared" si="82"/>
        <v/>
      </c>
      <c r="AI85" s="18"/>
      <c r="AJ85" s="16"/>
      <c r="AK85" s="16"/>
      <c r="AL85" s="57"/>
      <c r="AM85" s="16"/>
    </row>
    <row r="86" spans="1:39" ht="10.5" customHeight="1" x14ac:dyDescent="0.25">
      <c r="A86" s="16"/>
      <c r="B86" s="2"/>
      <c r="C86" s="16"/>
      <c r="D86" s="2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2" t="str">
        <f t="shared" ref="U86:AH86" si="83">IF(OR(F86=0,F86&lt;0.00001,F86&gt;100000),"",IF((IF(F86&gt;F$5,ABS(LOG(((F$5/SUM($F86:$S86))/(F$4/SUM($F$4:$S$4)))*4+2,2)),ABS(LOG(((F86/SUM($F86:$S86))/(F$4/SUM($F$4:$S$4)))*4+2,2)))-3)&gt;8,(IF(F86&gt;F$5,ABS(LOG(((F$5/SUM($F86:$S86))/(F$4/SUM($F$4:$S$4)))*4+2,2)),ABS(LOG(((F86/SUM($F86:$S86))/(F$4/SUM($F$4:$S$4)))*4+2,2)))-3)/7,IF(F86&gt;F$5,ABS(LOG(((F$5/SUM($F86:$S86))/(F$4/SUM($F$4:$S$4)))*4+2,2)),ABS(LOG(((F86/SUM($F86:$S86))/(F$4/SUM($F$4:$S$4)))*4+2,2)))-3))</f>
        <v/>
      </c>
      <c r="V86" s="2" t="str">
        <f t="shared" si="83"/>
        <v/>
      </c>
      <c r="W86" s="2" t="str">
        <f t="shared" si="83"/>
        <v/>
      </c>
      <c r="X86" s="2" t="str">
        <f t="shared" si="83"/>
        <v/>
      </c>
      <c r="Y86" s="2" t="str">
        <f t="shared" si="83"/>
        <v/>
      </c>
      <c r="Z86" s="2" t="str">
        <f t="shared" si="83"/>
        <v/>
      </c>
      <c r="AA86" s="2" t="str">
        <f t="shared" si="83"/>
        <v/>
      </c>
      <c r="AB86" s="2" t="str">
        <f t="shared" si="83"/>
        <v/>
      </c>
      <c r="AC86" s="2" t="str">
        <f t="shared" si="83"/>
        <v/>
      </c>
      <c r="AD86" s="2" t="str">
        <f t="shared" si="83"/>
        <v/>
      </c>
      <c r="AE86" s="2" t="str">
        <f t="shared" si="83"/>
        <v/>
      </c>
      <c r="AF86" s="2" t="str">
        <f t="shared" si="83"/>
        <v/>
      </c>
      <c r="AG86" s="2" t="str">
        <f t="shared" si="83"/>
        <v/>
      </c>
      <c r="AH86" s="2" t="str">
        <f t="shared" si="83"/>
        <v/>
      </c>
      <c r="AI86" s="18"/>
      <c r="AJ86" s="16"/>
      <c r="AK86" s="16"/>
      <c r="AL86" s="57"/>
      <c r="AM86" s="16"/>
    </row>
    <row r="87" spans="1:39" ht="10.5" customHeight="1" x14ac:dyDescent="0.25">
      <c r="A87" s="16"/>
      <c r="B87" s="2"/>
      <c r="C87" s="16"/>
      <c r="D87" s="2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2" t="str">
        <f t="shared" ref="U87:AH87" si="84">IF(OR(F87=0,F87&lt;0.00001,F87&gt;100000),"",IF((IF(F87&gt;F$5,ABS(LOG(((F$5/SUM($F87:$S87))/(F$4/SUM($F$4:$S$4)))*4+2,2)),ABS(LOG(((F87/SUM($F87:$S87))/(F$4/SUM($F$4:$S$4)))*4+2,2)))-3)&gt;8,(IF(F87&gt;F$5,ABS(LOG(((F$5/SUM($F87:$S87))/(F$4/SUM($F$4:$S$4)))*4+2,2)),ABS(LOG(((F87/SUM($F87:$S87))/(F$4/SUM($F$4:$S$4)))*4+2,2)))-3)/7,IF(F87&gt;F$5,ABS(LOG(((F$5/SUM($F87:$S87))/(F$4/SUM($F$4:$S$4)))*4+2,2)),ABS(LOG(((F87/SUM($F87:$S87))/(F$4/SUM($F$4:$S$4)))*4+2,2)))-3))</f>
        <v/>
      </c>
      <c r="V87" s="2" t="str">
        <f t="shared" si="84"/>
        <v/>
      </c>
      <c r="W87" s="2" t="str">
        <f t="shared" si="84"/>
        <v/>
      </c>
      <c r="X87" s="2" t="str">
        <f t="shared" si="84"/>
        <v/>
      </c>
      <c r="Y87" s="2" t="str">
        <f t="shared" si="84"/>
        <v/>
      </c>
      <c r="Z87" s="2" t="str">
        <f t="shared" si="84"/>
        <v/>
      </c>
      <c r="AA87" s="2" t="str">
        <f t="shared" si="84"/>
        <v/>
      </c>
      <c r="AB87" s="2" t="str">
        <f t="shared" si="84"/>
        <v/>
      </c>
      <c r="AC87" s="2" t="str">
        <f t="shared" si="84"/>
        <v/>
      </c>
      <c r="AD87" s="2" t="str">
        <f t="shared" si="84"/>
        <v/>
      </c>
      <c r="AE87" s="2" t="str">
        <f t="shared" si="84"/>
        <v/>
      </c>
      <c r="AF87" s="2" t="str">
        <f t="shared" si="84"/>
        <v/>
      </c>
      <c r="AG87" s="2" t="str">
        <f t="shared" si="84"/>
        <v/>
      </c>
      <c r="AH87" s="2" t="str">
        <f t="shared" si="84"/>
        <v/>
      </c>
      <c r="AI87" s="18"/>
      <c r="AJ87" s="16"/>
      <c r="AK87" s="16"/>
      <c r="AL87" s="57"/>
      <c r="AM87" s="16"/>
    </row>
    <row r="88" spans="1:39" ht="10.5" customHeight="1" x14ac:dyDescent="0.25">
      <c r="A88" s="16"/>
      <c r="B88" s="2"/>
      <c r="C88" s="16"/>
      <c r="D88" s="2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2" t="str">
        <f t="shared" ref="U88:AH88" si="85">IF(OR(F88=0,F88&lt;0.00001,F88&gt;100000),"",IF((IF(F88&gt;F$5,ABS(LOG(((F$5/SUM($F88:$S88))/(F$4/SUM($F$4:$S$4)))*4+2,2)),ABS(LOG(((F88/SUM($F88:$S88))/(F$4/SUM($F$4:$S$4)))*4+2,2)))-3)&gt;8,(IF(F88&gt;F$5,ABS(LOG(((F$5/SUM($F88:$S88))/(F$4/SUM($F$4:$S$4)))*4+2,2)),ABS(LOG(((F88/SUM($F88:$S88))/(F$4/SUM($F$4:$S$4)))*4+2,2)))-3)/7,IF(F88&gt;F$5,ABS(LOG(((F$5/SUM($F88:$S88))/(F$4/SUM($F$4:$S$4)))*4+2,2)),ABS(LOG(((F88/SUM($F88:$S88))/(F$4/SUM($F$4:$S$4)))*4+2,2)))-3))</f>
        <v/>
      </c>
      <c r="V88" s="2" t="str">
        <f t="shared" si="85"/>
        <v/>
      </c>
      <c r="W88" s="2" t="str">
        <f t="shared" si="85"/>
        <v/>
      </c>
      <c r="X88" s="2" t="str">
        <f t="shared" si="85"/>
        <v/>
      </c>
      <c r="Y88" s="2" t="str">
        <f t="shared" si="85"/>
        <v/>
      </c>
      <c r="Z88" s="2" t="str">
        <f t="shared" si="85"/>
        <v/>
      </c>
      <c r="AA88" s="2" t="str">
        <f t="shared" si="85"/>
        <v/>
      </c>
      <c r="AB88" s="2" t="str">
        <f t="shared" si="85"/>
        <v/>
      </c>
      <c r="AC88" s="2" t="str">
        <f t="shared" si="85"/>
        <v/>
      </c>
      <c r="AD88" s="2" t="str">
        <f t="shared" si="85"/>
        <v/>
      </c>
      <c r="AE88" s="2" t="str">
        <f t="shared" si="85"/>
        <v/>
      </c>
      <c r="AF88" s="2" t="str">
        <f t="shared" si="85"/>
        <v/>
      </c>
      <c r="AG88" s="2" t="str">
        <f t="shared" si="85"/>
        <v/>
      </c>
      <c r="AH88" s="2" t="str">
        <f t="shared" si="85"/>
        <v/>
      </c>
      <c r="AI88" s="18"/>
      <c r="AJ88" s="16"/>
      <c r="AK88" s="16"/>
      <c r="AL88" s="57"/>
      <c r="AM88" s="16"/>
    </row>
    <row r="89" spans="1:39" ht="10.5" customHeight="1" x14ac:dyDescent="0.25">
      <c r="A89" s="16"/>
      <c r="B89" s="2"/>
      <c r="C89" s="16"/>
      <c r="D89" s="2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2" t="str">
        <f t="shared" ref="U89:AH89" si="86">IF(OR(F89=0,F89&lt;0.00001,F89&gt;100000),"",IF((IF(F89&gt;F$5,ABS(LOG(((F$5/SUM($F89:$S89))/(F$4/SUM($F$4:$S$4)))*4+2,2)),ABS(LOG(((F89/SUM($F89:$S89))/(F$4/SUM($F$4:$S$4)))*4+2,2)))-3)&gt;8,(IF(F89&gt;F$5,ABS(LOG(((F$5/SUM($F89:$S89))/(F$4/SUM($F$4:$S$4)))*4+2,2)),ABS(LOG(((F89/SUM($F89:$S89))/(F$4/SUM($F$4:$S$4)))*4+2,2)))-3)/7,IF(F89&gt;F$5,ABS(LOG(((F$5/SUM($F89:$S89))/(F$4/SUM($F$4:$S$4)))*4+2,2)),ABS(LOG(((F89/SUM($F89:$S89))/(F$4/SUM($F$4:$S$4)))*4+2,2)))-3))</f>
        <v/>
      </c>
      <c r="V89" s="2" t="str">
        <f t="shared" si="86"/>
        <v/>
      </c>
      <c r="W89" s="2" t="str">
        <f t="shared" si="86"/>
        <v/>
      </c>
      <c r="X89" s="2" t="str">
        <f t="shared" si="86"/>
        <v/>
      </c>
      <c r="Y89" s="2" t="str">
        <f t="shared" si="86"/>
        <v/>
      </c>
      <c r="Z89" s="2" t="str">
        <f t="shared" si="86"/>
        <v/>
      </c>
      <c r="AA89" s="2" t="str">
        <f t="shared" si="86"/>
        <v/>
      </c>
      <c r="AB89" s="2" t="str">
        <f t="shared" si="86"/>
        <v/>
      </c>
      <c r="AC89" s="2" t="str">
        <f t="shared" si="86"/>
        <v/>
      </c>
      <c r="AD89" s="2" t="str">
        <f t="shared" si="86"/>
        <v/>
      </c>
      <c r="AE89" s="2" t="str">
        <f t="shared" si="86"/>
        <v/>
      </c>
      <c r="AF89" s="2" t="str">
        <f t="shared" si="86"/>
        <v/>
      </c>
      <c r="AG89" s="2" t="str">
        <f t="shared" si="86"/>
        <v/>
      </c>
      <c r="AH89" s="2" t="str">
        <f t="shared" si="86"/>
        <v/>
      </c>
      <c r="AI89" s="18"/>
      <c r="AJ89" s="16"/>
      <c r="AK89" s="16"/>
      <c r="AL89" s="57"/>
      <c r="AM89" s="16"/>
    </row>
    <row r="90" spans="1:39" ht="10.5" customHeight="1" x14ac:dyDescent="0.25">
      <c r="A90" s="16"/>
      <c r="B90" s="2"/>
      <c r="C90" s="16"/>
      <c r="D90" s="2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2" t="str">
        <f t="shared" ref="U90:AH90" si="87">IF(OR(F90=0,F90&lt;0.00001,F90&gt;100000),"",IF((IF(F90&gt;F$5,ABS(LOG(((F$5/SUM($F90:$S90))/(F$4/SUM($F$4:$S$4)))*4+2,2)),ABS(LOG(((F90/SUM($F90:$S90))/(F$4/SUM($F$4:$S$4)))*4+2,2)))-3)&gt;8,(IF(F90&gt;F$5,ABS(LOG(((F$5/SUM($F90:$S90))/(F$4/SUM($F$4:$S$4)))*4+2,2)),ABS(LOG(((F90/SUM($F90:$S90))/(F$4/SUM($F$4:$S$4)))*4+2,2)))-3)/7,IF(F90&gt;F$5,ABS(LOG(((F$5/SUM($F90:$S90))/(F$4/SUM($F$4:$S$4)))*4+2,2)),ABS(LOG(((F90/SUM($F90:$S90))/(F$4/SUM($F$4:$S$4)))*4+2,2)))-3))</f>
        <v/>
      </c>
      <c r="V90" s="2" t="str">
        <f t="shared" si="87"/>
        <v/>
      </c>
      <c r="W90" s="2" t="str">
        <f t="shared" si="87"/>
        <v/>
      </c>
      <c r="X90" s="2" t="str">
        <f t="shared" si="87"/>
        <v/>
      </c>
      <c r="Y90" s="2" t="str">
        <f t="shared" si="87"/>
        <v/>
      </c>
      <c r="Z90" s="2" t="str">
        <f t="shared" si="87"/>
        <v/>
      </c>
      <c r="AA90" s="2" t="str">
        <f t="shared" si="87"/>
        <v/>
      </c>
      <c r="AB90" s="2" t="str">
        <f t="shared" si="87"/>
        <v/>
      </c>
      <c r="AC90" s="2" t="str">
        <f t="shared" si="87"/>
        <v/>
      </c>
      <c r="AD90" s="2" t="str">
        <f t="shared" si="87"/>
        <v/>
      </c>
      <c r="AE90" s="2" t="str">
        <f t="shared" si="87"/>
        <v/>
      </c>
      <c r="AF90" s="2" t="str">
        <f t="shared" si="87"/>
        <v/>
      </c>
      <c r="AG90" s="2" t="str">
        <f t="shared" si="87"/>
        <v/>
      </c>
      <c r="AH90" s="2" t="str">
        <f t="shared" si="87"/>
        <v/>
      </c>
      <c r="AI90" s="18"/>
      <c r="AJ90" s="16"/>
      <c r="AK90" s="16"/>
      <c r="AL90" s="57"/>
      <c r="AM90" s="16"/>
    </row>
    <row r="91" spans="1:39" ht="10.5" customHeight="1" x14ac:dyDescent="0.25">
      <c r="A91" s="16"/>
      <c r="B91" s="2"/>
      <c r="C91" s="16"/>
      <c r="D91" s="2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2" t="str">
        <f t="shared" ref="U91:AH91" si="88">IF(OR(F91=0,F91&lt;0.00001,F91&gt;100000),"",IF((IF(F91&gt;F$5,ABS(LOG(((F$5/SUM($F91:$S91))/(F$4/SUM($F$4:$S$4)))*4+2,2)),ABS(LOG(((F91/SUM($F91:$S91))/(F$4/SUM($F$4:$S$4)))*4+2,2)))-3)&gt;8,(IF(F91&gt;F$5,ABS(LOG(((F$5/SUM($F91:$S91))/(F$4/SUM($F$4:$S$4)))*4+2,2)),ABS(LOG(((F91/SUM($F91:$S91))/(F$4/SUM($F$4:$S$4)))*4+2,2)))-3)/7,IF(F91&gt;F$5,ABS(LOG(((F$5/SUM($F91:$S91))/(F$4/SUM($F$4:$S$4)))*4+2,2)),ABS(LOG(((F91/SUM($F91:$S91))/(F$4/SUM($F$4:$S$4)))*4+2,2)))-3))</f>
        <v/>
      </c>
      <c r="V91" s="2" t="str">
        <f t="shared" si="88"/>
        <v/>
      </c>
      <c r="W91" s="2" t="str">
        <f t="shared" si="88"/>
        <v/>
      </c>
      <c r="X91" s="2" t="str">
        <f t="shared" si="88"/>
        <v/>
      </c>
      <c r="Y91" s="2" t="str">
        <f t="shared" si="88"/>
        <v/>
      </c>
      <c r="Z91" s="2" t="str">
        <f t="shared" si="88"/>
        <v/>
      </c>
      <c r="AA91" s="2" t="str">
        <f t="shared" si="88"/>
        <v/>
      </c>
      <c r="AB91" s="2" t="str">
        <f t="shared" si="88"/>
        <v/>
      </c>
      <c r="AC91" s="2" t="str">
        <f t="shared" si="88"/>
        <v/>
      </c>
      <c r="AD91" s="2" t="str">
        <f t="shared" si="88"/>
        <v/>
      </c>
      <c r="AE91" s="2" t="str">
        <f t="shared" si="88"/>
        <v/>
      </c>
      <c r="AF91" s="2" t="str">
        <f t="shared" si="88"/>
        <v/>
      </c>
      <c r="AG91" s="2" t="str">
        <f t="shared" si="88"/>
        <v/>
      </c>
      <c r="AH91" s="2" t="str">
        <f t="shared" si="88"/>
        <v/>
      </c>
      <c r="AI91" s="18"/>
      <c r="AJ91" s="16"/>
      <c r="AK91" s="16"/>
      <c r="AL91" s="57"/>
      <c r="AM91" s="16"/>
    </row>
    <row r="92" spans="1:39" ht="10.5" customHeight="1" x14ac:dyDescent="0.25">
      <c r="A92" s="16"/>
      <c r="B92" s="2"/>
      <c r="C92" s="16"/>
      <c r="D92" s="2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2" t="str">
        <f t="shared" ref="U92:AH92" si="89">IF(OR(F92=0,F92&lt;0.00001,F92&gt;100000),"",IF((IF(F92&gt;F$5,ABS(LOG(((F$5/SUM($F92:$S92))/(F$4/SUM($F$4:$S$4)))*4+2,2)),ABS(LOG(((F92/SUM($F92:$S92))/(F$4/SUM($F$4:$S$4)))*4+2,2)))-3)&gt;8,(IF(F92&gt;F$5,ABS(LOG(((F$5/SUM($F92:$S92))/(F$4/SUM($F$4:$S$4)))*4+2,2)),ABS(LOG(((F92/SUM($F92:$S92))/(F$4/SUM($F$4:$S$4)))*4+2,2)))-3)/7,IF(F92&gt;F$5,ABS(LOG(((F$5/SUM($F92:$S92))/(F$4/SUM($F$4:$S$4)))*4+2,2)),ABS(LOG(((F92/SUM($F92:$S92))/(F$4/SUM($F$4:$S$4)))*4+2,2)))-3))</f>
        <v/>
      </c>
      <c r="V92" s="2" t="str">
        <f t="shared" si="89"/>
        <v/>
      </c>
      <c r="W92" s="2" t="str">
        <f t="shared" si="89"/>
        <v/>
      </c>
      <c r="X92" s="2" t="str">
        <f t="shared" si="89"/>
        <v/>
      </c>
      <c r="Y92" s="2" t="str">
        <f t="shared" si="89"/>
        <v/>
      </c>
      <c r="Z92" s="2" t="str">
        <f t="shared" si="89"/>
        <v/>
      </c>
      <c r="AA92" s="2" t="str">
        <f t="shared" si="89"/>
        <v/>
      </c>
      <c r="AB92" s="2" t="str">
        <f t="shared" si="89"/>
        <v/>
      </c>
      <c r="AC92" s="2" t="str">
        <f t="shared" si="89"/>
        <v/>
      </c>
      <c r="AD92" s="2" t="str">
        <f t="shared" si="89"/>
        <v/>
      </c>
      <c r="AE92" s="2" t="str">
        <f t="shared" si="89"/>
        <v/>
      </c>
      <c r="AF92" s="2" t="str">
        <f t="shared" si="89"/>
        <v/>
      </c>
      <c r="AG92" s="2" t="str">
        <f t="shared" si="89"/>
        <v/>
      </c>
      <c r="AH92" s="2" t="str">
        <f t="shared" si="89"/>
        <v/>
      </c>
      <c r="AI92" s="18"/>
      <c r="AJ92" s="16"/>
      <c r="AK92" s="16"/>
      <c r="AL92" s="57"/>
      <c r="AM92" s="16"/>
    </row>
    <row r="93" spans="1:39" ht="10.5" customHeight="1" x14ac:dyDescent="0.25">
      <c r="A93" s="16"/>
      <c r="B93" s="2"/>
      <c r="C93" s="16"/>
      <c r="D93" s="2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2" t="str">
        <f t="shared" ref="U93:AH93" si="90">IF(OR(F93=0,F93&lt;0.00001,F93&gt;100000),"",IF((IF(F93&gt;F$5,ABS(LOG(((F$5/SUM($F93:$S93))/(F$4/SUM($F$4:$S$4)))*4+2,2)),ABS(LOG(((F93/SUM($F93:$S93))/(F$4/SUM($F$4:$S$4)))*4+2,2)))-3)&gt;8,(IF(F93&gt;F$5,ABS(LOG(((F$5/SUM($F93:$S93))/(F$4/SUM($F$4:$S$4)))*4+2,2)),ABS(LOG(((F93/SUM($F93:$S93))/(F$4/SUM($F$4:$S$4)))*4+2,2)))-3)/7,IF(F93&gt;F$5,ABS(LOG(((F$5/SUM($F93:$S93))/(F$4/SUM($F$4:$S$4)))*4+2,2)),ABS(LOG(((F93/SUM($F93:$S93))/(F$4/SUM($F$4:$S$4)))*4+2,2)))-3))</f>
        <v/>
      </c>
      <c r="V93" s="2" t="str">
        <f t="shared" si="90"/>
        <v/>
      </c>
      <c r="W93" s="2" t="str">
        <f t="shared" si="90"/>
        <v/>
      </c>
      <c r="X93" s="2" t="str">
        <f t="shared" si="90"/>
        <v/>
      </c>
      <c r="Y93" s="2" t="str">
        <f t="shared" si="90"/>
        <v/>
      </c>
      <c r="Z93" s="2" t="str">
        <f t="shared" si="90"/>
        <v/>
      </c>
      <c r="AA93" s="2" t="str">
        <f t="shared" si="90"/>
        <v/>
      </c>
      <c r="AB93" s="2" t="str">
        <f t="shared" si="90"/>
        <v/>
      </c>
      <c r="AC93" s="2" t="str">
        <f t="shared" si="90"/>
        <v/>
      </c>
      <c r="AD93" s="2" t="str">
        <f t="shared" si="90"/>
        <v/>
      </c>
      <c r="AE93" s="2" t="str">
        <f t="shared" si="90"/>
        <v/>
      </c>
      <c r="AF93" s="2" t="str">
        <f t="shared" si="90"/>
        <v/>
      </c>
      <c r="AG93" s="2" t="str">
        <f t="shared" si="90"/>
        <v/>
      </c>
      <c r="AH93" s="2" t="str">
        <f t="shared" si="90"/>
        <v/>
      </c>
      <c r="AI93" s="18"/>
      <c r="AJ93" s="16"/>
      <c r="AK93" s="16"/>
      <c r="AL93" s="57"/>
      <c r="AM93" s="16"/>
    </row>
    <row r="94" spans="1:39" ht="10.5" customHeight="1" x14ac:dyDescent="0.25">
      <c r="A94" s="16"/>
      <c r="B94" s="2"/>
      <c r="C94" s="16"/>
      <c r="D94" s="2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2" t="str">
        <f t="shared" ref="U94:AH94" si="91">IF(OR(F94=0,F94&lt;0.00001,F94&gt;100000),"",IF((IF(F94&gt;F$5,ABS(LOG(((F$5/SUM($F94:$S94))/(F$4/SUM($F$4:$S$4)))*4+2,2)),ABS(LOG(((F94/SUM($F94:$S94))/(F$4/SUM($F$4:$S$4)))*4+2,2)))-3)&gt;8,(IF(F94&gt;F$5,ABS(LOG(((F$5/SUM($F94:$S94))/(F$4/SUM($F$4:$S$4)))*4+2,2)),ABS(LOG(((F94/SUM($F94:$S94))/(F$4/SUM($F$4:$S$4)))*4+2,2)))-3)/7,IF(F94&gt;F$5,ABS(LOG(((F$5/SUM($F94:$S94))/(F$4/SUM($F$4:$S$4)))*4+2,2)),ABS(LOG(((F94/SUM($F94:$S94))/(F$4/SUM($F$4:$S$4)))*4+2,2)))-3))</f>
        <v/>
      </c>
      <c r="V94" s="2" t="str">
        <f t="shared" si="91"/>
        <v/>
      </c>
      <c r="W94" s="2" t="str">
        <f t="shared" si="91"/>
        <v/>
      </c>
      <c r="X94" s="2" t="str">
        <f t="shared" si="91"/>
        <v/>
      </c>
      <c r="Y94" s="2" t="str">
        <f t="shared" si="91"/>
        <v/>
      </c>
      <c r="Z94" s="2" t="str">
        <f t="shared" si="91"/>
        <v/>
      </c>
      <c r="AA94" s="2" t="str">
        <f t="shared" si="91"/>
        <v/>
      </c>
      <c r="AB94" s="2" t="str">
        <f t="shared" si="91"/>
        <v/>
      </c>
      <c r="AC94" s="2" t="str">
        <f t="shared" si="91"/>
        <v/>
      </c>
      <c r="AD94" s="2" t="str">
        <f t="shared" si="91"/>
        <v/>
      </c>
      <c r="AE94" s="2" t="str">
        <f t="shared" si="91"/>
        <v/>
      </c>
      <c r="AF94" s="2" t="str">
        <f t="shared" si="91"/>
        <v/>
      </c>
      <c r="AG94" s="2" t="str">
        <f t="shared" si="91"/>
        <v/>
      </c>
      <c r="AH94" s="2" t="str">
        <f t="shared" si="91"/>
        <v/>
      </c>
      <c r="AI94" s="18"/>
      <c r="AJ94" s="16"/>
      <c r="AK94" s="16"/>
      <c r="AL94" s="57"/>
      <c r="AM94" s="16"/>
    </row>
    <row r="95" spans="1:39" ht="10.5" customHeight="1" x14ac:dyDescent="0.25">
      <c r="A95" s="16"/>
      <c r="B95" s="2"/>
      <c r="C95" s="16"/>
      <c r="D95" s="2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2" t="str">
        <f t="shared" ref="U95:AH95" si="92">IF(OR(F95=0,F95&lt;0.00001,F95&gt;100000),"",IF((IF(F95&gt;F$5,ABS(LOG(((F$5/SUM($F95:$S95))/(F$4/SUM($F$4:$S$4)))*4+2,2)),ABS(LOG(((F95/SUM($F95:$S95))/(F$4/SUM($F$4:$S$4)))*4+2,2)))-3)&gt;8,(IF(F95&gt;F$5,ABS(LOG(((F$5/SUM($F95:$S95))/(F$4/SUM($F$4:$S$4)))*4+2,2)),ABS(LOG(((F95/SUM($F95:$S95))/(F$4/SUM($F$4:$S$4)))*4+2,2)))-3)/7,IF(F95&gt;F$5,ABS(LOG(((F$5/SUM($F95:$S95))/(F$4/SUM($F$4:$S$4)))*4+2,2)),ABS(LOG(((F95/SUM($F95:$S95))/(F$4/SUM($F$4:$S$4)))*4+2,2)))-3))</f>
        <v/>
      </c>
      <c r="V95" s="2" t="str">
        <f t="shared" si="92"/>
        <v/>
      </c>
      <c r="W95" s="2" t="str">
        <f t="shared" si="92"/>
        <v/>
      </c>
      <c r="X95" s="2" t="str">
        <f t="shared" si="92"/>
        <v/>
      </c>
      <c r="Y95" s="2" t="str">
        <f t="shared" si="92"/>
        <v/>
      </c>
      <c r="Z95" s="2" t="str">
        <f t="shared" si="92"/>
        <v/>
      </c>
      <c r="AA95" s="2" t="str">
        <f t="shared" si="92"/>
        <v/>
      </c>
      <c r="AB95" s="2" t="str">
        <f t="shared" si="92"/>
        <v/>
      </c>
      <c r="AC95" s="2" t="str">
        <f t="shared" si="92"/>
        <v/>
      </c>
      <c r="AD95" s="2" t="str">
        <f t="shared" si="92"/>
        <v/>
      </c>
      <c r="AE95" s="2" t="str">
        <f t="shared" si="92"/>
        <v/>
      </c>
      <c r="AF95" s="2" t="str">
        <f t="shared" si="92"/>
        <v/>
      </c>
      <c r="AG95" s="2" t="str">
        <f t="shared" si="92"/>
        <v/>
      </c>
      <c r="AH95" s="2" t="str">
        <f t="shared" si="92"/>
        <v/>
      </c>
      <c r="AI95" s="18"/>
      <c r="AJ95" s="16"/>
      <c r="AK95" s="16"/>
      <c r="AL95" s="57"/>
      <c r="AM95" s="16"/>
    </row>
    <row r="96" spans="1:39" ht="10.5" customHeight="1" x14ac:dyDescent="0.25">
      <c r="A96" s="16"/>
      <c r="B96" s="2"/>
      <c r="C96" s="16"/>
      <c r="D96" s="2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2" t="str">
        <f t="shared" ref="U96:AH96" si="93">IF(OR(F96=0,F96&lt;0.00001,F96&gt;100000),"",IF((IF(F96&gt;F$5,ABS(LOG(((F$5/SUM($F96:$S96))/(F$4/SUM($F$4:$S$4)))*4+2,2)),ABS(LOG(((F96/SUM($F96:$S96))/(F$4/SUM($F$4:$S$4)))*4+2,2)))-3)&gt;8,(IF(F96&gt;F$5,ABS(LOG(((F$5/SUM($F96:$S96))/(F$4/SUM($F$4:$S$4)))*4+2,2)),ABS(LOG(((F96/SUM($F96:$S96))/(F$4/SUM($F$4:$S$4)))*4+2,2)))-3)/7,IF(F96&gt;F$5,ABS(LOG(((F$5/SUM($F96:$S96))/(F$4/SUM($F$4:$S$4)))*4+2,2)),ABS(LOG(((F96/SUM($F96:$S96))/(F$4/SUM($F$4:$S$4)))*4+2,2)))-3))</f>
        <v/>
      </c>
      <c r="V96" s="2" t="str">
        <f t="shared" si="93"/>
        <v/>
      </c>
      <c r="W96" s="2" t="str">
        <f t="shared" si="93"/>
        <v/>
      </c>
      <c r="X96" s="2" t="str">
        <f t="shared" si="93"/>
        <v/>
      </c>
      <c r="Y96" s="2" t="str">
        <f t="shared" si="93"/>
        <v/>
      </c>
      <c r="Z96" s="2" t="str">
        <f t="shared" si="93"/>
        <v/>
      </c>
      <c r="AA96" s="2" t="str">
        <f t="shared" si="93"/>
        <v/>
      </c>
      <c r="AB96" s="2" t="str">
        <f t="shared" si="93"/>
        <v/>
      </c>
      <c r="AC96" s="2" t="str">
        <f t="shared" si="93"/>
        <v/>
      </c>
      <c r="AD96" s="2" t="str">
        <f t="shared" si="93"/>
        <v/>
      </c>
      <c r="AE96" s="2" t="str">
        <f t="shared" si="93"/>
        <v/>
      </c>
      <c r="AF96" s="2" t="str">
        <f t="shared" si="93"/>
        <v/>
      </c>
      <c r="AG96" s="2" t="str">
        <f t="shared" si="93"/>
        <v/>
      </c>
      <c r="AH96" s="2" t="str">
        <f t="shared" si="93"/>
        <v/>
      </c>
      <c r="AI96" s="18"/>
      <c r="AJ96" s="16"/>
      <c r="AK96" s="16"/>
      <c r="AL96" s="57"/>
      <c r="AM96" s="16"/>
    </row>
    <row r="97" spans="1:39" ht="10.5" customHeight="1" x14ac:dyDescent="0.25">
      <c r="A97" s="16"/>
      <c r="B97" s="2"/>
      <c r="C97" s="16"/>
      <c r="D97" s="2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2" t="str">
        <f t="shared" ref="U97:AH97" si="94">IF(OR(F97=0,F97&lt;0.00001,F97&gt;100000),"",IF((IF(F97&gt;F$5,ABS(LOG(((F$5/SUM($F97:$S97))/(F$4/SUM($F$4:$S$4)))*4+2,2)),ABS(LOG(((F97/SUM($F97:$S97))/(F$4/SUM($F$4:$S$4)))*4+2,2)))-3)&gt;8,(IF(F97&gt;F$5,ABS(LOG(((F$5/SUM($F97:$S97))/(F$4/SUM($F$4:$S$4)))*4+2,2)),ABS(LOG(((F97/SUM($F97:$S97))/(F$4/SUM($F$4:$S$4)))*4+2,2)))-3)/7,IF(F97&gt;F$5,ABS(LOG(((F$5/SUM($F97:$S97))/(F$4/SUM($F$4:$S$4)))*4+2,2)),ABS(LOG(((F97/SUM($F97:$S97))/(F$4/SUM($F$4:$S$4)))*4+2,2)))-3))</f>
        <v/>
      </c>
      <c r="V97" s="2" t="str">
        <f t="shared" si="94"/>
        <v/>
      </c>
      <c r="W97" s="2" t="str">
        <f t="shared" si="94"/>
        <v/>
      </c>
      <c r="X97" s="2" t="str">
        <f t="shared" si="94"/>
        <v/>
      </c>
      <c r="Y97" s="2" t="str">
        <f t="shared" si="94"/>
        <v/>
      </c>
      <c r="Z97" s="2" t="str">
        <f t="shared" si="94"/>
        <v/>
      </c>
      <c r="AA97" s="2" t="str">
        <f t="shared" si="94"/>
        <v/>
      </c>
      <c r="AB97" s="2" t="str">
        <f t="shared" si="94"/>
        <v/>
      </c>
      <c r="AC97" s="2" t="str">
        <f t="shared" si="94"/>
        <v/>
      </c>
      <c r="AD97" s="2" t="str">
        <f t="shared" si="94"/>
        <v/>
      </c>
      <c r="AE97" s="2" t="str">
        <f t="shared" si="94"/>
        <v/>
      </c>
      <c r="AF97" s="2" t="str">
        <f t="shared" si="94"/>
        <v/>
      </c>
      <c r="AG97" s="2" t="str">
        <f t="shared" si="94"/>
        <v/>
      </c>
      <c r="AH97" s="2" t="str">
        <f t="shared" si="94"/>
        <v/>
      </c>
      <c r="AI97" s="18"/>
      <c r="AJ97" s="16"/>
      <c r="AK97" s="16"/>
      <c r="AL97" s="57"/>
      <c r="AM97" s="16"/>
    </row>
    <row r="98" spans="1:39" ht="10.5" customHeight="1" x14ac:dyDescent="0.25">
      <c r="A98" s="16"/>
      <c r="B98" s="2"/>
      <c r="C98" s="16"/>
      <c r="D98" s="2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2" t="str">
        <f t="shared" ref="U98:AH98" si="95">IF(OR(F98=0,F98&lt;0.00001,F98&gt;100000),"",IF((IF(F98&gt;F$5,ABS(LOG(((F$5/SUM($F98:$S98))/(F$4/SUM($F$4:$S$4)))*4+2,2)),ABS(LOG(((F98/SUM($F98:$S98))/(F$4/SUM($F$4:$S$4)))*4+2,2)))-3)&gt;8,(IF(F98&gt;F$5,ABS(LOG(((F$5/SUM($F98:$S98))/(F$4/SUM($F$4:$S$4)))*4+2,2)),ABS(LOG(((F98/SUM($F98:$S98))/(F$4/SUM($F$4:$S$4)))*4+2,2)))-3)/7,IF(F98&gt;F$5,ABS(LOG(((F$5/SUM($F98:$S98))/(F$4/SUM($F$4:$S$4)))*4+2,2)),ABS(LOG(((F98/SUM($F98:$S98))/(F$4/SUM($F$4:$S$4)))*4+2,2)))-3))</f>
        <v/>
      </c>
      <c r="V98" s="2" t="str">
        <f t="shared" si="95"/>
        <v/>
      </c>
      <c r="W98" s="2" t="str">
        <f t="shared" si="95"/>
        <v/>
      </c>
      <c r="X98" s="2" t="str">
        <f t="shared" si="95"/>
        <v/>
      </c>
      <c r="Y98" s="2" t="str">
        <f t="shared" si="95"/>
        <v/>
      </c>
      <c r="Z98" s="2" t="str">
        <f t="shared" si="95"/>
        <v/>
      </c>
      <c r="AA98" s="2" t="str">
        <f t="shared" si="95"/>
        <v/>
      </c>
      <c r="AB98" s="2" t="str">
        <f t="shared" si="95"/>
        <v/>
      </c>
      <c r="AC98" s="2" t="str">
        <f t="shared" si="95"/>
        <v/>
      </c>
      <c r="AD98" s="2" t="str">
        <f t="shared" si="95"/>
        <v/>
      </c>
      <c r="AE98" s="2" t="str">
        <f t="shared" si="95"/>
        <v/>
      </c>
      <c r="AF98" s="2" t="str">
        <f t="shared" si="95"/>
        <v/>
      </c>
      <c r="AG98" s="2" t="str">
        <f t="shared" si="95"/>
        <v/>
      </c>
      <c r="AH98" s="2" t="str">
        <f t="shared" si="95"/>
        <v/>
      </c>
      <c r="AI98" s="18"/>
      <c r="AJ98" s="16"/>
      <c r="AK98" s="16"/>
      <c r="AL98" s="57"/>
      <c r="AM98" s="16"/>
    </row>
    <row r="99" spans="1:39" ht="10.5" customHeight="1" x14ac:dyDescent="0.25">
      <c r="A99" s="16"/>
      <c r="B99" s="2"/>
      <c r="C99" s="16"/>
      <c r="D99" s="2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2" t="str">
        <f t="shared" ref="U99:AH99" si="96">IF(OR(F99=0,F99&lt;0.00001,F99&gt;100000),"",IF((IF(F99&gt;F$5,ABS(LOG(((F$5/SUM($F99:$S99))/(F$4/SUM($F$4:$S$4)))*4+2,2)),ABS(LOG(((F99/SUM($F99:$S99))/(F$4/SUM($F$4:$S$4)))*4+2,2)))-3)&gt;8,(IF(F99&gt;F$5,ABS(LOG(((F$5/SUM($F99:$S99))/(F$4/SUM($F$4:$S$4)))*4+2,2)),ABS(LOG(((F99/SUM($F99:$S99))/(F$4/SUM($F$4:$S$4)))*4+2,2)))-3)/7,IF(F99&gt;F$5,ABS(LOG(((F$5/SUM($F99:$S99))/(F$4/SUM($F$4:$S$4)))*4+2,2)),ABS(LOG(((F99/SUM($F99:$S99))/(F$4/SUM($F$4:$S$4)))*4+2,2)))-3))</f>
        <v/>
      </c>
      <c r="V99" s="2" t="str">
        <f t="shared" si="96"/>
        <v/>
      </c>
      <c r="W99" s="2" t="str">
        <f t="shared" si="96"/>
        <v/>
      </c>
      <c r="X99" s="2" t="str">
        <f t="shared" si="96"/>
        <v/>
      </c>
      <c r="Y99" s="2" t="str">
        <f t="shared" si="96"/>
        <v/>
      </c>
      <c r="Z99" s="2" t="str">
        <f t="shared" si="96"/>
        <v/>
      </c>
      <c r="AA99" s="2" t="str">
        <f t="shared" si="96"/>
        <v/>
      </c>
      <c r="AB99" s="2" t="str">
        <f t="shared" si="96"/>
        <v/>
      </c>
      <c r="AC99" s="2" t="str">
        <f t="shared" si="96"/>
        <v/>
      </c>
      <c r="AD99" s="2" t="str">
        <f t="shared" si="96"/>
        <v/>
      </c>
      <c r="AE99" s="2" t="str">
        <f t="shared" si="96"/>
        <v/>
      </c>
      <c r="AF99" s="2" t="str">
        <f t="shared" si="96"/>
        <v/>
      </c>
      <c r="AG99" s="2" t="str">
        <f t="shared" si="96"/>
        <v/>
      </c>
      <c r="AH99" s="2" t="str">
        <f t="shared" si="96"/>
        <v/>
      </c>
      <c r="AI99" s="18"/>
      <c r="AJ99" s="16"/>
      <c r="AK99" s="16"/>
      <c r="AL99" s="57"/>
      <c r="AM99" s="16"/>
    </row>
    <row r="100" spans="1:39" ht="10.5" customHeight="1" x14ac:dyDescent="0.25">
      <c r="A100" s="16"/>
      <c r="B100" s="2"/>
      <c r="C100" s="16"/>
      <c r="D100" s="2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2" t="str">
        <f t="shared" ref="U100:AH100" si="97">IF(OR(F100=0,F100&lt;0.00001,F100&gt;100000),"",IF((IF(F100&gt;F$5,ABS(LOG(((F$5/SUM($F100:$S100))/(F$4/SUM($F$4:$S$4)))*4+2,2)),ABS(LOG(((F100/SUM($F100:$S100))/(F$4/SUM($F$4:$S$4)))*4+2,2)))-3)&gt;8,(IF(F100&gt;F$5,ABS(LOG(((F$5/SUM($F100:$S100))/(F$4/SUM($F$4:$S$4)))*4+2,2)),ABS(LOG(((F100/SUM($F100:$S100))/(F$4/SUM($F$4:$S$4)))*4+2,2)))-3)/7,IF(F100&gt;F$5,ABS(LOG(((F$5/SUM($F100:$S100))/(F$4/SUM($F$4:$S$4)))*4+2,2)),ABS(LOG(((F100/SUM($F100:$S100))/(F$4/SUM($F$4:$S$4)))*4+2,2)))-3))</f>
        <v/>
      </c>
      <c r="V100" s="2" t="str">
        <f t="shared" si="97"/>
        <v/>
      </c>
      <c r="W100" s="2" t="str">
        <f t="shared" si="97"/>
        <v/>
      </c>
      <c r="X100" s="2" t="str">
        <f t="shared" si="97"/>
        <v/>
      </c>
      <c r="Y100" s="2" t="str">
        <f t="shared" si="97"/>
        <v/>
      </c>
      <c r="Z100" s="2" t="str">
        <f t="shared" si="97"/>
        <v/>
      </c>
      <c r="AA100" s="2" t="str">
        <f t="shared" si="97"/>
        <v/>
      </c>
      <c r="AB100" s="2" t="str">
        <f t="shared" si="97"/>
        <v/>
      </c>
      <c r="AC100" s="2" t="str">
        <f t="shared" si="97"/>
        <v/>
      </c>
      <c r="AD100" s="2" t="str">
        <f t="shared" si="97"/>
        <v/>
      </c>
      <c r="AE100" s="2" t="str">
        <f t="shared" si="97"/>
        <v/>
      </c>
      <c r="AF100" s="2" t="str">
        <f t="shared" si="97"/>
        <v/>
      </c>
      <c r="AG100" s="2" t="str">
        <f t="shared" si="97"/>
        <v/>
      </c>
      <c r="AH100" s="2" t="str">
        <f t="shared" si="97"/>
        <v/>
      </c>
      <c r="AI100" s="18"/>
      <c r="AJ100" s="16"/>
      <c r="AK100" s="16"/>
      <c r="AL100" s="57"/>
      <c r="AM100" s="16"/>
    </row>
    <row r="101" spans="1:39" ht="10.5" customHeight="1" x14ac:dyDescent="0.25">
      <c r="A101" s="16"/>
      <c r="B101" s="2"/>
      <c r="C101" s="16"/>
      <c r="D101" s="2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2" t="str">
        <f t="shared" ref="U101:AH101" si="98">IF(OR(F101=0,F101&lt;0.00001,F101&gt;100000),"",IF((IF(F101&gt;F$5,ABS(LOG(((F$5/SUM($F101:$S101))/(F$4/SUM($F$4:$S$4)))*4+2,2)),ABS(LOG(((F101/SUM($F101:$S101))/(F$4/SUM($F$4:$S$4)))*4+2,2)))-3)&gt;8,(IF(F101&gt;F$5,ABS(LOG(((F$5/SUM($F101:$S101))/(F$4/SUM($F$4:$S$4)))*4+2,2)),ABS(LOG(((F101/SUM($F101:$S101))/(F$4/SUM($F$4:$S$4)))*4+2,2)))-3)/7,IF(F101&gt;F$5,ABS(LOG(((F$5/SUM($F101:$S101))/(F$4/SUM($F$4:$S$4)))*4+2,2)),ABS(LOG(((F101/SUM($F101:$S101))/(F$4/SUM($F$4:$S$4)))*4+2,2)))-3))</f>
        <v/>
      </c>
      <c r="V101" s="2" t="str">
        <f t="shared" si="98"/>
        <v/>
      </c>
      <c r="W101" s="2" t="str">
        <f t="shared" si="98"/>
        <v/>
      </c>
      <c r="X101" s="2" t="str">
        <f t="shared" si="98"/>
        <v/>
      </c>
      <c r="Y101" s="2" t="str">
        <f t="shared" si="98"/>
        <v/>
      </c>
      <c r="Z101" s="2" t="str">
        <f t="shared" si="98"/>
        <v/>
      </c>
      <c r="AA101" s="2" t="str">
        <f t="shared" si="98"/>
        <v/>
      </c>
      <c r="AB101" s="2" t="str">
        <f t="shared" si="98"/>
        <v/>
      </c>
      <c r="AC101" s="2" t="str">
        <f t="shared" si="98"/>
        <v/>
      </c>
      <c r="AD101" s="2" t="str">
        <f t="shared" si="98"/>
        <v/>
      </c>
      <c r="AE101" s="2" t="str">
        <f t="shared" si="98"/>
        <v/>
      </c>
      <c r="AF101" s="2" t="str">
        <f t="shared" si="98"/>
        <v/>
      </c>
      <c r="AG101" s="2" t="str">
        <f t="shared" si="98"/>
        <v/>
      </c>
      <c r="AH101" s="2" t="str">
        <f t="shared" si="98"/>
        <v/>
      </c>
      <c r="AI101" s="18"/>
      <c r="AJ101" s="16"/>
      <c r="AK101" s="16"/>
      <c r="AL101" s="57"/>
      <c r="AM101" s="16"/>
    </row>
    <row r="102" spans="1:39" ht="10.5" customHeight="1" x14ac:dyDescent="0.25">
      <c r="A102" s="16"/>
      <c r="B102" s="2"/>
      <c r="C102" s="16"/>
      <c r="D102" s="2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2" t="str">
        <f t="shared" ref="U102:AH102" si="99">IF(OR(F102=0,F102&lt;0.00001,F102&gt;100000),"",IF((IF(F102&gt;F$5,ABS(LOG(((F$5/SUM($F102:$S102))/(F$4/SUM($F$4:$S$4)))*4+2,2)),ABS(LOG(((F102/SUM($F102:$S102))/(F$4/SUM($F$4:$S$4)))*4+2,2)))-3)&gt;8,(IF(F102&gt;F$5,ABS(LOG(((F$5/SUM($F102:$S102))/(F$4/SUM($F$4:$S$4)))*4+2,2)),ABS(LOG(((F102/SUM($F102:$S102))/(F$4/SUM($F$4:$S$4)))*4+2,2)))-3)/7,IF(F102&gt;F$5,ABS(LOG(((F$5/SUM($F102:$S102))/(F$4/SUM($F$4:$S$4)))*4+2,2)),ABS(LOG(((F102/SUM($F102:$S102))/(F$4/SUM($F$4:$S$4)))*4+2,2)))-3))</f>
        <v/>
      </c>
      <c r="V102" s="2" t="str">
        <f t="shared" si="99"/>
        <v/>
      </c>
      <c r="W102" s="2" t="str">
        <f t="shared" si="99"/>
        <v/>
      </c>
      <c r="X102" s="2" t="str">
        <f t="shared" si="99"/>
        <v/>
      </c>
      <c r="Y102" s="2" t="str">
        <f t="shared" si="99"/>
        <v/>
      </c>
      <c r="Z102" s="2" t="str">
        <f t="shared" si="99"/>
        <v/>
      </c>
      <c r="AA102" s="2" t="str">
        <f t="shared" si="99"/>
        <v/>
      </c>
      <c r="AB102" s="2" t="str">
        <f t="shared" si="99"/>
        <v/>
      </c>
      <c r="AC102" s="2" t="str">
        <f t="shared" si="99"/>
        <v/>
      </c>
      <c r="AD102" s="2" t="str">
        <f t="shared" si="99"/>
        <v/>
      </c>
      <c r="AE102" s="2" t="str">
        <f t="shared" si="99"/>
        <v/>
      </c>
      <c r="AF102" s="2" t="str">
        <f t="shared" si="99"/>
        <v/>
      </c>
      <c r="AG102" s="2" t="str">
        <f t="shared" si="99"/>
        <v/>
      </c>
      <c r="AH102" s="2" t="str">
        <f t="shared" si="99"/>
        <v/>
      </c>
      <c r="AI102" s="18"/>
      <c r="AJ102" s="16"/>
      <c r="AK102" s="16"/>
      <c r="AL102" s="57"/>
      <c r="AM102" s="16"/>
    </row>
    <row r="103" spans="1:39" ht="10.5" customHeight="1" x14ac:dyDescent="0.25">
      <c r="A103" s="16"/>
      <c r="B103" s="2"/>
      <c r="C103" s="16"/>
      <c r="D103" s="2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2" t="str">
        <f t="shared" ref="U103:AH103" si="100">IF(OR(F103=0,F103&lt;0.00001,F103&gt;100000),"",IF((IF(F103&gt;F$5,ABS(LOG(((F$5/SUM($F103:$S103))/(F$4/SUM($F$4:$S$4)))*4+2,2)),ABS(LOG(((F103/SUM($F103:$S103))/(F$4/SUM($F$4:$S$4)))*4+2,2)))-3)&gt;8,(IF(F103&gt;F$5,ABS(LOG(((F$5/SUM($F103:$S103))/(F$4/SUM($F$4:$S$4)))*4+2,2)),ABS(LOG(((F103/SUM($F103:$S103))/(F$4/SUM($F$4:$S$4)))*4+2,2)))-3)/7,IF(F103&gt;F$5,ABS(LOG(((F$5/SUM($F103:$S103))/(F$4/SUM($F$4:$S$4)))*4+2,2)),ABS(LOG(((F103/SUM($F103:$S103))/(F$4/SUM($F$4:$S$4)))*4+2,2)))-3))</f>
        <v/>
      </c>
      <c r="V103" s="2" t="str">
        <f t="shared" si="100"/>
        <v/>
      </c>
      <c r="W103" s="2" t="str">
        <f t="shared" si="100"/>
        <v/>
      </c>
      <c r="X103" s="2" t="str">
        <f t="shared" si="100"/>
        <v/>
      </c>
      <c r="Y103" s="2" t="str">
        <f t="shared" si="100"/>
        <v/>
      </c>
      <c r="Z103" s="2" t="str">
        <f t="shared" si="100"/>
        <v/>
      </c>
      <c r="AA103" s="2" t="str">
        <f t="shared" si="100"/>
        <v/>
      </c>
      <c r="AB103" s="2" t="str">
        <f t="shared" si="100"/>
        <v/>
      </c>
      <c r="AC103" s="2" t="str">
        <f t="shared" si="100"/>
        <v/>
      </c>
      <c r="AD103" s="2" t="str">
        <f t="shared" si="100"/>
        <v/>
      </c>
      <c r="AE103" s="2" t="str">
        <f t="shared" si="100"/>
        <v/>
      </c>
      <c r="AF103" s="2" t="str">
        <f t="shared" si="100"/>
        <v/>
      </c>
      <c r="AG103" s="2" t="str">
        <f t="shared" si="100"/>
        <v/>
      </c>
      <c r="AH103" s="2" t="str">
        <f t="shared" si="100"/>
        <v/>
      </c>
      <c r="AI103" s="18"/>
      <c r="AJ103" s="16"/>
      <c r="AK103" s="16"/>
      <c r="AL103" s="57"/>
      <c r="AM103" s="16"/>
    </row>
    <row r="104" spans="1:39" ht="10.5" customHeight="1" x14ac:dyDescent="0.25">
      <c r="A104" s="16"/>
      <c r="B104" s="2"/>
      <c r="C104" s="16"/>
      <c r="D104" s="2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2" t="str">
        <f t="shared" ref="U104:AH104" si="101">IF(OR(F104=0,F104&lt;0.00001,F104&gt;100000),"",IF((IF(F104&gt;F$5,ABS(LOG(((F$5/SUM($F104:$S104))/(F$4/SUM($F$4:$S$4)))*4+2,2)),ABS(LOG(((F104/SUM($F104:$S104))/(F$4/SUM($F$4:$S$4)))*4+2,2)))-3)&gt;8,(IF(F104&gt;F$5,ABS(LOG(((F$5/SUM($F104:$S104))/(F$4/SUM($F$4:$S$4)))*4+2,2)),ABS(LOG(((F104/SUM($F104:$S104))/(F$4/SUM($F$4:$S$4)))*4+2,2)))-3)/7,IF(F104&gt;F$5,ABS(LOG(((F$5/SUM($F104:$S104))/(F$4/SUM($F$4:$S$4)))*4+2,2)),ABS(LOG(((F104/SUM($F104:$S104))/(F$4/SUM($F$4:$S$4)))*4+2,2)))-3))</f>
        <v/>
      </c>
      <c r="V104" s="2" t="str">
        <f t="shared" si="101"/>
        <v/>
      </c>
      <c r="W104" s="2" t="str">
        <f t="shared" si="101"/>
        <v/>
      </c>
      <c r="X104" s="2" t="str">
        <f t="shared" si="101"/>
        <v/>
      </c>
      <c r="Y104" s="2" t="str">
        <f t="shared" si="101"/>
        <v/>
      </c>
      <c r="Z104" s="2" t="str">
        <f t="shared" si="101"/>
        <v/>
      </c>
      <c r="AA104" s="2" t="str">
        <f t="shared" si="101"/>
        <v/>
      </c>
      <c r="AB104" s="2" t="str">
        <f t="shared" si="101"/>
        <v/>
      </c>
      <c r="AC104" s="2" t="str">
        <f t="shared" si="101"/>
        <v/>
      </c>
      <c r="AD104" s="2" t="str">
        <f t="shared" si="101"/>
        <v/>
      </c>
      <c r="AE104" s="2" t="str">
        <f t="shared" si="101"/>
        <v/>
      </c>
      <c r="AF104" s="2" t="str">
        <f t="shared" si="101"/>
        <v/>
      </c>
      <c r="AG104" s="2" t="str">
        <f t="shared" si="101"/>
        <v/>
      </c>
      <c r="AH104" s="2" t="str">
        <f t="shared" si="101"/>
        <v/>
      </c>
      <c r="AI104" s="18"/>
      <c r="AJ104" s="16"/>
      <c r="AK104" s="16"/>
      <c r="AL104" s="57"/>
      <c r="AM104" s="16"/>
    </row>
    <row r="105" spans="1:39" ht="10.5" customHeight="1" x14ac:dyDescent="0.25">
      <c r="A105" s="16"/>
      <c r="B105" s="2"/>
      <c r="C105" s="16"/>
      <c r="D105" s="2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2" t="str">
        <f t="shared" ref="U105:AH105" si="102">IF(OR(F105=0,F105&lt;0.00001,F105&gt;100000),"",IF((IF(F105&gt;F$5,ABS(LOG(((F$5/SUM($F105:$S105))/(F$4/SUM($F$4:$S$4)))*4+2,2)),ABS(LOG(((F105/SUM($F105:$S105))/(F$4/SUM($F$4:$S$4)))*4+2,2)))-3)&gt;8,(IF(F105&gt;F$5,ABS(LOG(((F$5/SUM($F105:$S105))/(F$4/SUM($F$4:$S$4)))*4+2,2)),ABS(LOG(((F105/SUM($F105:$S105))/(F$4/SUM($F$4:$S$4)))*4+2,2)))-3)/7,IF(F105&gt;F$5,ABS(LOG(((F$5/SUM($F105:$S105))/(F$4/SUM($F$4:$S$4)))*4+2,2)),ABS(LOG(((F105/SUM($F105:$S105))/(F$4/SUM($F$4:$S$4)))*4+2,2)))-3))</f>
        <v/>
      </c>
      <c r="V105" s="2" t="str">
        <f t="shared" si="102"/>
        <v/>
      </c>
      <c r="W105" s="2" t="str">
        <f t="shared" si="102"/>
        <v/>
      </c>
      <c r="X105" s="2" t="str">
        <f t="shared" si="102"/>
        <v/>
      </c>
      <c r="Y105" s="2" t="str">
        <f t="shared" si="102"/>
        <v/>
      </c>
      <c r="Z105" s="2" t="str">
        <f t="shared" si="102"/>
        <v/>
      </c>
      <c r="AA105" s="2" t="str">
        <f t="shared" si="102"/>
        <v/>
      </c>
      <c r="AB105" s="2" t="str">
        <f t="shared" si="102"/>
        <v/>
      </c>
      <c r="AC105" s="2" t="str">
        <f t="shared" si="102"/>
        <v/>
      </c>
      <c r="AD105" s="2" t="str">
        <f t="shared" si="102"/>
        <v/>
      </c>
      <c r="AE105" s="2" t="str">
        <f t="shared" si="102"/>
        <v/>
      </c>
      <c r="AF105" s="2" t="str">
        <f t="shared" si="102"/>
        <v/>
      </c>
      <c r="AG105" s="2" t="str">
        <f t="shared" si="102"/>
        <v/>
      </c>
      <c r="AH105" s="2" t="str">
        <f t="shared" si="102"/>
        <v/>
      </c>
      <c r="AI105" s="18"/>
      <c r="AJ105" s="16"/>
      <c r="AK105" s="16"/>
      <c r="AL105" s="57"/>
      <c r="AM105" s="16"/>
    </row>
    <row r="106" spans="1:39" ht="10.5" customHeight="1" x14ac:dyDescent="0.25">
      <c r="A106" s="16"/>
      <c r="B106" s="2"/>
      <c r="C106" s="16"/>
      <c r="D106" s="2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2" t="str">
        <f t="shared" ref="U106:AH106" si="103">IF(OR(F106=0,F106&lt;0.00001,F106&gt;100000),"",IF((IF(F106&gt;F$5,ABS(LOG(((F$5/SUM($F106:$S106))/(F$4/SUM($F$4:$S$4)))*4+2,2)),ABS(LOG(((F106/SUM($F106:$S106))/(F$4/SUM($F$4:$S$4)))*4+2,2)))-3)&gt;8,(IF(F106&gt;F$5,ABS(LOG(((F$5/SUM($F106:$S106))/(F$4/SUM($F$4:$S$4)))*4+2,2)),ABS(LOG(((F106/SUM($F106:$S106))/(F$4/SUM($F$4:$S$4)))*4+2,2)))-3)/7,IF(F106&gt;F$5,ABS(LOG(((F$5/SUM($F106:$S106))/(F$4/SUM($F$4:$S$4)))*4+2,2)),ABS(LOG(((F106/SUM($F106:$S106))/(F$4/SUM($F$4:$S$4)))*4+2,2)))-3))</f>
        <v/>
      </c>
      <c r="V106" s="2" t="str">
        <f t="shared" si="103"/>
        <v/>
      </c>
      <c r="W106" s="2" t="str">
        <f t="shared" si="103"/>
        <v/>
      </c>
      <c r="X106" s="2" t="str">
        <f t="shared" si="103"/>
        <v/>
      </c>
      <c r="Y106" s="2" t="str">
        <f t="shared" si="103"/>
        <v/>
      </c>
      <c r="Z106" s="2" t="str">
        <f t="shared" si="103"/>
        <v/>
      </c>
      <c r="AA106" s="2" t="str">
        <f t="shared" si="103"/>
        <v/>
      </c>
      <c r="AB106" s="2" t="str">
        <f t="shared" si="103"/>
        <v/>
      </c>
      <c r="AC106" s="2" t="str">
        <f t="shared" si="103"/>
        <v/>
      </c>
      <c r="AD106" s="2" t="str">
        <f t="shared" si="103"/>
        <v/>
      </c>
      <c r="AE106" s="2" t="str">
        <f t="shared" si="103"/>
        <v/>
      </c>
      <c r="AF106" s="2" t="str">
        <f t="shared" si="103"/>
        <v/>
      </c>
      <c r="AG106" s="2" t="str">
        <f t="shared" si="103"/>
        <v/>
      </c>
      <c r="AH106" s="2" t="str">
        <f t="shared" si="103"/>
        <v/>
      </c>
      <c r="AI106" s="18"/>
      <c r="AJ106" s="16"/>
      <c r="AK106" s="16"/>
      <c r="AL106" s="57"/>
      <c r="AM106" s="16"/>
    </row>
    <row r="107" spans="1:39" ht="10.5" customHeight="1" x14ac:dyDescent="0.25">
      <c r="A107" s="16"/>
      <c r="B107" s="2"/>
      <c r="C107" s="16"/>
      <c r="D107" s="2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2" t="str">
        <f t="shared" ref="U107:AH107" si="104">IF(OR(F107=0,F107&lt;0.00001,F107&gt;100000),"",IF((IF(F107&gt;F$5,ABS(LOG(((F$5/SUM($F107:$S107))/(F$4/SUM($F$4:$S$4)))*4+2,2)),ABS(LOG(((F107/SUM($F107:$S107))/(F$4/SUM($F$4:$S$4)))*4+2,2)))-3)&gt;8,(IF(F107&gt;F$5,ABS(LOG(((F$5/SUM($F107:$S107))/(F$4/SUM($F$4:$S$4)))*4+2,2)),ABS(LOG(((F107/SUM($F107:$S107))/(F$4/SUM($F$4:$S$4)))*4+2,2)))-3)/7,IF(F107&gt;F$5,ABS(LOG(((F$5/SUM($F107:$S107))/(F$4/SUM($F$4:$S$4)))*4+2,2)),ABS(LOG(((F107/SUM($F107:$S107))/(F$4/SUM($F$4:$S$4)))*4+2,2)))-3))</f>
        <v/>
      </c>
      <c r="V107" s="2" t="str">
        <f t="shared" si="104"/>
        <v/>
      </c>
      <c r="W107" s="2" t="str">
        <f t="shared" si="104"/>
        <v/>
      </c>
      <c r="X107" s="2" t="str">
        <f t="shared" si="104"/>
        <v/>
      </c>
      <c r="Y107" s="2" t="str">
        <f t="shared" si="104"/>
        <v/>
      </c>
      <c r="Z107" s="2" t="str">
        <f t="shared" si="104"/>
        <v/>
      </c>
      <c r="AA107" s="2" t="str">
        <f t="shared" si="104"/>
        <v/>
      </c>
      <c r="AB107" s="2" t="str">
        <f t="shared" si="104"/>
        <v/>
      </c>
      <c r="AC107" s="2" t="str">
        <f t="shared" si="104"/>
        <v/>
      </c>
      <c r="AD107" s="2" t="str">
        <f t="shared" si="104"/>
        <v/>
      </c>
      <c r="AE107" s="2" t="str">
        <f t="shared" si="104"/>
        <v/>
      </c>
      <c r="AF107" s="2" t="str">
        <f t="shared" si="104"/>
        <v/>
      </c>
      <c r="AG107" s="2" t="str">
        <f t="shared" si="104"/>
        <v/>
      </c>
      <c r="AH107" s="2" t="str">
        <f t="shared" si="104"/>
        <v/>
      </c>
      <c r="AI107" s="18"/>
      <c r="AJ107" s="16"/>
      <c r="AK107" s="16"/>
      <c r="AL107" s="57"/>
      <c r="AM107" s="16"/>
    </row>
    <row r="108" spans="1:39" ht="10.5" customHeight="1" x14ac:dyDescent="0.25">
      <c r="A108" s="16"/>
      <c r="B108" s="2"/>
      <c r="C108" s="16"/>
      <c r="D108" s="2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2" t="str">
        <f t="shared" ref="U108:AH108" si="105">IF(OR(F108=0,F108&lt;0.00001,F108&gt;100000),"",IF((IF(F108&gt;F$5,ABS(LOG(((F$5/SUM($F108:$S108))/(F$4/SUM($F$4:$S$4)))*4+2,2)),ABS(LOG(((F108/SUM($F108:$S108))/(F$4/SUM($F$4:$S$4)))*4+2,2)))-3)&gt;8,(IF(F108&gt;F$5,ABS(LOG(((F$5/SUM($F108:$S108))/(F$4/SUM($F$4:$S$4)))*4+2,2)),ABS(LOG(((F108/SUM($F108:$S108))/(F$4/SUM($F$4:$S$4)))*4+2,2)))-3)/7,IF(F108&gt;F$5,ABS(LOG(((F$5/SUM($F108:$S108))/(F$4/SUM($F$4:$S$4)))*4+2,2)),ABS(LOG(((F108/SUM($F108:$S108))/(F$4/SUM($F$4:$S$4)))*4+2,2)))-3))</f>
        <v/>
      </c>
      <c r="V108" s="2" t="str">
        <f t="shared" si="105"/>
        <v/>
      </c>
      <c r="W108" s="2" t="str">
        <f t="shared" si="105"/>
        <v/>
      </c>
      <c r="X108" s="2" t="str">
        <f t="shared" si="105"/>
        <v/>
      </c>
      <c r="Y108" s="2" t="str">
        <f t="shared" si="105"/>
        <v/>
      </c>
      <c r="Z108" s="2" t="str">
        <f t="shared" si="105"/>
        <v/>
      </c>
      <c r="AA108" s="2" t="str">
        <f t="shared" si="105"/>
        <v/>
      </c>
      <c r="AB108" s="2" t="str">
        <f t="shared" si="105"/>
        <v/>
      </c>
      <c r="AC108" s="2" t="str">
        <f t="shared" si="105"/>
        <v/>
      </c>
      <c r="AD108" s="2" t="str">
        <f t="shared" si="105"/>
        <v/>
      </c>
      <c r="AE108" s="2" t="str">
        <f t="shared" si="105"/>
        <v/>
      </c>
      <c r="AF108" s="2" t="str">
        <f t="shared" si="105"/>
        <v/>
      </c>
      <c r="AG108" s="2" t="str">
        <f t="shared" si="105"/>
        <v/>
      </c>
      <c r="AH108" s="2" t="str">
        <f t="shared" si="105"/>
        <v/>
      </c>
      <c r="AI108" s="18"/>
      <c r="AJ108" s="16"/>
      <c r="AK108" s="16"/>
      <c r="AL108" s="57"/>
      <c r="AM108" s="16"/>
    </row>
    <row r="109" spans="1:39" ht="10.5" customHeight="1" x14ac:dyDescent="0.25">
      <c r="A109" s="16"/>
      <c r="B109" s="2"/>
      <c r="C109" s="16"/>
      <c r="D109" s="2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2" t="str">
        <f t="shared" ref="U109:AH109" si="106">IF(OR(F109=0,F109&lt;0.00001,F109&gt;100000),"",IF((IF(F109&gt;F$5,ABS(LOG(((F$5/SUM($F109:$S109))/(F$4/SUM($F$4:$S$4)))*4+2,2)),ABS(LOG(((F109/SUM($F109:$S109))/(F$4/SUM($F$4:$S$4)))*4+2,2)))-3)&gt;8,(IF(F109&gt;F$5,ABS(LOG(((F$5/SUM($F109:$S109))/(F$4/SUM($F$4:$S$4)))*4+2,2)),ABS(LOG(((F109/SUM($F109:$S109))/(F$4/SUM($F$4:$S$4)))*4+2,2)))-3)/7,IF(F109&gt;F$5,ABS(LOG(((F$5/SUM($F109:$S109))/(F$4/SUM($F$4:$S$4)))*4+2,2)),ABS(LOG(((F109/SUM($F109:$S109))/(F$4/SUM($F$4:$S$4)))*4+2,2)))-3))</f>
        <v/>
      </c>
      <c r="V109" s="2" t="str">
        <f t="shared" si="106"/>
        <v/>
      </c>
      <c r="W109" s="2" t="str">
        <f t="shared" si="106"/>
        <v/>
      </c>
      <c r="X109" s="2" t="str">
        <f t="shared" si="106"/>
        <v/>
      </c>
      <c r="Y109" s="2" t="str">
        <f t="shared" si="106"/>
        <v/>
      </c>
      <c r="Z109" s="2" t="str">
        <f t="shared" si="106"/>
        <v/>
      </c>
      <c r="AA109" s="2" t="str">
        <f t="shared" si="106"/>
        <v/>
      </c>
      <c r="AB109" s="2" t="str">
        <f t="shared" si="106"/>
        <v/>
      </c>
      <c r="AC109" s="2" t="str">
        <f t="shared" si="106"/>
        <v/>
      </c>
      <c r="AD109" s="2" t="str">
        <f t="shared" si="106"/>
        <v/>
      </c>
      <c r="AE109" s="2" t="str">
        <f t="shared" si="106"/>
        <v/>
      </c>
      <c r="AF109" s="2" t="str">
        <f t="shared" si="106"/>
        <v/>
      </c>
      <c r="AG109" s="2" t="str">
        <f t="shared" si="106"/>
        <v/>
      </c>
      <c r="AH109" s="2" t="str">
        <f t="shared" si="106"/>
        <v/>
      </c>
      <c r="AI109" s="18"/>
      <c r="AJ109" s="16"/>
      <c r="AK109" s="16"/>
      <c r="AL109" s="57"/>
      <c r="AM109" s="16"/>
    </row>
    <row r="110" spans="1:39" ht="10.5" customHeight="1" x14ac:dyDescent="0.25">
      <c r="A110" s="16"/>
      <c r="B110" s="2"/>
      <c r="C110" s="16"/>
      <c r="D110" s="2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2" t="str">
        <f t="shared" ref="U110:AH110" si="107">IF(OR(F110=0,F110&lt;0.00001,F110&gt;100000),"",IF((IF(F110&gt;F$5,ABS(LOG(((F$5/SUM($F110:$S110))/(F$4/SUM($F$4:$S$4)))*4+2,2)),ABS(LOG(((F110/SUM($F110:$S110))/(F$4/SUM($F$4:$S$4)))*4+2,2)))-3)&gt;8,(IF(F110&gt;F$5,ABS(LOG(((F$5/SUM($F110:$S110))/(F$4/SUM($F$4:$S$4)))*4+2,2)),ABS(LOG(((F110/SUM($F110:$S110))/(F$4/SUM($F$4:$S$4)))*4+2,2)))-3)/7,IF(F110&gt;F$5,ABS(LOG(((F$5/SUM($F110:$S110))/(F$4/SUM($F$4:$S$4)))*4+2,2)),ABS(LOG(((F110/SUM($F110:$S110))/(F$4/SUM($F$4:$S$4)))*4+2,2)))-3))</f>
        <v/>
      </c>
      <c r="V110" s="2" t="str">
        <f t="shared" si="107"/>
        <v/>
      </c>
      <c r="W110" s="2" t="str">
        <f t="shared" si="107"/>
        <v/>
      </c>
      <c r="X110" s="2" t="str">
        <f t="shared" si="107"/>
        <v/>
      </c>
      <c r="Y110" s="2" t="str">
        <f t="shared" si="107"/>
        <v/>
      </c>
      <c r="Z110" s="2" t="str">
        <f t="shared" si="107"/>
        <v/>
      </c>
      <c r="AA110" s="2" t="str">
        <f t="shared" si="107"/>
        <v/>
      </c>
      <c r="AB110" s="2" t="str">
        <f t="shared" si="107"/>
        <v/>
      </c>
      <c r="AC110" s="2" t="str">
        <f t="shared" si="107"/>
        <v/>
      </c>
      <c r="AD110" s="2" t="str">
        <f t="shared" si="107"/>
        <v/>
      </c>
      <c r="AE110" s="2" t="str">
        <f t="shared" si="107"/>
        <v/>
      </c>
      <c r="AF110" s="2" t="str">
        <f t="shared" si="107"/>
        <v/>
      </c>
      <c r="AG110" s="2" t="str">
        <f t="shared" si="107"/>
        <v/>
      </c>
      <c r="AH110" s="2" t="str">
        <f t="shared" si="107"/>
        <v/>
      </c>
      <c r="AI110" s="18"/>
      <c r="AJ110" s="16"/>
      <c r="AK110" s="16"/>
      <c r="AL110" s="57"/>
      <c r="AM110" s="16"/>
    </row>
    <row r="111" spans="1:39" ht="10.5" customHeight="1" x14ac:dyDescent="0.25">
      <c r="A111" s="16"/>
      <c r="B111" s="2"/>
      <c r="C111" s="16"/>
      <c r="D111" s="2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2" t="str">
        <f t="shared" ref="U111:AH111" si="108">IF(OR(F111=0,F111&lt;0.00001,F111&gt;100000),"",IF((IF(F111&gt;F$5,ABS(LOG(((F$5/SUM($F111:$S111))/(F$4/SUM($F$4:$S$4)))*4+2,2)),ABS(LOG(((F111/SUM($F111:$S111))/(F$4/SUM($F$4:$S$4)))*4+2,2)))-3)&gt;8,(IF(F111&gt;F$5,ABS(LOG(((F$5/SUM($F111:$S111))/(F$4/SUM($F$4:$S$4)))*4+2,2)),ABS(LOG(((F111/SUM($F111:$S111))/(F$4/SUM($F$4:$S$4)))*4+2,2)))-3)/7,IF(F111&gt;F$5,ABS(LOG(((F$5/SUM($F111:$S111))/(F$4/SUM($F$4:$S$4)))*4+2,2)),ABS(LOG(((F111/SUM($F111:$S111))/(F$4/SUM($F$4:$S$4)))*4+2,2)))-3))</f>
        <v/>
      </c>
      <c r="V111" s="2" t="str">
        <f t="shared" si="108"/>
        <v/>
      </c>
      <c r="W111" s="2" t="str">
        <f t="shared" si="108"/>
        <v/>
      </c>
      <c r="X111" s="2" t="str">
        <f t="shared" si="108"/>
        <v/>
      </c>
      <c r="Y111" s="2" t="str">
        <f t="shared" si="108"/>
        <v/>
      </c>
      <c r="Z111" s="2" t="str">
        <f t="shared" si="108"/>
        <v/>
      </c>
      <c r="AA111" s="2" t="str">
        <f t="shared" si="108"/>
        <v/>
      </c>
      <c r="AB111" s="2" t="str">
        <f t="shared" si="108"/>
        <v/>
      </c>
      <c r="AC111" s="2" t="str">
        <f t="shared" si="108"/>
        <v/>
      </c>
      <c r="AD111" s="2" t="str">
        <f t="shared" si="108"/>
        <v/>
      </c>
      <c r="AE111" s="2" t="str">
        <f t="shared" si="108"/>
        <v/>
      </c>
      <c r="AF111" s="2" t="str">
        <f t="shared" si="108"/>
        <v/>
      </c>
      <c r="AG111" s="2" t="str">
        <f t="shared" si="108"/>
        <v/>
      </c>
      <c r="AH111" s="2" t="str">
        <f t="shared" si="108"/>
        <v/>
      </c>
      <c r="AI111" s="18"/>
      <c r="AJ111" s="16"/>
      <c r="AK111" s="16"/>
      <c r="AL111" s="57"/>
      <c r="AM111" s="16"/>
    </row>
    <row r="112" spans="1:39" ht="10.5" customHeight="1" x14ac:dyDescent="0.25">
      <c r="A112" s="16"/>
      <c r="B112" s="2"/>
      <c r="C112" s="16"/>
      <c r="D112" s="2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2" t="str">
        <f t="shared" ref="U112:AH112" si="109">IF(OR(F112=0,F112&lt;0.00001,F112&gt;100000),"",IF((IF(F112&gt;F$5,ABS(LOG(((F$5/SUM($F112:$S112))/(F$4/SUM($F$4:$S$4)))*4+2,2)),ABS(LOG(((F112/SUM($F112:$S112))/(F$4/SUM($F$4:$S$4)))*4+2,2)))-3)&gt;8,(IF(F112&gt;F$5,ABS(LOG(((F$5/SUM($F112:$S112))/(F$4/SUM($F$4:$S$4)))*4+2,2)),ABS(LOG(((F112/SUM($F112:$S112))/(F$4/SUM($F$4:$S$4)))*4+2,2)))-3)/7,IF(F112&gt;F$5,ABS(LOG(((F$5/SUM($F112:$S112))/(F$4/SUM($F$4:$S$4)))*4+2,2)),ABS(LOG(((F112/SUM($F112:$S112))/(F$4/SUM($F$4:$S$4)))*4+2,2)))-3))</f>
        <v/>
      </c>
      <c r="V112" s="2" t="str">
        <f t="shared" si="109"/>
        <v/>
      </c>
      <c r="W112" s="2" t="str">
        <f t="shared" si="109"/>
        <v/>
      </c>
      <c r="X112" s="2" t="str">
        <f t="shared" si="109"/>
        <v/>
      </c>
      <c r="Y112" s="2" t="str">
        <f t="shared" si="109"/>
        <v/>
      </c>
      <c r="Z112" s="2" t="str">
        <f t="shared" si="109"/>
        <v/>
      </c>
      <c r="AA112" s="2" t="str">
        <f t="shared" si="109"/>
        <v/>
      </c>
      <c r="AB112" s="2" t="str">
        <f t="shared" si="109"/>
        <v/>
      </c>
      <c r="AC112" s="2" t="str">
        <f t="shared" si="109"/>
        <v/>
      </c>
      <c r="AD112" s="2" t="str">
        <f t="shared" si="109"/>
        <v/>
      </c>
      <c r="AE112" s="2" t="str">
        <f t="shared" si="109"/>
        <v/>
      </c>
      <c r="AF112" s="2" t="str">
        <f t="shared" si="109"/>
        <v/>
      </c>
      <c r="AG112" s="2" t="str">
        <f t="shared" si="109"/>
        <v/>
      </c>
      <c r="AH112" s="2" t="str">
        <f t="shared" si="109"/>
        <v/>
      </c>
      <c r="AI112" s="18"/>
      <c r="AJ112" s="16"/>
      <c r="AK112" s="16"/>
      <c r="AL112" s="57"/>
      <c r="AM112" s="16"/>
    </row>
    <row r="113" spans="1:39" ht="10.5" customHeight="1" x14ac:dyDescent="0.25">
      <c r="A113" s="16"/>
      <c r="B113" s="2"/>
      <c r="C113" s="16"/>
      <c r="D113" s="2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2" t="str">
        <f t="shared" ref="U113:AH113" si="110">IF(OR(F113=0,F113&lt;0.00001,F113&gt;100000),"",IF((IF(F113&gt;F$5,ABS(LOG(((F$5/SUM($F113:$S113))/(F$4/SUM($F$4:$S$4)))*4+2,2)),ABS(LOG(((F113/SUM($F113:$S113))/(F$4/SUM($F$4:$S$4)))*4+2,2)))-3)&gt;8,(IF(F113&gt;F$5,ABS(LOG(((F$5/SUM($F113:$S113))/(F$4/SUM($F$4:$S$4)))*4+2,2)),ABS(LOG(((F113/SUM($F113:$S113))/(F$4/SUM($F$4:$S$4)))*4+2,2)))-3)/7,IF(F113&gt;F$5,ABS(LOG(((F$5/SUM($F113:$S113))/(F$4/SUM($F$4:$S$4)))*4+2,2)),ABS(LOG(((F113/SUM($F113:$S113))/(F$4/SUM($F$4:$S$4)))*4+2,2)))-3))</f>
        <v/>
      </c>
      <c r="V113" s="2" t="str">
        <f t="shared" si="110"/>
        <v/>
      </c>
      <c r="W113" s="2" t="str">
        <f t="shared" si="110"/>
        <v/>
      </c>
      <c r="X113" s="2" t="str">
        <f t="shared" si="110"/>
        <v/>
      </c>
      <c r="Y113" s="2" t="str">
        <f t="shared" si="110"/>
        <v/>
      </c>
      <c r="Z113" s="2" t="str">
        <f t="shared" si="110"/>
        <v/>
      </c>
      <c r="AA113" s="2" t="str">
        <f t="shared" si="110"/>
        <v/>
      </c>
      <c r="AB113" s="2" t="str">
        <f t="shared" si="110"/>
        <v/>
      </c>
      <c r="AC113" s="2" t="str">
        <f t="shared" si="110"/>
        <v/>
      </c>
      <c r="AD113" s="2" t="str">
        <f t="shared" si="110"/>
        <v/>
      </c>
      <c r="AE113" s="2" t="str">
        <f t="shared" si="110"/>
        <v/>
      </c>
      <c r="AF113" s="2" t="str">
        <f t="shared" si="110"/>
        <v/>
      </c>
      <c r="AG113" s="2" t="str">
        <f t="shared" si="110"/>
        <v/>
      </c>
      <c r="AH113" s="2" t="str">
        <f t="shared" si="110"/>
        <v/>
      </c>
      <c r="AI113" s="18"/>
      <c r="AJ113" s="16"/>
      <c r="AK113" s="16"/>
      <c r="AL113" s="57"/>
      <c r="AM113" s="16"/>
    </row>
    <row r="114" spans="1:39" ht="10.5" customHeight="1" x14ac:dyDescent="0.25">
      <c r="A114" s="16"/>
      <c r="B114" s="2"/>
      <c r="C114" s="16"/>
      <c r="D114" s="2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18"/>
      <c r="AJ114" s="16"/>
      <c r="AK114" s="16"/>
      <c r="AL114" s="57"/>
      <c r="AM114" s="16"/>
    </row>
    <row r="115" spans="1:39" ht="10.5" customHeight="1" x14ac:dyDescent="0.25">
      <c r="A115" s="16"/>
      <c r="B115" s="2"/>
      <c r="C115" s="16"/>
      <c r="D115" s="2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18"/>
      <c r="AJ115" s="16"/>
      <c r="AK115" s="16"/>
      <c r="AL115" s="57"/>
      <c r="AM115" s="16"/>
    </row>
    <row r="116" spans="1:39" ht="10.5" customHeight="1" x14ac:dyDescent="0.25">
      <c r="A116" s="16"/>
      <c r="B116" s="2"/>
      <c r="C116" s="16"/>
      <c r="D116" s="2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18"/>
      <c r="AJ116" s="16"/>
      <c r="AK116" s="16"/>
      <c r="AL116" s="57"/>
      <c r="AM116" s="16"/>
    </row>
    <row r="117" spans="1:39" ht="10.5" customHeight="1" x14ac:dyDescent="0.25">
      <c r="A117" s="16"/>
      <c r="B117" s="2"/>
      <c r="C117" s="16"/>
      <c r="D117" s="2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18"/>
      <c r="AJ117" s="16"/>
      <c r="AK117" s="16"/>
      <c r="AL117" s="57"/>
      <c r="AM117" s="16"/>
    </row>
    <row r="118" spans="1:39" ht="10.5" customHeight="1" x14ac:dyDescent="0.25">
      <c r="A118" s="16"/>
      <c r="B118" s="2"/>
      <c r="C118" s="16"/>
      <c r="D118" s="2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18"/>
      <c r="AJ118" s="16"/>
      <c r="AK118" s="16"/>
      <c r="AL118" s="57"/>
      <c r="AM118" s="16"/>
    </row>
    <row r="119" spans="1:39" ht="10.5" customHeight="1" x14ac:dyDescent="0.25">
      <c r="A119" s="16"/>
      <c r="B119" s="2"/>
      <c r="C119" s="16"/>
      <c r="D119" s="2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18"/>
      <c r="AJ119" s="16"/>
      <c r="AK119" s="16"/>
      <c r="AL119" s="57"/>
      <c r="AM119" s="16"/>
    </row>
    <row r="120" spans="1:39" ht="10.5" customHeight="1" x14ac:dyDescent="0.25">
      <c r="A120" s="16"/>
      <c r="B120" s="2"/>
      <c r="C120" s="16"/>
      <c r="D120" s="2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18"/>
      <c r="AJ120" s="16"/>
      <c r="AK120" s="16"/>
      <c r="AL120" s="57"/>
      <c r="AM120" s="16"/>
    </row>
    <row r="121" spans="1:39" ht="10.5" customHeight="1" x14ac:dyDescent="0.25">
      <c r="A121" s="16"/>
      <c r="B121" s="2"/>
      <c r="C121" s="16"/>
      <c r="D121" s="2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18"/>
      <c r="AJ121" s="16"/>
      <c r="AK121" s="16"/>
      <c r="AL121" s="57"/>
      <c r="AM121" s="16"/>
    </row>
    <row r="122" spans="1:39" ht="10.5" customHeight="1" x14ac:dyDescent="0.25">
      <c r="A122" s="16"/>
      <c r="B122" s="2"/>
      <c r="C122" s="16"/>
      <c r="D122" s="2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18"/>
      <c r="AJ122" s="16"/>
      <c r="AK122" s="16"/>
      <c r="AL122" s="57"/>
      <c r="AM122" s="16"/>
    </row>
    <row r="123" spans="1:39" ht="10.5" customHeight="1" x14ac:dyDescent="0.25">
      <c r="A123" s="16"/>
      <c r="B123" s="2"/>
      <c r="C123" s="16"/>
      <c r="D123" s="2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18"/>
      <c r="AJ123" s="16"/>
      <c r="AK123" s="16"/>
      <c r="AL123" s="57"/>
      <c r="AM123" s="16"/>
    </row>
    <row r="124" spans="1:39" ht="10.5" customHeight="1" x14ac:dyDescent="0.25">
      <c r="A124" s="16"/>
      <c r="B124" s="2"/>
      <c r="C124" s="16"/>
      <c r="D124" s="2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18"/>
      <c r="AJ124" s="16"/>
      <c r="AK124" s="16"/>
      <c r="AL124" s="57"/>
      <c r="AM124" s="16"/>
    </row>
    <row r="125" spans="1:39" ht="10.5" customHeight="1" x14ac:dyDescent="0.25">
      <c r="A125" s="16"/>
      <c r="B125" s="2"/>
      <c r="C125" s="16"/>
      <c r="D125" s="2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18"/>
      <c r="AJ125" s="16"/>
      <c r="AK125" s="16"/>
      <c r="AL125" s="57"/>
      <c r="AM125" s="16"/>
    </row>
    <row r="126" spans="1:39" ht="10.5" customHeight="1" x14ac:dyDescent="0.25">
      <c r="A126" s="16"/>
      <c r="B126" s="2"/>
      <c r="C126" s="16"/>
      <c r="D126" s="2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18"/>
      <c r="AJ126" s="16"/>
      <c r="AK126" s="16"/>
      <c r="AL126" s="57"/>
      <c r="AM126" s="16"/>
    </row>
    <row r="127" spans="1:39" ht="10.5" customHeight="1" x14ac:dyDescent="0.25">
      <c r="A127" s="16"/>
      <c r="B127" s="2"/>
      <c r="C127" s="16"/>
      <c r="D127" s="2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18"/>
      <c r="AJ127" s="16"/>
      <c r="AK127" s="16"/>
      <c r="AL127" s="57"/>
      <c r="AM127" s="16"/>
    </row>
    <row r="128" spans="1:39" ht="10.5" customHeight="1" x14ac:dyDescent="0.25">
      <c r="A128" s="16"/>
      <c r="B128" s="2"/>
      <c r="C128" s="16"/>
      <c r="D128" s="2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18"/>
      <c r="AJ128" s="16"/>
      <c r="AK128" s="16"/>
      <c r="AL128" s="57"/>
      <c r="AM128" s="16"/>
    </row>
    <row r="129" spans="1:39" ht="10.5" customHeight="1" x14ac:dyDescent="0.25">
      <c r="A129" s="16"/>
      <c r="B129" s="2"/>
      <c r="C129" s="16"/>
      <c r="D129" s="2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18"/>
      <c r="AJ129" s="16"/>
      <c r="AK129" s="16"/>
      <c r="AL129" s="57"/>
      <c r="AM129" s="16"/>
    </row>
    <row r="130" spans="1:39" ht="10.5" customHeight="1" x14ac:dyDescent="0.25">
      <c r="A130" s="16"/>
      <c r="B130" s="2"/>
      <c r="C130" s="16"/>
      <c r="D130" s="2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18"/>
      <c r="AJ130" s="16"/>
      <c r="AK130" s="16"/>
      <c r="AL130" s="57"/>
      <c r="AM130" s="16"/>
    </row>
    <row r="131" spans="1:39" ht="10.5" customHeight="1" x14ac:dyDescent="0.25">
      <c r="A131" s="16"/>
      <c r="B131" s="2"/>
      <c r="C131" s="16"/>
      <c r="D131" s="2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18"/>
      <c r="AJ131" s="16"/>
      <c r="AK131" s="16"/>
      <c r="AL131" s="57"/>
      <c r="AM131" s="16"/>
    </row>
    <row r="132" spans="1:39" ht="10.5" customHeight="1" x14ac:dyDescent="0.25">
      <c r="A132" s="16"/>
      <c r="B132" s="2"/>
      <c r="C132" s="16"/>
      <c r="D132" s="2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18"/>
      <c r="AJ132" s="16"/>
      <c r="AK132" s="16"/>
      <c r="AL132" s="57"/>
      <c r="AM132" s="16"/>
    </row>
    <row r="133" spans="1:39" ht="10.5" customHeight="1" x14ac:dyDescent="0.25">
      <c r="A133" s="16"/>
      <c r="B133" s="2"/>
      <c r="C133" s="16"/>
      <c r="D133" s="2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18"/>
      <c r="AJ133" s="16"/>
      <c r="AK133" s="16"/>
      <c r="AL133" s="57"/>
      <c r="AM133" s="16"/>
    </row>
    <row r="134" spans="1:39" ht="10.5" customHeight="1" x14ac:dyDescent="0.25">
      <c r="A134" s="16"/>
      <c r="B134" s="2"/>
      <c r="C134" s="16"/>
      <c r="D134" s="2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18"/>
      <c r="AJ134" s="16"/>
      <c r="AK134" s="16"/>
      <c r="AL134" s="57"/>
      <c r="AM134" s="16"/>
    </row>
    <row r="135" spans="1:39" ht="10.5" customHeight="1" x14ac:dyDescent="0.25">
      <c r="A135" s="16"/>
      <c r="B135" s="2"/>
      <c r="C135" s="16"/>
      <c r="D135" s="2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18"/>
      <c r="AJ135" s="16"/>
      <c r="AK135" s="16"/>
      <c r="AL135" s="57"/>
      <c r="AM135" s="16"/>
    </row>
    <row r="136" spans="1:39" ht="10.5" customHeight="1" x14ac:dyDescent="0.25">
      <c r="A136" s="16"/>
      <c r="B136" s="2"/>
      <c r="C136" s="16"/>
      <c r="D136" s="2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18"/>
      <c r="AJ136" s="16"/>
      <c r="AK136" s="16"/>
      <c r="AL136" s="57"/>
      <c r="AM136" s="16"/>
    </row>
    <row r="137" spans="1:39" ht="10.5" customHeight="1" x14ac:dyDescent="0.25">
      <c r="A137" s="16"/>
      <c r="B137" s="2"/>
      <c r="C137" s="16"/>
      <c r="D137" s="2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18"/>
      <c r="AJ137" s="16"/>
      <c r="AK137" s="16"/>
      <c r="AL137" s="57"/>
      <c r="AM137" s="16"/>
    </row>
    <row r="138" spans="1:39" ht="10.5" customHeight="1" x14ac:dyDescent="0.25">
      <c r="A138" s="16"/>
      <c r="B138" s="2"/>
      <c r="C138" s="16"/>
      <c r="D138" s="2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18"/>
      <c r="AJ138" s="16"/>
      <c r="AK138" s="16"/>
      <c r="AL138" s="57"/>
      <c r="AM138" s="16"/>
    </row>
    <row r="139" spans="1:39" ht="10.5" customHeight="1" x14ac:dyDescent="0.25">
      <c r="A139" s="16"/>
      <c r="B139" s="2"/>
      <c r="C139" s="16"/>
      <c r="D139" s="2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18"/>
      <c r="AJ139" s="16"/>
      <c r="AK139" s="16"/>
      <c r="AL139" s="57"/>
      <c r="AM139" s="16"/>
    </row>
    <row r="140" spans="1:39" ht="10.5" customHeight="1" x14ac:dyDescent="0.25">
      <c r="A140" s="16"/>
      <c r="B140" s="2"/>
      <c r="C140" s="16"/>
      <c r="D140" s="2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18"/>
      <c r="AJ140" s="16"/>
      <c r="AK140" s="16"/>
      <c r="AL140" s="57"/>
      <c r="AM140" s="16"/>
    </row>
    <row r="141" spans="1:39" ht="10.5" customHeight="1" x14ac:dyDescent="0.25">
      <c r="A141" s="16"/>
      <c r="B141" s="2"/>
      <c r="C141" s="16"/>
      <c r="D141" s="2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18"/>
      <c r="AJ141" s="16"/>
      <c r="AK141" s="16"/>
      <c r="AL141" s="57"/>
      <c r="AM141" s="16"/>
    </row>
    <row r="142" spans="1:39" ht="10.5" customHeight="1" x14ac:dyDescent="0.25">
      <c r="A142" s="16"/>
      <c r="B142" s="2"/>
      <c r="C142" s="16"/>
      <c r="D142" s="2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18"/>
      <c r="AJ142" s="16"/>
      <c r="AK142" s="16"/>
      <c r="AL142" s="57"/>
      <c r="AM142" s="16"/>
    </row>
    <row r="143" spans="1:39" ht="10.5" customHeight="1" x14ac:dyDescent="0.25">
      <c r="A143" s="16"/>
      <c r="B143" s="2"/>
      <c r="C143" s="16"/>
      <c r="D143" s="2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18"/>
      <c r="AJ143" s="16"/>
      <c r="AK143" s="16"/>
      <c r="AL143" s="57"/>
      <c r="AM143" s="16"/>
    </row>
    <row r="144" spans="1:39" ht="10.5" customHeight="1" x14ac:dyDescent="0.25">
      <c r="A144" s="16"/>
      <c r="B144" s="2"/>
      <c r="C144" s="16"/>
      <c r="D144" s="2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18"/>
      <c r="AJ144" s="16"/>
      <c r="AK144" s="16"/>
      <c r="AL144" s="57"/>
      <c r="AM144" s="16"/>
    </row>
    <row r="145" spans="1:39" ht="10.5" customHeight="1" x14ac:dyDescent="0.25">
      <c r="A145" s="16"/>
      <c r="B145" s="2"/>
      <c r="C145" s="16"/>
      <c r="D145" s="2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18"/>
      <c r="AJ145" s="16"/>
      <c r="AK145" s="16"/>
      <c r="AL145" s="57"/>
      <c r="AM145" s="16"/>
    </row>
    <row r="146" spans="1:39" ht="10.5" customHeight="1" x14ac:dyDescent="0.25">
      <c r="A146" s="16"/>
      <c r="B146" s="2"/>
      <c r="C146" s="16"/>
      <c r="D146" s="2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18"/>
      <c r="AJ146" s="16"/>
      <c r="AK146" s="16"/>
      <c r="AL146" s="57"/>
      <c r="AM146" s="16"/>
    </row>
    <row r="147" spans="1:39" ht="10.5" customHeight="1" x14ac:dyDescent="0.25">
      <c r="A147" s="16"/>
      <c r="B147" s="2"/>
      <c r="C147" s="16"/>
      <c r="D147" s="2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18"/>
      <c r="AJ147" s="16"/>
      <c r="AK147" s="16"/>
      <c r="AL147" s="57"/>
      <c r="AM147" s="16"/>
    </row>
    <row r="148" spans="1:39" ht="10.5" customHeight="1" x14ac:dyDescent="0.25">
      <c r="A148" s="16"/>
      <c r="B148" s="2"/>
      <c r="C148" s="16"/>
      <c r="D148" s="2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18"/>
      <c r="AJ148" s="16"/>
      <c r="AK148" s="16"/>
      <c r="AL148" s="57"/>
      <c r="AM148" s="16"/>
    </row>
    <row r="149" spans="1:39" ht="10.5" customHeight="1" x14ac:dyDescent="0.25">
      <c r="A149" s="16"/>
      <c r="B149" s="2"/>
      <c r="C149" s="16"/>
      <c r="D149" s="2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18"/>
      <c r="AJ149" s="16"/>
      <c r="AK149" s="16"/>
      <c r="AL149" s="57"/>
      <c r="AM149" s="16"/>
    </row>
    <row r="150" spans="1:39" ht="10.5" customHeight="1" x14ac:dyDescent="0.25">
      <c r="A150" s="16"/>
      <c r="B150" s="2"/>
      <c r="C150" s="16"/>
      <c r="D150" s="2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18"/>
      <c r="AJ150" s="16"/>
      <c r="AK150" s="16"/>
      <c r="AL150" s="57"/>
      <c r="AM150" s="16"/>
    </row>
    <row r="151" spans="1:39" ht="10.5" customHeight="1" x14ac:dyDescent="0.25">
      <c r="A151" s="16"/>
      <c r="B151" s="2"/>
      <c r="C151" s="16"/>
      <c r="D151" s="2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18"/>
      <c r="AJ151" s="16"/>
      <c r="AK151" s="16"/>
      <c r="AL151" s="57"/>
      <c r="AM151" s="16"/>
    </row>
    <row r="152" spans="1:39" ht="10.5" customHeight="1" x14ac:dyDescent="0.25">
      <c r="A152" s="16"/>
      <c r="B152" s="2"/>
      <c r="C152" s="16"/>
      <c r="D152" s="2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18"/>
      <c r="AJ152" s="16"/>
      <c r="AK152" s="16"/>
      <c r="AL152" s="57"/>
      <c r="AM152" s="16"/>
    </row>
    <row r="153" spans="1:39" ht="10.5" customHeight="1" x14ac:dyDescent="0.25">
      <c r="A153" s="16"/>
      <c r="B153" s="2"/>
      <c r="C153" s="16"/>
      <c r="D153" s="2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18"/>
      <c r="AJ153" s="16"/>
      <c r="AK153" s="16"/>
      <c r="AL153" s="57"/>
      <c r="AM153" s="16"/>
    </row>
    <row r="154" spans="1:39" ht="10.5" customHeight="1" x14ac:dyDescent="0.25">
      <c r="A154" s="16"/>
      <c r="B154" s="2"/>
      <c r="C154" s="16"/>
      <c r="D154" s="2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18"/>
      <c r="AJ154" s="16"/>
      <c r="AK154" s="16"/>
      <c r="AL154" s="57"/>
      <c r="AM154" s="16"/>
    </row>
    <row r="155" spans="1:39" ht="10.5" customHeight="1" x14ac:dyDescent="0.25">
      <c r="A155" s="16"/>
      <c r="B155" s="2"/>
      <c r="C155" s="16"/>
      <c r="D155" s="2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18"/>
      <c r="AJ155" s="16"/>
      <c r="AK155" s="16"/>
      <c r="AL155" s="57"/>
      <c r="AM155" s="16"/>
    </row>
    <row r="156" spans="1:39" ht="10.5" customHeight="1" x14ac:dyDescent="0.25">
      <c r="A156" s="16"/>
      <c r="B156" s="2"/>
      <c r="C156" s="16"/>
      <c r="D156" s="2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18"/>
      <c r="AJ156" s="16"/>
      <c r="AK156" s="16"/>
      <c r="AL156" s="57"/>
      <c r="AM156" s="16"/>
    </row>
    <row r="157" spans="1:39" ht="10.5" customHeight="1" x14ac:dyDescent="0.25">
      <c r="A157" s="16"/>
      <c r="B157" s="2"/>
      <c r="C157" s="16"/>
      <c r="D157" s="2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18"/>
      <c r="AJ157" s="16"/>
      <c r="AK157" s="16"/>
      <c r="AL157" s="57"/>
      <c r="AM157" s="16"/>
    </row>
    <row r="158" spans="1:39" ht="10.5" customHeight="1" x14ac:dyDescent="0.25">
      <c r="A158" s="16"/>
      <c r="B158" s="2"/>
      <c r="C158" s="16"/>
      <c r="D158" s="2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18"/>
      <c r="AJ158" s="16"/>
      <c r="AK158" s="16"/>
      <c r="AL158" s="57"/>
      <c r="AM158" s="16"/>
    </row>
    <row r="159" spans="1:39" ht="10.5" customHeight="1" x14ac:dyDescent="0.25">
      <c r="A159" s="16"/>
      <c r="B159" s="2"/>
      <c r="C159" s="16"/>
      <c r="D159" s="2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18"/>
      <c r="AJ159" s="16"/>
      <c r="AK159" s="16"/>
      <c r="AL159" s="57"/>
      <c r="AM159" s="16"/>
    </row>
    <row r="160" spans="1:39" ht="10.5" customHeight="1" x14ac:dyDescent="0.25">
      <c r="A160" s="16"/>
      <c r="B160" s="2"/>
      <c r="C160" s="16"/>
      <c r="D160" s="2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18"/>
      <c r="AJ160" s="16"/>
      <c r="AK160" s="16"/>
      <c r="AL160" s="57"/>
      <c r="AM160" s="16"/>
    </row>
    <row r="161" spans="1:39" ht="10.5" customHeight="1" x14ac:dyDescent="0.25">
      <c r="A161" s="16"/>
      <c r="B161" s="2"/>
      <c r="C161" s="16"/>
      <c r="D161" s="2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18"/>
      <c r="AJ161" s="16"/>
      <c r="AK161" s="16"/>
      <c r="AL161" s="57"/>
      <c r="AM161" s="16"/>
    </row>
    <row r="162" spans="1:39" ht="10.5" customHeight="1" x14ac:dyDescent="0.25">
      <c r="A162" s="16"/>
      <c r="B162" s="2"/>
      <c r="C162" s="16"/>
      <c r="D162" s="2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18"/>
      <c r="AJ162" s="16"/>
      <c r="AK162" s="16"/>
      <c r="AL162" s="57"/>
      <c r="AM162" s="16"/>
    </row>
    <row r="163" spans="1:39" ht="10.5" customHeight="1" x14ac:dyDescent="0.25">
      <c r="A163" s="16"/>
      <c r="B163" s="2"/>
      <c r="C163" s="16"/>
      <c r="D163" s="2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18"/>
      <c r="AJ163" s="16"/>
      <c r="AK163" s="16"/>
      <c r="AL163" s="57"/>
      <c r="AM163" s="16"/>
    </row>
    <row r="164" spans="1:39" ht="10.5" customHeight="1" x14ac:dyDescent="0.25">
      <c r="A164" s="16"/>
      <c r="B164" s="2"/>
      <c r="C164" s="16"/>
      <c r="D164" s="2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18"/>
      <c r="AJ164" s="16"/>
      <c r="AK164" s="16"/>
      <c r="AL164" s="57"/>
      <c r="AM164" s="16"/>
    </row>
    <row r="165" spans="1:39" ht="10.5" customHeight="1" x14ac:dyDescent="0.25">
      <c r="A165" s="16"/>
      <c r="B165" s="2"/>
      <c r="C165" s="16"/>
      <c r="D165" s="2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18"/>
      <c r="AJ165" s="16"/>
      <c r="AK165" s="16"/>
      <c r="AL165" s="57"/>
      <c r="AM165" s="16"/>
    </row>
    <row r="166" spans="1:39" ht="10.5" customHeight="1" x14ac:dyDescent="0.25">
      <c r="A166" s="16"/>
      <c r="B166" s="2"/>
      <c r="C166" s="16"/>
      <c r="D166" s="2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18"/>
      <c r="AJ166" s="16"/>
      <c r="AK166" s="16"/>
      <c r="AL166" s="57"/>
      <c r="AM166" s="16"/>
    </row>
    <row r="167" spans="1:39" ht="10.5" customHeight="1" x14ac:dyDescent="0.25">
      <c r="A167" s="16"/>
      <c r="B167" s="2"/>
      <c r="C167" s="16"/>
      <c r="D167" s="2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18"/>
      <c r="AJ167" s="16"/>
      <c r="AK167" s="16"/>
      <c r="AL167" s="57"/>
      <c r="AM167" s="16"/>
    </row>
    <row r="168" spans="1:39" ht="10.5" customHeight="1" x14ac:dyDescent="0.25">
      <c r="A168" s="16"/>
      <c r="B168" s="2"/>
      <c r="C168" s="16"/>
      <c r="D168" s="2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18"/>
      <c r="AJ168" s="16"/>
      <c r="AK168" s="16"/>
      <c r="AL168" s="57"/>
      <c r="AM168" s="16"/>
    </row>
    <row r="169" spans="1:39" ht="10.5" customHeight="1" x14ac:dyDescent="0.25">
      <c r="A169" s="16"/>
      <c r="B169" s="2"/>
      <c r="C169" s="16"/>
      <c r="D169" s="2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18"/>
      <c r="AJ169" s="16"/>
      <c r="AK169" s="16"/>
      <c r="AL169" s="57"/>
      <c r="AM169" s="16"/>
    </row>
    <row r="170" spans="1:39" ht="10.5" customHeight="1" x14ac:dyDescent="0.25">
      <c r="A170" s="16"/>
      <c r="B170" s="2"/>
      <c r="C170" s="16"/>
      <c r="D170" s="2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18"/>
      <c r="AJ170" s="16"/>
      <c r="AK170" s="16"/>
      <c r="AL170" s="57"/>
      <c r="AM170" s="16"/>
    </row>
    <row r="171" spans="1:39" ht="10.5" customHeight="1" x14ac:dyDescent="0.25">
      <c r="A171" s="16"/>
      <c r="B171" s="2"/>
      <c r="C171" s="16"/>
      <c r="D171" s="2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18"/>
      <c r="AJ171" s="16"/>
      <c r="AK171" s="16"/>
      <c r="AL171" s="57"/>
      <c r="AM171" s="16"/>
    </row>
    <row r="172" spans="1:39" ht="10.5" customHeight="1" x14ac:dyDescent="0.25">
      <c r="A172" s="16"/>
      <c r="B172" s="2"/>
      <c r="C172" s="16"/>
      <c r="D172" s="2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18"/>
      <c r="AJ172" s="16"/>
      <c r="AK172" s="16"/>
      <c r="AL172" s="57"/>
      <c r="AM172" s="16"/>
    </row>
    <row r="173" spans="1:39" ht="10.5" customHeight="1" x14ac:dyDescent="0.25">
      <c r="A173" s="16"/>
      <c r="B173" s="2"/>
      <c r="C173" s="16"/>
      <c r="D173" s="2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18"/>
      <c r="AJ173" s="16"/>
      <c r="AK173" s="16"/>
      <c r="AL173" s="57"/>
      <c r="AM173" s="16"/>
    </row>
    <row r="174" spans="1:39" ht="10.5" customHeight="1" x14ac:dyDescent="0.25">
      <c r="A174" s="16"/>
      <c r="B174" s="2"/>
      <c r="C174" s="16"/>
      <c r="D174" s="2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18"/>
      <c r="AJ174" s="16"/>
      <c r="AK174" s="16"/>
      <c r="AL174" s="57"/>
      <c r="AM174" s="16"/>
    </row>
    <row r="175" spans="1:39" ht="10.5" customHeight="1" x14ac:dyDescent="0.25">
      <c r="A175" s="16"/>
      <c r="B175" s="2"/>
      <c r="C175" s="16"/>
      <c r="D175" s="2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18"/>
      <c r="AJ175" s="16"/>
      <c r="AK175" s="16"/>
      <c r="AL175" s="57"/>
      <c r="AM175" s="16"/>
    </row>
    <row r="176" spans="1:39" ht="10.5" customHeight="1" x14ac:dyDescent="0.25">
      <c r="A176" s="16"/>
      <c r="B176" s="2"/>
      <c r="C176" s="16"/>
      <c r="D176" s="2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18"/>
      <c r="AJ176" s="16"/>
      <c r="AK176" s="16"/>
      <c r="AL176" s="57"/>
      <c r="AM176" s="16"/>
    </row>
    <row r="177" spans="1:39" ht="10.5" customHeight="1" x14ac:dyDescent="0.25">
      <c r="A177" s="16"/>
      <c r="B177" s="2"/>
      <c r="C177" s="16"/>
      <c r="D177" s="2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18"/>
      <c r="AJ177" s="16"/>
      <c r="AK177" s="16"/>
      <c r="AL177" s="57"/>
      <c r="AM177" s="16"/>
    </row>
    <row r="178" spans="1:39" ht="10.5" customHeight="1" x14ac:dyDescent="0.25">
      <c r="A178" s="16"/>
      <c r="B178" s="2"/>
      <c r="C178" s="16"/>
      <c r="D178" s="2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18"/>
      <c r="AJ178" s="16"/>
      <c r="AK178" s="16"/>
      <c r="AL178" s="57"/>
      <c r="AM178" s="16"/>
    </row>
    <row r="179" spans="1:39" ht="10.5" customHeight="1" x14ac:dyDescent="0.25">
      <c r="A179" s="16"/>
      <c r="B179" s="2"/>
      <c r="C179" s="16"/>
      <c r="D179" s="2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18"/>
      <c r="AJ179" s="16"/>
      <c r="AK179" s="16"/>
      <c r="AL179" s="57"/>
      <c r="AM179" s="16"/>
    </row>
    <row r="180" spans="1:39" ht="10.5" customHeight="1" x14ac:dyDescent="0.25">
      <c r="A180" s="16"/>
      <c r="B180" s="2"/>
      <c r="C180" s="16"/>
      <c r="D180" s="2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18"/>
      <c r="AJ180" s="16"/>
      <c r="AK180" s="16"/>
      <c r="AL180" s="57"/>
      <c r="AM180" s="16"/>
    </row>
    <row r="181" spans="1:39" ht="10.5" customHeight="1" x14ac:dyDescent="0.25">
      <c r="A181" s="16"/>
      <c r="B181" s="2"/>
      <c r="C181" s="16"/>
      <c r="D181" s="2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18"/>
      <c r="AJ181" s="16"/>
      <c r="AK181" s="16"/>
      <c r="AL181" s="57"/>
      <c r="AM181" s="16"/>
    </row>
    <row r="182" spans="1:39" ht="10.5" customHeight="1" x14ac:dyDescent="0.25">
      <c r="A182" s="16"/>
      <c r="B182" s="2"/>
      <c r="C182" s="16"/>
      <c r="D182" s="2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18"/>
      <c r="AJ182" s="16"/>
      <c r="AK182" s="16"/>
      <c r="AL182" s="57"/>
      <c r="AM182" s="16"/>
    </row>
    <row r="183" spans="1:39" ht="10.5" customHeight="1" x14ac:dyDescent="0.25">
      <c r="A183" s="16"/>
      <c r="B183" s="2"/>
      <c r="C183" s="16"/>
      <c r="D183" s="2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18"/>
      <c r="AJ183" s="16"/>
      <c r="AK183" s="16"/>
      <c r="AL183" s="57"/>
      <c r="AM183" s="16"/>
    </row>
    <row r="184" spans="1:39" ht="10.5" customHeight="1" x14ac:dyDescent="0.25">
      <c r="A184" s="16"/>
      <c r="B184" s="2"/>
      <c r="C184" s="16"/>
      <c r="D184" s="2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18"/>
      <c r="AJ184" s="16"/>
      <c r="AK184" s="16"/>
      <c r="AL184" s="57"/>
      <c r="AM184" s="16"/>
    </row>
    <row r="185" spans="1:39" ht="10.5" customHeight="1" x14ac:dyDescent="0.25">
      <c r="A185" s="16"/>
      <c r="B185" s="2"/>
      <c r="C185" s="16"/>
      <c r="D185" s="2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18"/>
      <c r="AJ185" s="16"/>
      <c r="AK185" s="16"/>
      <c r="AL185" s="57"/>
      <c r="AM185" s="16"/>
    </row>
    <row r="186" spans="1:39" ht="10.5" customHeight="1" x14ac:dyDescent="0.25">
      <c r="A186" s="16"/>
      <c r="B186" s="2"/>
      <c r="C186" s="16"/>
      <c r="D186" s="2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18"/>
      <c r="AJ186" s="16"/>
      <c r="AK186" s="16"/>
      <c r="AL186" s="57"/>
      <c r="AM186" s="16"/>
    </row>
    <row r="187" spans="1:39" ht="10.5" customHeight="1" x14ac:dyDescent="0.25">
      <c r="A187" s="16"/>
      <c r="B187" s="2"/>
      <c r="C187" s="16"/>
      <c r="D187" s="2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18"/>
      <c r="AJ187" s="16"/>
      <c r="AK187" s="16"/>
      <c r="AL187" s="57"/>
      <c r="AM187" s="16"/>
    </row>
    <row r="188" spans="1:39" ht="10.5" customHeight="1" x14ac:dyDescent="0.25">
      <c r="A188" s="16"/>
      <c r="B188" s="2"/>
      <c r="C188" s="16"/>
      <c r="D188" s="2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18"/>
      <c r="AJ188" s="16"/>
      <c r="AK188" s="16"/>
      <c r="AL188" s="57"/>
      <c r="AM188" s="16"/>
    </row>
    <row r="189" spans="1:39" ht="10.5" customHeight="1" x14ac:dyDescent="0.25">
      <c r="A189" s="16"/>
      <c r="B189" s="2"/>
      <c r="C189" s="16"/>
      <c r="D189" s="2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18"/>
      <c r="AJ189" s="16"/>
      <c r="AK189" s="16"/>
      <c r="AL189" s="57"/>
      <c r="AM189" s="16"/>
    </row>
    <row r="190" spans="1:39" ht="10.5" customHeight="1" x14ac:dyDescent="0.25">
      <c r="A190" s="16"/>
      <c r="B190" s="2"/>
      <c r="C190" s="16"/>
      <c r="D190" s="2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18"/>
      <c r="AJ190" s="16"/>
      <c r="AK190" s="16"/>
      <c r="AL190" s="57"/>
      <c r="AM190" s="16"/>
    </row>
    <row r="191" spans="1:39" ht="10.5" customHeight="1" x14ac:dyDescent="0.25">
      <c r="A191" s="16"/>
      <c r="B191" s="2"/>
      <c r="C191" s="16"/>
      <c r="D191" s="2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18"/>
      <c r="AJ191" s="16"/>
      <c r="AK191" s="16"/>
      <c r="AL191" s="57"/>
      <c r="AM191" s="16"/>
    </row>
    <row r="192" spans="1:39" ht="10.5" customHeight="1" x14ac:dyDescent="0.25">
      <c r="A192" s="16"/>
      <c r="B192" s="2"/>
      <c r="C192" s="16"/>
      <c r="D192" s="2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18"/>
      <c r="AJ192" s="16"/>
      <c r="AK192" s="16"/>
      <c r="AL192" s="57"/>
      <c r="AM192" s="16"/>
    </row>
    <row r="193" spans="1:39" ht="10.5" customHeight="1" x14ac:dyDescent="0.25">
      <c r="A193" s="16"/>
      <c r="B193" s="2"/>
      <c r="C193" s="16"/>
      <c r="D193" s="2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18"/>
      <c r="AJ193" s="16"/>
      <c r="AK193" s="16"/>
      <c r="AL193" s="57"/>
      <c r="AM193" s="16"/>
    </row>
    <row r="194" spans="1:39" ht="10.5" customHeight="1" x14ac:dyDescent="0.25">
      <c r="A194" s="16"/>
      <c r="B194" s="2"/>
      <c r="C194" s="16"/>
      <c r="D194" s="2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18"/>
      <c r="AJ194" s="16"/>
      <c r="AK194" s="16"/>
      <c r="AL194" s="57"/>
      <c r="AM194" s="16"/>
    </row>
    <row r="195" spans="1:39" ht="10.5" customHeight="1" x14ac:dyDescent="0.25">
      <c r="A195" s="16"/>
      <c r="B195" s="2"/>
      <c r="C195" s="16"/>
      <c r="D195" s="2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18"/>
      <c r="AJ195" s="16"/>
      <c r="AK195" s="16"/>
      <c r="AL195" s="57"/>
      <c r="AM195" s="16"/>
    </row>
    <row r="196" spans="1:39" ht="10.5" customHeight="1" x14ac:dyDescent="0.25">
      <c r="A196" s="16"/>
      <c r="B196" s="2"/>
      <c r="C196" s="16"/>
      <c r="D196" s="2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18"/>
      <c r="AJ196" s="16"/>
      <c r="AK196" s="16"/>
      <c r="AL196" s="57"/>
      <c r="AM196" s="16"/>
    </row>
    <row r="197" spans="1:39" ht="10.5" customHeight="1" x14ac:dyDescent="0.25">
      <c r="A197" s="16"/>
      <c r="B197" s="2"/>
      <c r="C197" s="16"/>
      <c r="D197" s="2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18"/>
      <c r="AJ197" s="16"/>
      <c r="AK197" s="16"/>
      <c r="AL197" s="57"/>
      <c r="AM197" s="16"/>
    </row>
    <row r="198" spans="1:39" ht="10.5" customHeight="1" x14ac:dyDescent="0.25">
      <c r="A198" s="16"/>
      <c r="B198" s="2"/>
      <c r="C198" s="16"/>
      <c r="D198" s="2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18"/>
      <c r="AJ198" s="16"/>
      <c r="AK198" s="16"/>
      <c r="AL198" s="57"/>
      <c r="AM198" s="16"/>
    </row>
    <row r="199" spans="1:39" ht="10.5" customHeight="1" x14ac:dyDescent="0.25">
      <c r="A199" s="16"/>
      <c r="B199" s="2"/>
      <c r="C199" s="16"/>
      <c r="D199" s="2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18"/>
      <c r="AJ199" s="16"/>
      <c r="AK199" s="16"/>
      <c r="AL199" s="57"/>
      <c r="AM199" s="16"/>
    </row>
    <row r="200" spans="1:39" ht="10.5" customHeight="1" x14ac:dyDescent="0.25">
      <c r="A200" s="16"/>
      <c r="B200" s="2"/>
      <c r="C200" s="16"/>
      <c r="D200" s="2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18"/>
      <c r="AJ200" s="16"/>
      <c r="AK200" s="16"/>
      <c r="AL200" s="57"/>
      <c r="AM200" s="16"/>
    </row>
    <row r="201" spans="1:39" ht="10.5" customHeight="1" x14ac:dyDescent="0.25">
      <c r="A201" s="16"/>
      <c r="B201" s="2"/>
      <c r="C201" s="16"/>
      <c r="D201" s="2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18"/>
      <c r="AJ201" s="16"/>
      <c r="AK201" s="16"/>
      <c r="AL201" s="57"/>
      <c r="AM201" s="16"/>
    </row>
    <row r="202" spans="1:39" ht="10.5" customHeight="1" x14ac:dyDescent="0.25">
      <c r="A202" s="16"/>
      <c r="B202" s="2"/>
      <c r="C202" s="16"/>
      <c r="D202" s="2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18"/>
      <c r="AJ202" s="16"/>
      <c r="AK202" s="16"/>
      <c r="AL202" s="57"/>
      <c r="AM202" s="16"/>
    </row>
    <row r="203" spans="1:39" ht="10.5" customHeight="1" x14ac:dyDescent="0.25">
      <c r="A203" s="16"/>
      <c r="B203" s="2"/>
      <c r="C203" s="16"/>
      <c r="D203" s="2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18"/>
      <c r="AJ203" s="16"/>
      <c r="AK203" s="16"/>
      <c r="AL203" s="57"/>
      <c r="AM203" s="16"/>
    </row>
    <row r="204" spans="1:39" ht="10.5" customHeight="1" x14ac:dyDescent="0.25">
      <c r="A204" s="16"/>
      <c r="B204" s="2"/>
      <c r="C204" s="16"/>
      <c r="D204" s="2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18"/>
      <c r="AJ204" s="16"/>
      <c r="AK204" s="16"/>
      <c r="AL204" s="57"/>
      <c r="AM204" s="16"/>
    </row>
    <row r="205" spans="1:39" ht="10.5" customHeight="1" x14ac:dyDescent="0.25">
      <c r="A205" s="16"/>
      <c r="B205" s="2"/>
      <c r="C205" s="16"/>
      <c r="D205" s="2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18"/>
      <c r="AJ205" s="16"/>
      <c r="AK205" s="16"/>
      <c r="AL205" s="57"/>
      <c r="AM205" s="16"/>
    </row>
    <row r="206" spans="1:39" ht="10.5" customHeight="1" x14ac:dyDescent="0.25">
      <c r="A206" s="16"/>
      <c r="B206" s="2"/>
      <c r="C206" s="16"/>
      <c r="D206" s="2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18"/>
      <c r="AJ206" s="16"/>
      <c r="AK206" s="16"/>
      <c r="AL206" s="57"/>
      <c r="AM206" s="16"/>
    </row>
    <row r="207" spans="1:39" ht="10.5" customHeight="1" x14ac:dyDescent="0.25">
      <c r="A207" s="16"/>
      <c r="B207" s="2"/>
      <c r="C207" s="16"/>
      <c r="D207" s="2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18"/>
      <c r="AJ207" s="16"/>
      <c r="AK207" s="16"/>
      <c r="AL207" s="57"/>
      <c r="AM207" s="16"/>
    </row>
    <row r="208" spans="1:39" ht="10.5" customHeight="1" x14ac:dyDescent="0.25">
      <c r="A208" s="16"/>
      <c r="B208" s="2"/>
      <c r="C208" s="16"/>
      <c r="D208" s="2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18"/>
      <c r="AJ208" s="16"/>
      <c r="AK208" s="16"/>
      <c r="AL208" s="57"/>
      <c r="AM208" s="16"/>
    </row>
    <row r="209" spans="1:39" ht="10.5" customHeight="1" x14ac:dyDescent="0.25">
      <c r="A209" s="16"/>
      <c r="B209" s="2"/>
      <c r="C209" s="16"/>
      <c r="D209" s="2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18"/>
      <c r="AJ209" s="16"/>
      <c r="AK209" s="16"/>
      <c r="AL209" s="57"/>
      <c r="AM209" s="16"/>
    </row>
    <row r="210" spans="1:39" ht="10.5" customHeight="1" x14ac:dyDescent="0.25">
      <c r="A210" s="16"/>
      <c r="B210" s="2"/>
      <c r="C210" s="16"/>
      <c r="D210" s="2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18"/>
      <c r="AJ210" s="16"/>
      <c r="AK210" s="16"/>
      <c r="AL210" s="57"/>
      <c r="AM210" s="16"/>
    </row>
    <row r="211" spans="1:39" ht="10.5" customHeight="1" x14ac:dyDescent="0.25">
      <c r="A211" s="16"/>
      <c r="B211" s="2"/>
      <c r="C211" s="16"/>
      <c r="D211" s="2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18"/>
      <c r="AJ211" s="16"/>
      <c r="AK211" s="16"/>
      <c r="AL211" s="57"/>
      <c r="AM211" s="16"/>
    </row>
    <row r="212" spans="1:39" ht="10.5" customHeight="1" x14ac:dyDescent="0.25">
      <c r="A212" s="16"/>
      <c r="B212" s="2"/>
      <c r="C212" s="16"/>
      <c r="D212" s="2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18"/>
      <c r="AJ212" s="16"/>
      <c r="AK212" s="16"/>
      <c r="AL212" s="57"/>
      <c r="AM212" s="16"/>
    </row>
    <row r="213" spans="1:39" ht="10.5" customHeight="1" x14ac:dyDescent="0.25">
      <c r="A213" s="16"/>
      <c r="B213" s="2"/>
      <c r="C213" s="16"/>
      <c r="D213" s="2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18"/>
      <c r="AJ213" s="16"/>
      <c r="AK213" s="16"/>
      <c r="AL213" s="57"/>
      <c r="AM213" s="16"/>
    </row>
    <row r="214" spans="1:39" ht="10.5" customHeight="1" x14ac:dyDescent="0.25">
      <c r="A214" s="16"/>
      <c r="B214" s="2"/>
      <c r="C214" s="16"/>
      <c r="D214" s="2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18"/>
      <c r="AJ214" s="16"/>
      <c r="AK214" s="16"/>
      <c r="AL214" s="57"/>
      <c r="AM214" s="16"/>
    </row>
    <row r="215" spans="1:39" ht="10.5" customHeight="1" x14ac:dyDescent="0.25">
      <c r="A215" s="16"/>
      <c r="B215" s="2"/>
      <c r="C215" s="16"/>
      <c r="D215" s="2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18"/>
      <c r="AJ215" s="16"/>
      <c r="AK215" s="16"/>
      <c r="AL215" s="57"/>
      <c r="AM215" s="16"/>
    </row>
    <row r="216" spans="1:39" ht="10.5" customHeight="1" x14ac:dyDescent="0.25">
      <c r="A216" s="16"/>
      <c r="B216" s="2"/>
      <c r="C216" s="16"/>
      <c r="D216" s="2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18"/>
      <c r="AJ216" s="16"/>
      <c r="AK216" s="16"/>
      <c r="AL216" s="57"/>
      <c r="AM216" s="16"/>
    </row>
    <row r="217" spans="1:39" ht="10.5" customHeight="1" x14ac:dyDescent="0.25">
      <c r="A217" s="16"/>
      <c r="B217" s="2"/>
      <c r="C217" s="16"/>
      <c r="D217" s="2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18"/>
      <c r="AJ217" s="16"/>
      <c r="AK217" s="16"/>
      <c r="AL217" s="57"/>
      <c r="AM217" s="16"/>
    </row>
    <row r="218" spans="1:39" ht="10.5" customHeight="1" x14ac:dyDescent="0.25">
      <c r="A218" s="16"/>
      <c r="B218" s="2"/>
      <c r="C218" s="16"/>
      <c r="D218" s="2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18"/>
      <c r="AJ218" s="16"/>
      <c r="AK218" s="16"/>
      <c r="AL218" s="57"/>
      <c r="AM218" s="16"/>
    </row>
    <row r="219" spans="1:39" ht="10.5" customHeight="1" x14ac:dyDescent="0.25">
      <c r="A219" s="16"/>
      <c r="B219" s="2"/>
      <c r="C219" s="16"/>
      <c r="D219" s="2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18"/>
      <c r="AJ219" s="16"/>
      <c r="AK219" s="16"/>
      <c r="AL219" s="57"/>
      <c r="AM219" s="16"/>
    </row>
    <row r="220" spans="1:39" ht="10.5" customHeight="1" x14ac:dyDescent="0.25">
      <c r="A220" s="16"/>
      <c r="B220" s="2"/>
      <c r="C220" s="16"/>
      <c r="D220" s="2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18"/>
      <c r="AJ220" s="16"/>
      <c r="AK220" s="16"/>
      <c r="AL220" s="57"/>
      <c r="AM220" s="16"/>
    </row>
    <row r="221" spans="1:39" ht="10.5" customHeight="1" x14ac:dyDescent="0.25">
      <c r="A221" s="16"/>
      <c r="B221" s="2"/>
      <c r="C221" s="16"/>
      <c r="D221" s="2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18"/>
      <c r="AJ221" s="16"/>
      <c r="AK221" s="16"/>
      <c r="AL221" s="57"/>
      <c r="AM221" s="16"/>
    </row>
    <row r="222" spans="1:39" ht="10.5" customHeight="1" x14ac:dyDescent="0.25">
      <c r="A222" s="16"/>
      <c r="B222" s="2"/>
      <c r="C222" s="16"/>
      <c r="D222" s="2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18"/>
      <c r="AJ222" s="16"/>
      <c r="AK222" s="16"/>
      <c r="AL222" s="57"/>
      <c r="AM222" s="16"/>
    </row>
    <row r="223" spans="1:39" ht="10.5" customHeight="1" x14ac:dyDescent="0.25">
      <c r="A223" s="16"/>
      <c r="B223" s="2"/>
      <c r="C223" s="16"/>
      <c r="D223" s="2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18"/>
      <c r="AJ223" s="16"/>
      <c r="AK223" s="16"/>
      <c r="AL223" s="57"/>
      <c r="AM223" s="16"/>
    </row>
    <row r="224" spans="1:39" ht="10.5" customHeight="1" x14ac:dyDescent="0.25">
      <c r="A224" s="16"/>
      <c r="B224" s="2"/>
      <c r="C224" s="16"/>
      <c r="D224" s="2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18"/>
      <c r="AJ224" s="16"/>
      <c r="AK224" s="16"/>
      <c r="AL224" s="57"/>
      <c r="AM224" s="16"/>
    </row>
    <row r="225" spans="1:39" ht="10.5" customHeight="1" x14ac:dyDescent="0.25">
      <c r="A225" s="16"/>
      <c r="B225" s="2"/>
      <c r="C225" s="16"/>
      <c r="D225" s="2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18"/>
      <c r="AJ225" s="16"/>
      <c r="AK225" s="16"/>
      <c r="AL225" s="57"/>
      <c r="AM225" s="16"/>
    </row>
    <row r="226" spans="1:39" ht="10.5" customHeight="1" x14ac:dyDescent="0.25">
      <c r="A226" s="16"/>
      <c r="B226" s="2"/>
      <c r="C226" s="16"/>
      <c r="D226" s="2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18"/>
      <c r="AJ226" s="16"/>
      <c r="AK226" s="16"/>
      <c r="AL226" s="57"/>
      <c r="AM226" s="16"/>
    </row>
    <row r="227" spans="1:39" ht="10.5" customHeight="1" x14ac:dyDescent="0.25">
      <c r="A227" s="16"/>
      <c r="B227" s="2"/>
      <c r="C227" s="16"/>
      <c r="D227" s="2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18"/>
      <c r="AJ227" s="16"/>
      <c r="AK227" s="16"/>
      <c r="AL227" s="57"/>
      <c r="AM227" s="16"/>
    </row>
    <row r="228" spans="1:39" ht="10.5" customHeight="1" x14ac:dyDescent="0.25">
      <c r="A228" s="16"/>
      <c r="B228" s="2"/>
      <c r="C228" s="16"/>
      <c r="D228" s="2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18"/>
      <c r="AJ228" s="16"/>
      <c r="AK228" s="16"/>
      <c r="AL228" s="57"/>
      <c r="AM228" s="16"/>
    </row>
    <row r="229" spans="1:39" ht="10.5" customHeight="1" x14ac:dyDescent="0.25">
      <c r="A229" s="16"/>
      <c r="B229" s="2"/>
      <c r="C229" s="16"/>
      <c r="D229" s="2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18"/>
      <c r="AJ229" s="16"/>
      <c r="AK229" s="16"/>
      <c r="AL229" s="57"/>
      <c r="AM229" s="16"/>
    </row>
    <row r="230" spans="1:39" ht="10.5" customHeight="1" x14ac:dyDescent="0.25">
      <c r="A230" s="16"/>
      <c r="B230" s="2"/>
      <c r="C230" s="16"/>
      <c r="D230" s="2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18"/>
      <c r="AJ230" s="16"/>
      <c r="AK230" s="16"/>
      <c r="AL230" s="57"/>
      <c r="AM230" s="16"/>
    </row>
    <row r="231" spans="1:39" ht="10.5" customHeight="1" x14ac:dyDescent="0.25">
      <c r="A231" s="16"/>
      <c r="B231" s="2"/>
      <c r="C231" s="16"/>
      <c r="D231" s="2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18"/>
      <c r="AJ231" s="16"/>
      <c r="AK231" s="16"/>
      <c r="AL231" s="57"/>
      <c r="AM231" s="16"/>
    </row>
    <row r="232" spans="1:39" ht="10.5" customHeight="1" x14ac:dyDescent="0.25">
      <c r="A232" s="16"/>
      <c r="B232" s="2"/>
      <c r="C232" s="16"/>
      <c r="D232" s="2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18"/>
      <c r="AJ232" s="16"/>
      <c r="AK232" s="16"/>
      <c r="AL232" s="57"/>
      <c r="AM232" s="16"/>
    </row>
    <row r="233" spans="1:39" ht="10.5" customHeight="1" x14ac:dyDescent="0.25">
      <c r="A233" s="16"/>
      <c r="B233" s="2"/>
      <c r="C233" s="16"/>
      <c r="D233" s="2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18"/>
      <c r="AJ233" s="16"/>
      <c r="AK233" s="16"/>
      <c r="AL233" s="57"/>
      <c r="AM233" s="16"/>
    </row>
    <row r="234" spans="1:39" ht="10.5" customHeight="1" x14ac:dyDescent="0.25">
      <c r="A234" s="16"/>
      <c r="B234" s="2"/>
      <c r="C234" s="16"/>
      <c r="D234" s="2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18"/>
      <c r="AJ234" s="16"/>
      <c r="AK234" s="16"/>
      <c r="AL234" s="57"/>
      <c r="AM234" s="16"/>
    </row>
    <row r="235" spans="1:39" ht="10.5" customHeight="1" x14ac:dyDescent="0.25">
      <c r="A235" s="16"/>
      <c r="B235" s="2"/>
      <c r="C235" s="16"/>
      <c r="D235" s="2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18"/>
      <c r="AJ235" s="16"/>
      <c r="AK235" s="16"/>
      <c r="AL235" s="57"/>
      <c r="AM235" s="16"/>
    </row>
    <row r="236" spans="1:39" ht="10.5" customHeight="1" x14ac:dyDescent="0.25">
      <c r="A236" s="16"/>
      <c r="B236" s="2"/>
      <c r="C236" s="16"/>
      <c r="D236" s="2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18"/>
      <c r="AJ236" s="16"/>
      <c r="AK236" s="16"/>
      <c r="AL236" s="57"/>
      <c r="AM236" s="16"/>
    </row>
    <row r="237" spans="1:39" ht="10.5" customHeight="1" x14ac:dyDescent="0.25">
      <c r="A237" s="16"/>
      <c r="B237" s="2"/>
      <c r="C237" s="16"/>
      <c r="D237" s="2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18"/>
      <c r="AJ237" s="16"/>
      <c r="AK237" s="16"/>
      <c r="AL237" s="57"/>
      <c r="AM237" s="16"/>
    </row>
    <row r="238" spans="1:39" ht="10.5" customHeight="1" x14ac:dyDescent="0.25">
      <c r="A238" s="16"/>
      <c r="B238" s="2"/>
      <c r="C238" s="16"/>
      <c r="D238" s="2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18"/>
      <c r="AJ238" s="16"/>
      <c r="AK238" s="16"/>
      <c r="AL238" s="57"/>
      <c r="AM238" s="16"/>
    </row>
    <row r="239" spans="1:39" ht="10.5" customHeight="1" x14ac:dyDescent="0.25">
      <c r="A239" s="16"/>
      <c r="B239" s="2"/>
      <c r="C239" s="16"/>
      <c r="D239" s="2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18"/>
      <c r="AJ239" s="16"/>
      <c r="AK239" s="16"/>
      <c r="AL239" s="57"/>
      <c r="AM239" s="16"/>
    </row>
    <row r="240" spans="1:39" ht="10.5" customHeight="1" x14ac:dyDescent="0.25">
      <c r="A240" s="16"/>
      <c r="B240" s="2"/>
      <c r="C240" s="16"/>
      <c r="D240" s="2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18"/>
      <c r="AJ240" s="16"/>
      <c r="AK240" s="16"/>
      <c r="AL240" s="57"/>
      <c r="AM240" s="16"/>
    </row>
    <row r="241" spans="1:39" ht="10.5" customHeight="1" x14ac:dyDescent="0.25">
      <c r="A241" s="16"/>
      <c r="B241" s="2"/>
      <c r="C241" s="16"/>
      <c r="D241" s="2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18"/>
      <c r="AJ241" s="16"/>
      <c r="AK241" s="16"/>
      <c r="AL241" s="57"/>
      <c r="AM241" s="16"/>
    </row>
    <row r="242" spans="1:39" ht="10.5" customHeight="1" x14ac:dyDescent="0.25">
      <c r="A242" s="16"/>
      <c r="B242" s="2"/>
      <c r="C242" s="16"/>
      <c r="D242" s="2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18"/>
      <c r="AJ242" s="16"/>
      <c r="AK242" s="16"/>
      <c r="AL242" s="57"/>
      <c r="AM242" s="16"/>
    </row>
    <row r="243" spans="1:39" ht="10.5" customHeight="1" x14ac:dyDescent="0.25">
      <c r="A243" s="16"/>
      <c r="B243" s="2"/>
      <c r="C243" s="16"/>
      <c r="D243" s="2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18"/>
      <c r="AJ243" s="16"/>
      <c r="AK243" s="16"/>
      <c r="AL243" s="57"/>
      <c r="AM243" s="16"/>
    </row>
    <row r="244" spans="1:39" ht="10.5" customHeight="1" x14ac:dyDescent="0.25">
      <c r="A244" s="16"/>
      <c r="B244" s="2"/>
      <c r="C244" s="16"/>
      <c r="D244" s="2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18"/>
      <c r="AJ244" s="16"/>
      <c r="AK244" s="16"/>
      <c r="AL244" s="57"/>
      <c r="AM244" s="16"/>
    </row>
    <row r="245" spans="1:39" ht="10.5" customHeight="1" x14ac:dyDescent="0.25">
      <c r="A245" s="16"/>
      <c r="B245" s="2"/>
      <c r="C245" s="16"/>
      <c r="D245" s="2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18"/>
      <c r="AJ245" s="16"/>
      <c r="AK245" s="16"/>
      <c r="AL245" s="57"/>
      <c r="AM245" s="16"/>
    </row>
    <row r="246" spans="1:39" ht="10.5" customHeight="1" x14ac:dyDescent="0.25">
      <c r="A246" s="16"/>
      <c r="B246" s="2"/>
      <c r="C246" s="16"/>
      <c r="D246" s="2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18"/>
      <c r="AJ246" s="16"/>
      <c r="AK246" s="16"/>
      <c r="AL246" s="57"/>
      <c r="AM246" s="16"/>
    </row>
    <row r="247" spans="1:39" ht="10.5" customHeight="1" x14ac:dyDescent="0.25">
      <c r="A247" s="16"/>
      <c r="B247" s="2"/>
      <c r="C247" s="16"/>
      <c r="D247" s="2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18"/>
      <c r="AJ247" s="16"/>
      <c r="AK247" s="16"/>
      <c r="AL247" s="57"/>
      <c r="AM247" s="16"/>
    </row>
    <row r="248" spans="1:39" ht="10.5" customHeight="1" x14ac:dyDescent="0.25">
      <c r="A248" s="16"/>
      <c r="B248" s="2"/>
      <c r="C248" s="16"/>
      <c r="D248" s="2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18"/>
      <c r="AJ248" s="16"/>
      <c r="AK248" s="16"/>
      <c r="AL248" s="57"/>
      <c r="AM248" s="16"/>
    </row>
    <row r="249" spans="1:39" ht="10.5" customHeight="1" x14ac:dyDescent="0.25">
      <c r="A249" s="16"/>
      <c r="B249" s="2"/>
      <c r="C249" s="16"/>
      <c r="D249" s="2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18"/>
      <c r="AJ249" s="16"/>
      <c r="AK249" s="16"/>
      <c r="AL249" s="57"/>
      <c r="AM249" s="16"/>
    </row>
    <row r="250" spans="1:39" ht="10.5" customHeight="1" x14ac:dyDescent="0.25">
      <c r="A250" s="16"/>
      <c r="B250" s="2"/>
      <c r="C250" s="16"/>
      <c r="D250" s="2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18"/>
      <c r="AJ250" s="16"/>
      <c r="AK250" s="16"/>
      <c r="AL250" s="57"/>
      <c r="AM250" s="16"/>
    </row>
    <row r="251" spans="1:39" ht="10.5" customHeight="1" x14ac:dyDescent="0.25">
      <c r="A251" s="16"/>
      <c r="B251" s="2"/>
      <c r="C251" s="16"/>
      <c r="D251" s="2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18"/>
      <c r="AJ251" s="16"/>
      <c r="AK251" s="16"/>
      <c r="AL251" s="57"/>
      <c r="AM251" s="16"/>
    </row>
    <row r="252" spans="1:39" ht="10.5" customHeight="1" x14ac:dyDescent="0.25">
      <c r="A252" s="16"/>
      <c r="B252" s="2"/>
      <c r="C252" s="16"/>
      <c r="D252" s="2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18"/>
      <c r="AJ252" s="16"/>
      <c r="AK252" s="16"/>
      <c r="AL252" s="57"/>
      <c r="AM252" s="16"/>
    </row>
    <row r="253" spans="1:39" ht="10.5" customHeight="1" x14ac:dyDescent="0.25">
      <c r="A253" s="16"/>
      <c r="B253" s="2"/>
      <c r="C253" s="16"/>
      <c r="D253" s="2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18"/>
      <c r="AJ253" s="16"/>
      <c r="AK253" s="16"/>
      <c r="AL253" s="57"/>
      <c r="AM253" s="16"/>
    </row>
    <row r="254" spans="1:39" ht="10.5" customHeight="1" x14ac:dyDescent="0.25">
      <c r="A254" s="16"/>
      <c r="B254" s="2"/>
      <c r="C254" s="16"/>
      <c r="D254" s="2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18"/>
      <c r="AJ254" s="16"/>
      <c r="AK254" s="16"/>
      <c r="AL254" s="57"/>
      <c r="AM254" s="16"/>
    </row>
    <row r="255" spans="1:39" ht="10.5" customHeight="1" x14ac:dyDescent="0.25">
      <c r="A255" s="16"/>
      <c r="B255" s="2"/>
      <c r="C255" s="16"/>
      <c r="D255" s="2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18"/>
      <c r="AJ255" s="16"/>
      <c r="AK255" s="16"/>
      <c r="AL255" s="57"/>
      <c r="AM255" s="16"/>
    </row>
    <row r="256" spans="1:39" ht="10.5" customHeight="1" x14ac:dyDescent="0.25">
      <c r="A256" s="16"/>
      <c r="B256" s="2"/>
      <c r="C256" s="16"/>
      <c r="D256" s="2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18"/>
      <c r="AJ256" s="16"/>
      <c r="AK256" s="16"/>
      <c r="AL256" s="57"/>
      <c r="AM256" s="16"/>
    </row>
    <row r="257" spans="1:39" ht="10.5" customHeight="1" x14ac:dyDescent="0.25">
      <c r="A257" s="16"/>
      <c r="B257" s="2"/>
      <c r="C257" s="16"/>
      <c r="D257" s="2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18"/>
      <c r="AJ257" s="16"/>
      <c r="AK257" s="16"/>
      <c r="AL257" s="57"/>
      <c r="AM257" s="16"/>
    </row>
    <row r="258" spans="1:39" ht="10.5" customHeight="1" x14ac:dyDescent="0.25">
      <c r="A258" s="16"/>
      <c r="B258" s="2"/>
      <c r="C258" s="16"/>
      <c r="D258" s="2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18"/>
      <c r="AJ258" s="16"/>
      <c r="AK258" s="16"/>
      <c r="AL258" s="57"/>
      <c r="AM258" s="16"/>
    </row>
    <row r="259" spans="1:39" ht="10.5" customHeight="1" x14ac:dyDescent="0.25">
      <c r="A259" s="16"/>
      <c r="B259" s="2"/>
      <c r="C259" s="16"/>
      <c r="D259" s="2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18"/>
      <c r="AJ259" s="16"/>
      <c r="AK259" s="16"/>
      <c r="AL259" s="57"/>
      <c r="AM259" s="16"/>
    </row>
    <row r="260" spans="1:39" ht="10.5" customHeight="1" x14ac:dyDescent="0.25">
      <c r="A260" s="16"/>
      <c r="B260" s="2"/>
      <c r="C260" s="16"/>
      <c r="D260" s="2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18"/>
      <c r="AJ260" s="16"/>
      <c r="AK260" s="16"/>
      <c r="AL260" s="57"/>
      <c r="AM260" s="16"/>
    </row>
    <row r="261" spans="1:39" ht="10.5" customHeight="1" x14ac:dyDescent="0.25">
      <c r="A261" s="16"/>
      <c r="B261" s="2"/>
      <c r="C261" s="16"/>
      <c r="D261" s="2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18"/>
      <c r="AJ261" s="16"/>
      <c r="AK261" s="16"/>
      <c r="AL261" s="57"/>
      <c r="AM261" s="16"/>
    </row>
    <row r="262" spans="1:39" ht="10.5" customHeight="1" x14ac:dyDescent="0.25">
      <c r="A262" s="16"/>
      <c r="B262" s="2"/>
      <c r="C262" s="16"/>
      <c r="D262" s="2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18"/>
      <c r="AJ262" s="16"/>
      <c r="AK262" s="16"/>
      <c r="AL262" s="57"/>
      <c r="AM262" s="16"/>
    </row>
    <row r="263" spans="1:39" ht="10.5" customHeight="1" x14ac:dyDescent="0.25">
      <c r="A263" s="16"/>
      <c r="B263" s="2"/>
      <c r="C263" s="16"/>
      <c r="D263" s="2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18"/>
      <c r="AJ263" s="16"/>
      <c r="AK263" s="16"/>
      <c r="AL263" s="57"/>
      <c r="AM263" s="16"/>
    </row>
    <row r="264" spans="1:39" ht="10.5" customHeight="1" x14ac:dyDescent="0.25">
      <c r="A264" s="16"/>
      <c r="B264" s="2"/>
      <c r="C264" s="16"/>
      <c r="D264" s="2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18"/>
      <c r="AJ264" s="16"/>
      <c r="AK264" s="16"/>
      <c r="AL264" s="57"/>
      <c r="AM264" s="16"/>
    </row>
    <row r="265" spans="1:39" ht="10.5" customHeight="1" x14ac:dyDescent="0.25">
      <c r="A265" s="16"/>
      <c r="B265" s="2"/>
      <c r="C265" s="16"/>
      <c r="D265" s="2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18"/>
      <c r="AJ265" s="16"/>
      <c r="AK265" s="16"/>
      <c r="AL265" s="57"/>
      <c r="AM265" s="16"/>
    </row>
    <row r="266" spans="1:39" ht="10.5" customHeight="1" x14ac:dyDescent="0.25">
      <c r="A266" s="16"/>
      <c r="B266" s="2"/>
      <c r="C266" s="16"/>
      <c r="D266" s="2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18"/>
      <c r="AJ266" s="16"/>
      <c r="AK266" s="16"/>
      <c r="AL266" s="57"/>
      <c r="AM266" s="16"/>
    </row>
    <row r="267" spans="1:39" ht="10.5" customHeight="1" x14ac:dyDescent="0.25">
      <c r="A267" s="16"/>
      <c r="B267" s="2"/>
      <c r="C267" s="16"/>
      <c r="D267" s="2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18"/>
      <c r="AJ267" s="16"/>
      <c r="AK267" s="16"/>
      <c r="AL267" s="57"/>
      <c r="AM267" s="16"/>
    </row>
    <row r="268" spans="1:39" ht="10.5" customHeight="1" x14ac:dyDescent="0.25">
      <c r="A268" s="16"/>
      <c r="B268" s="2"/>
      <c r="C268" s="16"/>
      <c r="D268" s="2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18"/>
      <c r="AJ268" s="16"/>
      <c r="AK268" s="16"/>
      <c r="AL268" s="57"/>
      <c r="AM268" s="16"/>
    </row>
    <row r="269" spans="1:39" ht="10.5" customHeight="1" x14ac:dyDescent="0.25">
      <c r="A269" s="16"/>
      <c r="B269" s="2"/>
      <c r="C269" s="16"/>
      <c r="D269" s="2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18"/>
      <c r="AJ269" s="16"/>
      <c r="AK269" s="16"/>
      <c r="AL269" s="57"/>
      <c r="AM269" s="16"/>
    </row>
    <row r="270" spans="1:39" ht="10.5" customHeight="1" x14ac:dyDescent="0.25">
      <c r="A270" s="16"/>
      <c r="B270" s="2"/>
      <c r="C270" s="16"/>
      <c r="D270" s="2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18"/>
      <c r="AJ270" s="16"/>
      <c r="AK270" s="16"/>
      <c r="AL270" s="57"/>
      <c r="AM270" s="16"/>
    </row>
    <row r="271" spans="1:39" ht="10.5" customHeight="1" x14ac:dyDescent="0.25">
      <c r="A271" s="16"/>
      <c r="B271" s="2"/>
      <c r="C271" s="16"/>
      <c r="D271" s="2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18"/>
      <c r="AJ271" s="16"/>
      <c r="AK271" s="16"/>
      <c r="AL271" s="57"/>
      <c r="AM271" s="16"/>
    </row>
    <row r="272" spans="1:39" ht="10.5" customHeight="1" x14ac:dyDescent="0.25">
      <c r="A272" s="16"/>
      <c r="B272" s="2"/>
      <c r="C272" s="16"/>
      <c r="D272" s="2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18"/>
      <c r="AJ272" s="16"/>
      <c r="AK272" s="16"/>
      <c r="AL272" s="57"/>
      <c r="AM272" s="16"/>
    </row>
    <row r="273" spans="1:39" ht="10.5" customHeight="1" x14ac:dyDescent="0.25">
      <c r="A273" s="16"/>
      <c r="B273" s="2"/>
      <c r="C273" s="16"/>
      <c r="D273" s="2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18"/>
      <c r="AJ273" s="16"/>
      <c r="AK273" s="16"/>
      <c r="AL273" s="57"/>
      <c r="AM273" s="16"/>
    </row>
    <row r="274" spans="1:39" ht="10.5" customHeight="1" x14ac:dyDescent="0.25">
      <c r="A274" s="16"/>
      <c r="B274" s="2"/>
      <c r="C274" s="16"/>
      <c r="D274" s="2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18"/>
      <c r="AJ274" s="16"/>
      <c r="AK274" s="16"/>
      <c r="AL274" s="57"/>
      <c r="AM274" s="16"/>
    </row>
    <row r="275" spans="1:39" ht="10.5" customHeight="1" x14ac:dyDescent="0.25">
      <c r="A275" s="16"/>
      <c r="B275" s="2"/>
      <c r="C275" s="16"/>
      <c r="D275" s="2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18"/>
      <c r="AJ275" s="16"/>
      <c r="AK275" s="16"/>
      <c r="AL275" s="57"/>
      <c r="AM275" s="16"/>
    </row>
    <row r="276" spans="1:39" ht="10.5" customHeight="1" x14ac:dyDescent="0.25">
      <c r="A276" s="16"/>
      <c r="B276" s="2"/>
      <c r="C276" s="16"/>
      <c r="D276" s="2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18"/>
      <c r="AJ276" s="16"/>
      <c r="AK276" s="16"/>
      <c r="AL276" s="57"/>
      <c r="AM276" s="16"/>
    </row>
    <row r="277" spans="1:39" ht="10.5" customHeight="1" x14ac:dyDescent="0.25">
      <c r="A277" s="16"/>
      <c r="B277" s="2"/>
      <c r="C277" s="16"/>
      <c r="D277" s="2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18"/>
      <c r="AJ277" s="16"/>
      <c r="AK277" s="16"/>
      <c r="AL277" s="57"/>
      <c r="AM277" s="16"/>
    </row>
    <row r="278" spans="1:39" ht="10.5" customHeight="1" x14ac:dyDescent="0.25">
      <c r="A278" s="16"/>
      <c r="B278" s="2"/>
      <c r="C278" s="16"/>
      <c r="D278" s="2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18"/>
      <c r="AJ278" s="16"/>
      <c r="AK278" s="16"/>
      <c r="AL278" s="57"/>
      <c r="AM278" s="16"/>
    </row>
    <row r="279" spans="1:39" ht="10.5" customHeight="1" x14ac:dyDescent="0.25">
      <c r="A279" s="16"/>
      <c r="B279" s="2"/>
      <c r="C279" s="16"/>
      <c r="D279" s="2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18"/>
      <c r="AJ279" s="16"/>
      <c r="AK279" s="16"/>
      <c r="AL279" s="57"/>
      <c r="AM279" s="16"/>
    </row>
    <row r="280" spans="1:39" ht="10.5" customHeight="1" x14ac:dyDescent="0.25">
      <c r="A280" s="16"/>
      <c r="B280" s="2"/>
      <c r="C280" s="16"/>
      <c r="D280" s="2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18"/>
      <c r="AJ280" s="16"/>
      <c r="AK280" s="16"/>
      <c r="AL280" s="57"/>
      <c r="AM280" s="16"/>
    </row>
    <row r="281" spans="1:39" ht="10.5" customHeight="1" x14ac:dyDescent="0.25">
      <c r="A281" s="16"/>
      <c r="B281" s="2"/>
      <c r="C281" s="16"/>
      <c r="D281" s="2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18"/>
      <c r="AJ281" s="16"/>
      <c r="AK281" s="16"/>
      <c r="AL281" s="57"/>
      <c r="AM281" s="16"/>
    </row>
    <row r="282" spans="1:39" ht="10.5" customHeight="1" x14ac:dyDescent="0.25">
      <c r="A282" s="16"/>
      <c r="B282" s="2"/>
      <c r="C282" s="16"/>
      <c r="D282" s="2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18"/>
      <c r="AJ282" s="16"/>
      <c r="AK282" s="16"/>
      <c r="AL282" s="57"/>
      <c r="AM282" s="16"/>
    </row>
    <row r="283" spans="1:39" ht="10.5" customHeight="1" x14ac:dyDescent="0.25">
      <c r="A283" s="16"/>
      <c r="B283" s="2"/>
      <c r="C283" s="16"/>
      <c r="D283" s="2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18"/>
      <c r="AJ283" s="16"/>
      <c r="AK283" s="16"/>
      <c r="AL283" s="57"/>
      <c r="AM283" s="16"/>
    </row>
    <row r="284" spans="1:39" ht="10.5" customHeight="1" x14ac:dyDescent="0.25">
      <c r="A284" s="16"/>
      <c r="B284" s="2"/>
      <c r="C284" s="16"/>
      <c r="D284" s="2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18"/>
      <c r="AJ284" s="16"/>
      <c r="AK284" s="16"/>
      <c r="AL284" s="57"/>
      <c r="AM284" s="16"/>
    </row>
    <row r="285" spans="1:39" ht="10.5" customHeight="1" x14ac:dyDescent="0.25">
      <c r="A285" s="16"/>
      <c r="B285" s="2"/>
      <c r="C285" s="16"/>
      <c r="D285" s="2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18"/>
      <c r="AJ285" s="16"/>
      <c r="AK285" s="16"/>
      <c r="AL285" s="57"/>
      <c r="AM285" s="16"/>
    </row>
    <row r="286" spans="1:39" ht="10.5" customHeight="1" x14ac:dyDescent="0.25">
      <c r="A286" s="16"/>
      <c r="B286" s="2"/>
      <c r="C286" s="16"/>
      <c r="D286" s="2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18"/>
      <c r="AJ286" s="16"/>
      <c r="AK286" s="16"/>
      <c r="AL286" s="57"/>
      <c r="AM286" s="16"/>
    </row>
    <row r="287" spans="1:39" ht="10.5" customHeight="1" x14ac:dyDescent="0.25">
      <c r="A287" s="16"/>
      <c r="B287" s="2"/>
      <c r="C287" s="16"/>
      <c r="D287" s="2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18"/>
      <c r="AJ287" s="16"/>
      <c r="AK287" s="16"/>
      <c r="AL287" s="57"/>
      <c r="AM287" s="16"/>
    </row>
    <row r="288" spans="1:39" ht="10.5" customHeight="1" x14ac:dyDescent="0.25">
      <c r="A288" s="16"/>
      <c r="B288" s="2"/>
      <c r="C288" s="16"/>
      <c r="D288" s="2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18"/>
      <c r="AJ288" s="16"/>
      <c r="AK288" s="16"/>
      <c r="AL288" s="57"/>
      <c r="AM288" s="16"/>
    </row>
    <row r="289" spans="1:39" ht="10.5" customHeight="1" x14ac:dyDescent="0.25">
      <c r="A289" s="16"/>
      <c r="B289" s="2"/>
      <c r="C289" s="16"/>
      <c r="D289" s="2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18"/>
      <c r="AJ289" s="16"/>
      <c r="AK289" s="16"/>
      <c r="AL289" s="57"/>
      <c r="AM289" s="16"/>
    </row>
    <row r="290" spans="1:39" ht="10.5" customHeight="1" x14ac:dyDescent="0.25">
      <c r="A290" s="16"/>
      <c r="B290" s="2"/>
      <c r="C290" s="16"/>
      <c r="D290" s="2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18"/>
      <c r="AJ290" s="16"/>
      <c r="AK290" s="16"/>
      <c r="AL290" s="57"/>
      <c r="AM290" s="16"/>
    </row>
    <row r="291" spans="1:39" ht="10.5" customHeight="1" x14ac:dyDescent="0.25">
      <c r="A291" s="16"/>
      <c r="B291" s="2"/>
      <c r="C291" s="16"/>
      <c r="D291" s="2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18"/>
      <c r="AJ291" s="16"/>
      <c r="AK291" s="16"/>
      <c r="AL291" s="57"/>
      <c r="AM291" s="16"/>
    </row>
    <row r="292" spans="1:39" ht="10.5" customHeight="1" x14ac:dyDescent="0.25">
      <c r="A292" s="16"/>
      <c r="B292" s="2"/>
      <c r="C292" s="16"/>
      <c r="D292" s="2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18"/>
      <c r="AJ292" s="16"/>
      <c r="AK292" s="16"/>
      <c r="AL292" s="57"/>
      <c r="AM292" s="16"/>
    </row>
    <row r="293" spans="1:39" ht="10.5" customHeight="1" x14ac:dyDescent="0.25">
      <c r="A293" s="16"/>
      <c r="B293" s="2"/>
      <c r="C293" s="16"/>
      <c r="D293" s="2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18"/>
      <c r="AJ293" s="16"/>
      <c r="AK293" s="16"/>
      <c r="AL293" s="57"/>
      <c r="AM293" s="16"/>
    </row>
    <row r="294" spans="1:39" ht="10.5" customHeight="1" x14ac:dyDescent="0.25">
      <c r="A294" s="16"/>
      <c r="B294" s="2"/>
      <c r="C294" s="16"/>
      <c r="D294" s="2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18"/>
      <c r="AJ294" s="16"/>
      <c r="AK294" s="16"/>
      <c r="AL294" s="57"/>
      <c r="AM294" s="16"/>
    </row>
    <row r="295" spans="1:39" ht="10.5" customHeight="1" x14ac:dyDescent="0.25">
      <c r="A295" s="16"/>
      <c r="B295" s="2"/>
      <c r="C295" s="16"/>
      <c r="D295" s="2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18"/>
      <c r="AJ295" s="16"/>
      <c r="AK295" s="16"/>
      <c r="AL295" s="57"/>
      <c r="AM295" s="16"/>
    </row>
    <row r="296" spans="1:39" ht="10.5" customHeight="1" x14ac:dyDescent="0.25">
      <c r="A296" s="16"/>
      <c r="B296" s="2"/>
      <c r="C296" s="16"/>
      <c r="D296" s="2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18"/>
      <c r="AJ296" s="16"/>
      <c r="AK296" s="16"/>
      <c r="AL296" s="57"/>
      <c r="AM296" s="16"/>
    </row>
    <row r="297" spans="1:39" ht="10.5" customHeight="1" x14ac:dyDescent="0.25">
      <c r="A297" s="16"/>
      <c r="B297" s="2"/>
      <c r="C297" s="16"/>
      <c r="D297" s="2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18"/>
      <c r="AJ297" s="16"/>
      <c r="AK297" s="16"/>
      <c r="AL297" s="57"/>
      <c r="AM297" s="16"/>
    </row>
    <row r="298" spans="1:39" ht="10.5" customHeight="1" x14ac:dyDescent="0.25">
      <c r="A298" s="16"/>
      <c r="B298" s="2"/>
      <c r="C298" s="16"/>
      <c r="D298" s="2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18"/>
      <c r="AJ298" s="16"/>
      <c r="AK298" s="16"/>
      <c r="AL298" s="57"/>
      <c r="AM298" s="16"/>
    </row>
    <row r="299" spans="1:39" ht="10.5" customHeight="1" x14ac:dyDescent="0.25">
      <c r="A299" s="16"/>
      <c r="B299" s="2"/>
      <c r="C299" s="16"/>
      <c r="D299" s="2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18"/>
      <c r="AJ299" s="16"/>
      <c r="AK299" s="16"/>
      <c r="AL299" s="57"/>
      <c r="AM299" s="16"/>
    </row>
    <row r="300" spans="1:39" ht="10.5" customHeight="1" x14ac:dyDescent="0.25">
      <c r="A300" s="16"/>
      <c r="B300" s="2"/>
      <c r="C300" s="16"/>
      <c r="D300" s="2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18"/>
      <c r="AJ300" s="16"/>
      <c r="AK300" s="16"/>
      <c r="AL300" s="57"/>
      <c r="AM300" s="16"/>
    </row>
    <row r="301" spans="1:39" ht="10.5" customHeight="1" x14ac:dyDescent="0.25">
      <c r="A301" s="16"/>
      <c r="B301" s="2"/>
      <c r="C301" s="16"/>
      <c r="D301" s="2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18"/>
      <c r="AJ301" s="16"/>
      <c r="AK301" s="16"/>
      <c r="AL301" s="57"/>
      <c r="AM301" s="16"/>
    </row>
    <row r="302" spans="1:39" ht="10.5" customHeight="1" x14ac:dyDescent="0.25">
      <c r="A302" s="16"/>
      <c r="B302" s="2"/>
      <c r="C302" s="16"/>
      <c r="D302" s="2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18"/>
      <c r="AJ302" s="16"/>
      <c r="AK302" s="16"/>
      <c r="AL302" s="57"/>
      <c r="AM302" s="16"/>
    </row>
    <row r="303" spans="1:39" ht="10.5" customHeight="1" x14ac:dyDescent="0.25">
      <c r="A303" s="16"/>
      <c r="B303" s="2"/>
      <c r="C303" s="16"/>
      <c r="D303" s="2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18"/>
      <c r="AJ303" s="16"/>
      <c r="AK303" s="16"/>
      <c r="AL303" s="57"/>
      <c r="AM303" s="16"/>
    </row>
    <row r="304" spans="1:39" ht="10.5" customHeight="1" x14ac:dyDescent="0.25">
      <c r="A304" s="16"/>
      <c r="B304" s="2"/>
      <c r="C304" s="16"/>
      <c r="D304" s="2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18"/>
      <c r="AJ304" s="16"/>
      <c r="AK304" s="16"/>
      <c r="AL304" s="57"/>
      <c r="AM304" s="16"/>
    </row>
    <row r="305" spans="1:39" ht="10.5" customHeight="1" x14ac:dyDescent="0.25">
      <c r="A305" s="16"/>
      <c r="B305" s="2"/>
      <c r="C305" s="16"/>
      <c r="D305" s="2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18"/>
      <c r="AJ305" s="16"/>
      <c r="AK305" s="16"/>
      <c r="AL305" s="57"/>
      <c r="AM305" s="16"/>
    </row>
    <row r="306" spans="1:39" ht="10.5" customHeight="1" x14ac:dyDescent="0.25">
      <c r="A306" s="16"/>
      <c r="B306" s="2"/>
      <c r="C306" s="16"/>
      <c r="D306" s="2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18"/>
      <c r="AJ306" s="16"/>
      <c r="AK306" s="16"/>
      <c r="AL306" s="57"/>
      <c r="AM306" s="16"/>
    </row>
    <row r="307" spans="1:39" ht="10.5" customHeight="1" x14ac:dyDescent="0.25">
      <c r="A307" s="16"/>
      <c r="B307" s="2"/>
      <c r="C307" s="16"/>
      <c r="D307" s="2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18"/>
      <c r="AJ307" s="16"/>
      <c r="AK307" s="16"/>
      <c r="AL307" s="57"/>
      <c r="AM307" s="16"/>
    </row>
    <row r="308" spans="1:39" ht="10.5" customHeight="1" x14ac:dyDescent="0.25">
      <c r="A308" s="16"/>
      <c r="B308" s="2"/>
      <c r="C308" s="16"/>
      <c r="D308" s="2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18"/>
      <c r="AJ308" s="16"/>
      <c r="AK308" s="16"/>
      <c r="AL308" s="57"/>
      <c r="AM308" s="16"/>
    </row>
    <row r="309" spans="1:39" ht="10.5" customHeight="1" x14ac:dyDescent="0.25">
      <c r="A309" s="16"/>
      <c r="B309" s="2"/>
      <c r="C309" s="16"/>
      <c r="D309" s="2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18"/>
      <c r="AJ309" s="16"/>
      <c r="AK309" s="16"/>
      <c r="AL309" s="57"/>
      <c r="AM309" s="16"/>
    </row>
    <row r="310" spans="1:39" ht="10.5" customHeight="1" x14ac:dyDescent="0.25">
      <c r="A310" s="16"/>
      <c r="B310" s="2"/>
      <c r="C310" s="16"/>
      <c r="D310" s="2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18"/>
      <c r="AJ310" s="16"/>
      <c r="AK310" s="16"/>
      <c r="AL310" s="57"/>
      <c r="AM310" s="16"/>
    </row>
    <row r="311" spans="1:39" ht="10.5" customHeight="1" x14ac:dyDescent="0.25">
      <c r="A311" s="16"/>
      <c r="B311" s="2"/>
      <c r="C311" s="16"/>
      <c r="D311" s="2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18"/>
      <c r="AJ311" s="16"/>
      <c r="AK311" s="16"/>
      <c r="AL311" s="57"/>
      <c r="AM311" s="16"/>
    </row>
    <row r="312" spans="1:39" ht="10.5" customHeight="1" x14ac:dyDescent="0.25">
      <c r="A312" s="16"/>
      <c r="B312" s="2"/>
      <c r="C312" s="16"/>
      <c r="D312" s="2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18"/>
      <c r="AJ312" s="16"/>
      <c r="AK312" s="16"/>
      <c r="AL312" s="57"/>
      <c r="AM312" s="16"/>
    </row>
    <row r="313" spans="1:39" ht="10.5" customHeight="1" x14ac:dyDescent="0.25">
      <c r="A313" s="16"/>
      <c r="B313" s="2"/>
      <c r="C313" s="16"/>
      <c r="D313" s="2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18"/>
      <c r="AJ313" s="16"/>
      <c r="AK313" s="16"/>
      <c r="AL313" s="57"/>
      <c r="AM313" s="16"/>
    </row>
    <row r="314" spans="1:39" ht="10.5" customHeight="1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</row>
    <row r="315" spans="1:39" ht="10.5" customHeight="1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</row>
    <row r="316" spans="1:39" ht="10.5" customHeight="1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</row>
    <row r="317" spans="1:39" ht="10.5" customHeight="1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</row>
    <row r="318" spans="1:39" ht="10.5" customHeight="1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</row>
    <row r="319" spans="1:39" ht="10.5" customHeight="1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</row>
    <row r="320" spans="1:39" ht="10.5" customHeight="1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</row>
    <row r="321" spans="1:39" ht="10.5" customHeight="1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</row>
    <row r="322" spans="1:39" ht="10.5" customHeight="1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</row>
    <row r="323" spans="1:39" ht="10.5" customHeight="1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</row>
    <row r="324" spans="1:39" ht="10.5" customHeight="1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</row>
    <row r="325" spans="1:39" ht="10.5" customHeight="1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</row>
    <row r="326" spans="1:39" ht="10.5" customHeight="1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</row>
    <row r="327" spans="1:39" ht="10.5" customHeight="1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</row>
    <row r="328" spans="1:39" ht="10.5" customHeight="1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</row>
    <row r="329" spans="1:39" ht="10.5" customHeight="1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</row>
    <row r="330" spans="1:39" ht="10.5" customHeight="1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</row>
    <row r="331" spans="1:39" ht="10.5" customHeight="1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</row>
    <row r="332" spans="1:39" ht="10.5" customHeight="1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</row>
    <row r="333" spans="1:39" ht="10.5" customHeight="1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</row>
    <row r="334" spans="1:39" ht="10.5" customHeight="1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</row>
    <row r="335" spans="1:39" ht="10.5" customHeight="1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</row>
    <row r="336" spans="1:39" ht="10.5" customHeight="1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</row>
    <row r="337" spans="1:39" ht="10.5" customHeight="1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</row>
    <row r="338" spans="1:39" ht="10.5" customHeight="1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</row>
    <row r="339" spans="1:39" ht="10.5" customHeight="1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</row>
    <row r="340" spans="1:39" ht="10.5" customHeight="1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</row>
    <row r="341" spans="1:39" ht="10.5" customHeight="1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</row>
    <row r="342" spans="1:39" ht="10.5" customHeight="1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</row>
    <row r="343" spans="1:39" ht="10.5" customHeight="1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</row>
    <row r="344" spans="1:39" ht="10.5" customHeight="1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</row>
    <row r="345" spans="1:39" ht="10.5" customHeight="1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</row>
    <row r="346" spans="1:39" ht="10.5" customHeight="1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</row>
    <row r="347" spans="1:39" ht="10.5" customHeight="1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</row>
    <row r="348" spans="1:39" ht="10.5" customHeight="1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</row>
    <row r="349" spans="1:39" ht="10.5" customHeight="1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</row>
    <row r="350" spans="1:39" ht="10.5" customHeight="1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</row>
    <row r="351" spans="1:39" ht="10.5" customHeight="1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</row>
    <row r="352" spans="1:39" ht="10.5" customHeight="1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</row>
    <row r="353" spans="1:39" ht="10.5" customHeight="1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</row>
    <row r="354" spans="1:39" ht="10.5" customHeight="1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</row>
    <row r="355" spans="1:39" ht="10.5" customHeight="1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</row>
    <row r="356" spans="1:39" ht="10.5" customHeight="1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</row>
    <row r="357" spans="1:39" ht="10.5" customHeight="1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</row>
    <row r="358" spans="1:39" ht="10.5" customHeight="1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</row>
    <row r="359" spans="1:39" ht="10.5" customHeight="1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</row>
    <row r="360" spans="1:39" ht="10.5" customHeight="1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</row>
    <row r="361" spans="1:39" ht="10.5" customHeight="1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</row>
    <row r="362" spans="1:39" ht="10.5" customHeight="1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</row>
    <row r="363" spans="1:39" ht="10.5" customHeight="1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</row>
    <row r="364" spans="1:39" ht="10.5" customHeight="1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</row>
    <row r="365" spans="1:39" ht="10.5" customHeight="1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</row>
    <row r="366" spans="1:39" ht="10.5" customHeight="1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</row>
    <row r="367" spans="1:39" ht="10.5" customHeight="1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</row>
    <row r="368" spans="1:39" ht="10.5" customHeight="1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</row>
    <row r="369" spans="1:39" ht="10.5" customHeight="1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</row>
    <row r="370" spans="1:39" ht="10.5" customHeight="1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</row>
    <row r="371" spans="1:39" ht="10.5" customHeight="1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</row>
    <row r="372" spans="1:39" ht="10.5" customHeight="1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</row>
    <row r="373" spans="1:39" ht="10.5" customHeight="1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</row>
    <row r="374" spans="1:39" ht="10.5" customHeight="1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</row>
    <row r="375" spans="1:39" ht="10.5" customHeight="1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</row>
    <row r="376" spans="1:39" ht="10.5" customHeight="1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</row>
    <row r="377" spans="1:39" ht="10.5" customHeight="1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</row>
    <row r="378" spans="1:39" ht="10.5" customHeight="1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</row>
    <row r="379" spans="1:39" ht="10.5" customHeight="1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</row>
    <row r="380" spans="1:39" ht="10.5" customHeight="1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</row>
    <row r="381" spans="1:39" ht="10.5" customHeight="1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</row>
    <row r="382" spans="1:39" ht="10.5" customHeight="1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</row>
    <row r="383" spans="1:39" ht="10.5" customHeight="1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</row>
    <row r="384" spans="1:39" ht="10.5" customHeight="1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</row>
    <row r="385" spans="1:39" ht="10.5" customHeight="1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</row>
    <row r="386" spans="1:39" ht="10.5" customHeight="1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</row>
    <row r="387" spans="1:39" ht="10.5" customHeight="1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</row>
    <row r="388" spans="1:39" ht="10.5" customHeight="1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</row>
    <row r="389" spans="1:39" ht="10.5" customHeight="1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</row>
    <row r="390" spans="1:39" ht="10.5" customHeight="1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</row>
    <row r="391" spans="1:39" ht="10.5" customHeight="1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</row>
    <row r="392" spans="1:39" ht="10.5" customHeight="1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</row>
    <row r="393" spans="1:39" ht="10.5" customHeight="1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</row>
    <row r="394" spans="1:39" ht="10.5" customHeight="1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</row>
    <row r="395" spans="1:39" ht="10.5" customHeight="1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</row>
    <row r="396" spans="1:39" ht="10.5" customHeight="1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</row>
    <row r="397" spans="1:39" ht="10.5" customHeight="1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</row>
    <row r="398" spans="1:39" ht="10.5" customHeight="1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</row>
    <row r="399" spans="1:39" ht="10.5" customHeight="1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</row>
    <row r="400" spans="1:39" ht="10.5" customHeight="1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</row>
    <row r="401" spans="1:39" ht="10.5" customHeight="1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</row>
    <row r="402" spans="1:39" ht="10.5" customHeight="1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</row>
    <row r="403" spans="1:39" ht="10.5" customHeight="1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</row>
    <row r="404" spans="1:39" ht="10.5" customHeight="1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</row>
    <row r="405" spans="1:39" ht="10.5" customHeight="1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</row>
    <row r="406" spans="1:39" ht="10.5" customHeight="1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</row>
    <row r="407" spans="1:39" ht="10.5" customHeight="1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</row>
    <row r="408" spans="1:39" ht="10.5" customHeight="1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</row>
    <row r="409" spans="1:39" ht="10.5" customHeight="1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</row>
    <row r="410" spans="1:39" ht="10.5" customHeight="1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</row>
    <row r="411" spans="1:39" ht="10.5" customHeight="1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</row>
    <row r="412" spans="1:39" ht="10.5" customHeight="1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</row>
    <row r="413" spans="1:39" ht="10.5" customHeight="1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</row>
    <row r="414" spans="1:39" ht="10.5" customHeight="1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</row>
    <row r="415" spans="1:39" ht="10.5" customHeight="1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</row>
    <row r="416" spans="1:39" ht="10.5" customHeight="1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</row>
    <row r="417" spans="1:39" ht="10.5" customHeight="1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</row>
    <row r="418" spans="1:39" ht="10.5" customHeight="1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</row>
    <row r="419" spans="1:39" ht="10.5" customHeight="1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</row>
    <row r="420" spans="1:39" ht="10.5" customHeight="1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</row>
    <row r="421" spans="1:39" ht="10.5" customHeight="1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</row>
    <row r="422" spans="1:39" ht="10.5" customHeight="1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</row>
    <row r="423" spans="1:39" ht="10.5" customHeight="1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</row>
    <row r="424" spans="1:39" ht="10.5" customHeight="1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</row>
    <row r="425" spans="1:39" ht="10.5" customHeight="1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</row>
    <row r="426" spans="1:39" ht="10.5" customHeight="1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</row>
    <row r="427" spans="1:39" ht="10.5" customHeight="1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</row>
    <row r="428" spans="1:39" ht="10.5" customHeight="1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</row>
    <row r="429" spans="1:39" ht="10.5" customHeight="1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</row>
    <row r="430" spans="1:39" ht="10.5" customHeight="1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</row>
    <row r="431" spans="1:39" ht="10.5" customHeight="1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</row>
    <row r="432" spans="1:39" ht="10.5" customHeight="1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</row>
    <row r="433" spans="1:39" ht="10.5" customHeight="1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</row>
    <row r="434" spans="1:39" ht="10.5" customHeight="1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</row>
    <row r="435" spans="1:39" ht="10.5" customHeight="1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</row>
    <row r="436" spans="1:39" ht="10.5" customHeight="1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</row>
    <row r="437" spans="1:39" ht="10.5" customHeight="1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</row>
    <row r="438" spans="1:39" ht="10.5" customHeight="1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</row>
    <row r="439" spans="1:39" ht="10.5" customHeight="1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</row>
    <row r="440" spans="1:39" ht="10.5" customHeight="1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</row>
    <row r="441" spans="1:39" ht="10.5" customHeight="1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</row>
    <row r="442" spans="1:39" ht="10.5" customHeight="1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</row>
    <row r="443" spans="1:39" ht="10.5" customHeight="1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</row>
    <row r="444" spans="1:39" ht="10.5" customHeight="1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</row>
    <row r="445" spans="1:39" ht="10.5" customHeight="1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</row>
    <row r="446" spans="1:39" ht="10.5" customHeight="1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</row>
    <row r="447" spans="1:39" ht="10.5" customHeight="1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</row>
    <row r="448" spans="1:39" ht="10.5" customHeight="1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</row>
    <row r="449" spans="1:39" ht="10.5" customHeight="1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</row>
    <row r="450" spans="1:39" ht="10.5" customHeight="1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</row>
    <row r="451" spans="1:39" ht="10.5" customHeight="1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</row>
    <row r="452" spans="1:39" ht="10.5" customHeight="1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</row>
    <row r="453" spans="1:39" ht="10.5" customHeight="1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</row>
    <row r="454" spans="1:39" ht="10.5" customHeight="1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</row>
    <row r="455" spans="1:39" ht="10.5" customHeight="1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</row>
    <row r="456" spans="1:39" ht="10.5" customHeight="1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</row>
    <row r="457" spans="1:39" ht="10.5" customHeight="1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</row>
    <row r="458" spans="1:39" ht="10.5" customHeight="1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</row>
    <row r="459" spans="1:39" ht="10.5" customHeight="1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</row>
    <row r="460" spans="1:39" ht="10.5" customHeight="1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</row>
    <row r="461" spans="1:39" ht="10.5" customHeight="1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</row>
    <row r="462" spans="1:39" ht="10.5" customHeight="1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</row>
    <row r="463" spans="1:39" ht="10.5" customHeight="1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</row>
    <row r="464" spans="1:39" ht="10.5" customHeight="1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</row>
    <row r="465" spans="1:39" ht="10.5" customHeight="1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</row>
    <row r="466" spans="1:39" ht="10.5" customHeight="1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</row>
    <row r="467" spans="1:39" ht="10.5" customHeight="1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</row>
    <row r="468" spans="1:39" ht="10.5" customHeight="1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</row>
    <row r="469" spans="1:39" ht="10.5" customHeight="1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</row>
    <row r="470" spans="1:39" ht="10.5" customHeight="1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</row>
    <row r="471" spans="1:39" ht="10.5" customHeight="1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</row>
    <row r="472" spans="1:39" ht="10.5" customHeight="1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</row>
    <row r="473" spans="1:39" ht="10.5" customHeight="1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</row>
    <row r="474" spans="1:39" ht="10.5" customHeight="1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</row>
    <row r="475" spans="1:39" ht="10.5" customHeight="1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</row>
    <row r="476" spans="1:39" ht="10.5" customHeight="1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</row>
    <row r="477" spans="1:39" ht="10.5" customHeight="1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</row>
    <row r="478" spans="1:39" ht="10.5" customHeight="1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</row>
    <row r="479" spans="1:39" ht="10.5" customHeight="1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</row>
    <row r="480" spans="1:39" ht="10.5" customHeight="1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</row>
    <row r="481" spans="1:39" ht="10.5" customHeight="1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</row>
    <row r="482" spans="1:39" ht="10.5" customHeight="1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</row>
    <row r="483" spans="1:39" ht="10.5" customHeight="1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</row>
    <row r="484" spans="1:39" ht="10.5" customHeight="1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</row>
    <row r="485" spans="1:39" ht="10.5" customHeight="1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</row>
    <row r="486" spans="1:39" ht="10.5" customHeight="1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</row>
    <row r="487" spans="1:39" ht="10.5" customHeight="1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</row>
    <row r="488" spans="1:39" ht="10.5" customHeight="1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</row>
    <row r="489" spans="1:39" ht="10.5" customHeight="1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</row>
    <row r="490" spans="1:39" ht="10.5" customHeight="1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</row>
    <row r="491" spans="1:39" ht="10.5" customHeight="1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</row>
    <row r="492" spans="1:39" ht="10.5" customHeight="1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</row>
    <row r="493" spans="1:39" ht="10.5" customHeight="1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</row>
    <row r="494" spans="1:39" ht="10.5" customHeight="1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</row>
    <row r="495" spans="1:39" ht="10.5" customHeight="1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</row>
    <row r="496" spans="1:39" ht="10.5" customHeight="1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</row>
    <row r="497" spans="1:39" ht="10.5" customHeight="1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</row>
    <row r="498" spans="1:39" ht="10.5" customHeight="1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</row>
    <row r="499" spans="1:39" ht="10.5" customHeight="1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</row>
    <row r="500" spans="1:39" ht="10.5" customHeight="1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</row>
    <row r="501" spans="1:39" ht="10.5" customHeight="1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</row>
    <row r="502" spans="1:39" ht="10.5" customHeight="1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</row>
    <row r="503" spans="1:39" ht="10.5" customHeight="1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</row>
    <row r="504" spans="1:39" ht="10.5" customHeight="1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</row>
    <row r="505" spans="1:39" ht="10.5" customHeight="1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</row>
    <row r="506" spans="1:39" ht="10.5" customHeight="1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</row>
    <row r="507" spans="1:39" ht="10.5" customHeight="1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</row>
    <row r="508" spans="1:39" ht="10.5" customHeight="1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</row>
    <row r="509" spans="1:39" ht="10.5" customHeight="1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</row>
    <row r="510" spans="1:39" ht="10.5" customHeight="1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</row>
    <row r="511" spans="1:39" ht="10.5" customHeight="1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</row>
    <row r="512" spans="1:39" ht="10.5" customHeight="1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</row>
    <row r="513" spans="1:39" ht="10.5" customHeight="1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</row>
    <row r="514" spans="1:39" ht="10.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</row>
    <row r="515" spans="1:39" ht="10.5" customHeight="1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</row>
    <row r="516" spans="1:39" ht="10.5" customHeight="1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</row>
    <row r="517" spans="1:39" ht="10.5" customHeight="1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</row>
    <row r="518" spans="1:39" ht="10.5" customHeight="1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</row>
    <row r="519" spans="1:39" ht="10.5" customHeight="1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</row>
    <row r="520" spans="1:39" ht="10.5" customHeight="1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</row>
    <row r="521" spans="1:39" ht="10.5" customHeight="1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</row>
    <row r="522" spans="1:39" ht="10.5" customHeight="1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</row>
    <row r="523" spans="1:39" ht="10.5" customHeight="1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</row>
    <row r="524" spans="1:39" ht="10.5" customHeight="1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</row>
    <row r="525" spans="1:39" ht="10.5" customHeight="1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</row>
    <row r="526" spans="1:39" ht="10.5" customHeight="1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</row>
    <row r="527" spans="1:39" ht="10.5" customHeight="1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</row>
    <row r="528" spans="1:39" ht="10.5" customHeight="1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</row>
    <row r="529" spans="1:39" ht="10.5" customHeight="1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</row>
    <row r="530" spans="1:39" ht="10.5" customHeight="1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</row>
    <row r="531" spans="1:39" ht="10.5" customHeight="1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</row>
    <row r="532" spans="1:39" ht="10.5" customHeight="1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</row>
    <row r="533" spans="1:39" ht="10.5" customHeight="1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</row>
    <row r="534" spans="1:39" ht="10.5" customHeight="1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</row>
    <row r="535" spans="1:39" ht="10.5" customHeight="1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</row>
    <row r="536" spans="1:39" ht="10.5" customHeight="1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</row>
    <row r="537" spans="1:39" ht="10.5" customHeight="1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</row>
    <row r="538" spans="1:39" ht="10.5" customHeight="1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</row>
    <row r="539" spans="1:39" ht="10.5" customHeight="1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</row>
    <row r="540" spans="1:39" ht="10.5" customHeight="1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</row>
    <row r="541" spans="1:39" ht="10.5" customHeight="1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</row>
    <row r="542" spans="1:39" ht="10.5" customHeight="1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</row>
    <row r="543" spans="1:39" ht="10.5" customHeight="1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</row>
    <row r="544" spans="1:39" ht="10.5" customHeight="1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</row>
    <row r="545" spans="1:39" ht="10.5" customHeight="1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</row>
    <row r="546" spans="1:39" ht="10.5" customHeight="1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</row>
    <row r="547" spans="1:39" ht="10.5" customHeight="1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</row>
    <row r="548" spans="1:39" ht="10.5" customHeight="1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</row>
    <row r="549" spans="1:39" ht="10.5" customHeight="1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</row>
    <row r="550" spans="1:39" ht="10.5" customHeight="1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</row>
    <row r="551" spans="1:39" ht="10.5" customHeight="1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</row>
    <row r="552" spans="1:39" ht="10.5" customHeight="1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</row>
    <row r="553" spans="1:39" ht="10.5" customHeight="1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</row>
    <row r="554" spans="1:39" ht="10.5" customHeight="1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</row>
    <row r="555" spans="1:39" ht="10.5" customHeight="1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</row>
    <row r="556" spans="1:39" ht="10.5" customHeight="1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</row>
    <row r="557" spans="1:39" ht="10.5" customHeight="1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</row>
    <row r="558" spans="1:39" ht="10.5" customHeight="1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</row>
    <row r="559" spans="1:39" ht="10.5" customHeight="1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</row>
    <row r="560" spans="1:39" ht="10.5" customHeight="1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</row>
    <row r="561" spans="1:39" ht="10.5" customHeight="1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</row>
    <row r="562" spans="1:39" ht="10.5" customHeight="1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</row>
    <row r="563" spans="1:39" ht="10.5" customHeight="1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</row>
    <row r="564" spans="1:39" ht="10.5" customHeight="1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</row>
    <row r="565" spans="1:39" ht="10.5" customHeight="1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</row>
    <row r="566" spans="1:39" ht="10.5" customHeight="1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</row>
    <row r="567" spans="1:39" ht="10.5" customHeight="1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</row>
    <row r="568" spans="1:39" ht="10.5" customHeight="1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</row>
    <row r="569" spans="1:39" ht="10.5" customHeight="1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</row>
    <row r="570" spans="1:39" ht="10.5" customHeight="1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</row>
    <row r="571" spans="1:39" ht="10.5" customHeight="1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</row>
    <row r="572" spans="1:39" ht="10.5" customHeight="1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</row>
    <row r="573" spans="1:39" ht="10.5" customHeight="1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</row>
    <row r="574" spans="1:39" ht="10.5" customHeight="1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</row>
    <row r="575" spans="1:39" ht="10.5" customHeight="1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</row>
    <row r="576" spans="1:39" ht="10.5" customHeight="1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</row>
    <row r="577" spans="1:39" ht="10.5" customHeight="1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</row>
    <row r="578" spans="1:39" ht="10.5" customHeight="1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</row>
    <row r="579" spans="1:39" ht="10.5" customHeight="1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</row>
    <row r="580" spans="1:39" ht="10.5" customHeight="1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</row>
    <row r="581" spans="1:39" ht="10.5" customHeight="1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</row>
    <row r="582" spans="1:39" ht="10.5" customHeight="1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</row>
    <row r="583" spans="1:39" ht="10.5" customHeight="1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</row>
    <row r="584" spans="1:39" ht="10.5" customHeight="1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</row>
    <row r="585" spans="1:39" ht="10.5" customHeight="1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</row>
    <row r="586" spans="1:39" ht="10.5" customHeight="1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</row>
    <row r="587" spans="1:39" ht="10.5" customHeight="1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</row>
    <row r="588" spans="1:39" ht="10.5" customHeight="1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</row>
    <row r="589" spans="1:39" ht="10.5" customHeight="1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</row>
    <row r="590" spans="1:39" ht="10.5" customHeight="1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</row>
    <row r="591" spans="1:39" ht="10.5" customHeight="1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</row>
    <row r="592" spans="1:39" ht="10.5" customHeight="1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</row>
    <row r="593" spans="1:39" ht="10.5" customHeight="1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</row>
    <row r="594" spans="1:39" ht="10.5" customHeight="1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</row>
    <row r="595" spans="1:39" ht="10.5" customHeight="1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</row>
    <row r="596" spans="1:39" ht="10.5" customHeight="1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</row>
    <row r="597" spans="1:39" ht="10.5" customHeight="1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</row>
    <row r="598" spans="1:39" ht="10.5" customHeight="1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</row>
    <row r="599" spans="1:39" ht="10.5" customHeight="1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</row>
    <row r="600" spans="1:39" ht="10.5" customHeight="1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</row>
    <row r="601" spans="1:39" ht="10.5" customHeight="1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</row>
    <row r="602" spans="1:39" ht="10.5" customHeight="1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</row>
    <row r="603" spans="1:39" ht="10.5" customHeight="1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</row>
    <row r="604" spans="1:39" ht="10.5" customHeight="1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</row>
    <row r="605" spans="1:39" ht="10.5" customHeight="1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</row>
    <row r="606" spans="1:39" ht="10.5" customHeight="1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</row>
    <row r="607" spans="1:39" ht="10.5" customHeight="1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</row>
    <row r="608" spans="1:39" ht="10.5" customHeight="1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</row>
    <row r="609" spans="1:39" ht="10.5" customHeight="1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</row>
    <row r="610" spans="1:39" ht="10.5" customHeight="1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</row>
    <row r="611" spans="1:39" ht="10.5" customHeight="1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</row>
    <row r="612" spans="1:39" ht="10.5" customHeight="1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</row>
    <row r="613" spans="1:39" ht="10.5" customHeight="1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</row>
    <row r="614" spans="1:39" ht="10.5" customHeight="1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</row>
    <row r="615" spans="1:39" ht="10.5" customHeight="1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</row>
    <row r="616" spans="1:39" ht="10.5" customHeight="1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</row>
    <row r="617" spans="1:39" ht="10.5" customHeight="1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</row>
    <row r="618" spans="1:39" ht="10.5" customHeight="1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</row>
    <row r="619" spans="1:39" ht="10.5" customHeight="1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</row>
    <row r="620" spans="1:39" ht="10.5" customHeight="1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</row>
    <row r="621" spans="1:39" ht="10.5" customHeight="1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</row>
    <row r="622" spans="1:39" ht="10.5" customHeight="1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</row>
    <row r="623" spans="1:39" ht="10.5" customHeight="1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</row>
    <row r="624" spans="1:39" ht="10.5" customHeight="1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</row>
    <row r="625" spans="1:39" ht="10.5" customHeight="1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</row>
    <row r="626" spans="1:39" ht="10.5" customHeight="1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</row>
    <row r="627" spans="1:39" ht="10.5" customHeight="1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</row>
    <row r="628" spans="1:39" ht="10.5" customHeight="1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</row>
    <row r="629" spans="1:39" ht="10.5" customHeight="1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</row>
    <row r="630" spans="1:39" ht="10.5" customHeight="1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</row>
    <row r="631" spans="1:39" ht="10.5" customHeight="1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</row>
    <row r="632" spans="1:39" ht="10.5" customHeight="1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</row>
    <row r="633" spans="1:39" ht="10.5" customHeight="1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</row>
    <row r="634" spans="1:39" ht="10.5" customHeight="1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</row>
    <row r="635" spans="1:39" ht="10.5" customHeight="1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</row>
    <row r="636" spans="1:39" ht="10.5" customHeight="1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</row>
    <row r="637" spans="1:39" ht="10.5" customHeight="1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</row>
    <row r="638" spans="1:39" ht="10.5" customHeight="1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</row>
    <row r="639" spans="1:39" ht="10.5" customHeight="1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</row>
    <row r="640" spans="1:39" ht="10.5" customHeight="1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</row>
    <row r="641" spans="1:39" ht="10.5" customHeight="1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</row>
    <row r="642" spans="1:39" ht="10.5" customHeight="1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</row>
    <row r="643" spans="1:39" ht="10.5" customHeight="1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</row>
    <row r="644" spans="1:39" ht="10.5" customHeight="1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</row>
    <row r="645" spans="1:39" ht="10.5" customHeight="1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</row>
    <row r="646" spans="1:39" ht="10.5" customHeight="1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</row>
    <row r="647" spans="1:39" ht="10.5" customHeight="1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</row>
    <row r="648" spans="1:39" ht="10.5" customHeight="1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</row>
    <row r="649" spans="1:39" ht="10.5" customHeight="1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</row>
    <row r="650" spans="1:39" ht="10.5" customHeight="1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</row>
    <row r="651" spans="1:39" ht="10.5" customHeight="1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</row>
    <row r="652" spans="1:39" ht="10.5" customHeight="1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</row>
    <row r="653" spans="1:39" ht="10.5" customHeight="1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</row>
    <row r="654" spans="1:39" ht="10.5" customHeight="1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</row>
    <row r="655" spans="1:39" ht="10.5" customHeight="1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</row>
    <row r="656" spans="1:39" ht="10.5" customHeight="1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</row>
    <row r="657" spans="1:39" ht="10.5" customHeight="1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</row>
    <row r="658" spans="1:39" ht="10.5" customHeight="1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</row>
    <row r="659" spans="1:39" ht="10.5" customHeight="1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</row>
    <row r="660" spans="1:39" ht="10.5" customHeight="1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</row>
    <row r="661" spans="1:39" ht="10.5" customHeight="1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</row>
    <row r="662" spans="1:39" ht="10.5" customHeight="1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</row>
    <row r="663" spans="1:39" ht="10.5" customHeight="1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</row>
    <row r="664" spans="1:39" ht="10.5" customHeight="1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</row>
    <row r="665" spans="1:39" ht="10.5" customHeight="1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</row>
    <row r="666" spans="1:39" ht="10.5" customHeight="1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</row>
    <row r="667" spans="1:39" ht="10.5" customHeight="1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</row>
    <row r="668" spans="1:39" ht="10.5" customHeight="1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</row>
    <row r="669" spans="1:39" ht="10.5" customHeight="1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</row>
    <row r="670" spans="1:39" ht="10.5" customHeight="1" x14ac:dyDescent="0.25">
      <c r="A670" s="15"/>
      <c r="B670" s="2"/>
      <c r="C670" s="16"/>
      <c r="D670" s="2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18"/>
      <c r="AJ670" s="16"/>
      <c r="AK670" s="16"/>
      <c r="AL670" s="56"/>
      <c r="AM670" s="4"/>
    </row>
    <row r="671" spans="1:39" ht="10.5" customHeight="1" x14ac:dyDescent="0.25">
      <c r="A671" s="15"/>
      <c r="B671" s="2"/>
      <c r="C671" s="16"/>
      <c r="D671" s="2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18"/>
      <c r="AJ671" s="16"/>
      <c r="AK671" s="16"/>
      <c r="AL671" s="56"/>
      <c r="AM671" s="4"/>
    </row>
    <row r="672" spans="1:39" ht="10.5" customHeight="1" x14ac:dyDescent="0.25">
      <c r="A672" s="15"/>
      <c r="B672" s="2"/>
      <c r="C672" s="16"/>
      <c r="D672" s="2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18"/>
      <c r="AJ672" s="16"/>
      <c r="AK672" s="16"/>
      <c r="AL672" s="56"/>
      <c r="AM672" s="4"/>
    </row>
    <row r="673" spans="1:39" ht="10.5" customHeight="1" x14ac:dyDescent="0.25">
      <c r="A673" s="15"/>
      <c r="B673" s="2"/>
      <c r="C673" s="16"/>
      <c r="D673" s="2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18"/>
      <c r="AJ673" s="16"/>
      <c r="AK673" s="16"/>
      <c r="AL673" s="56"/>
      <c r="AM673" s="4"/>
    </row>
    <row r="674" spans="1:39" ht="10.5" customHeight="1" x14ac:dyDescent="0.25">
      <c r="A674" s="15"/>
      <c r="B674" s="2"/>
      <c r="C674" s="16"/>
      <c r="D674" s="2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18"/>
      <c r="AJ674" s="16"/>
      <c r="AK674" s="16"/>
      <c r="AL674" s="56"/>
      <c r="AM674" s="4"/>
    </row>
    <row r="675" spans="1:39" ht="10.5" customHeight="1" x14ac:dyDescent="0.25">
      <c r="A675" s="15"/>
      <c r="B675" s="2"/>
      <c r="C675" s="16"/>
      <c r="D675" s="2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18"/>
      <c r="AJ675" s="16"/>
      <c r="AK675" s="16"/>
      <c r="AL675" s="56"/>
      <c r="AM675" s="4"/>
    </row>
    <row r="676" spans="1:39" ht="10.5" customHeight="1" x14ac:dyDescent="0.25">
      <c r="A676" s="15"/>
      <c r="B676" s="2"/>
      <c r="C676" s="16"/>
      <c r="D676" s="2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18"/>
      <c r="AJ676" s="16"/>
      <c r="AK676" s="16"/>
      <c r="AL676" s="56"/>
      <c r="AM676" s="4"/>
    </row>
    <row r="677" spans="1:39" ht="10.5" customHeight="1" x14ac:dyDescent="0.25">
      <c r="A677" s="15"/>
      <c r="B677" s="2"/>
      <c r="C677" s="16"/>
      <c r="D677" s="2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18"/>
      <c r="AJ677" s="16"/>
      <c r="AK677" s="16"/>
      <c r="AL677" s="56"/>
      <c r="AM677" s="4"/>
    </row>
    <row r="678" spans="1:39" ht="10.5" customHeight="1" x14ac:dyDescent="0.25">
      <c r="A678" s="15"/>
      <c r="B678" s="2"/>
      <c r="C678" s="16"/>
      <c r="D678" s="2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18"/>
      <c r="AJ678" s="16"/>
      <c r="AK678" s="16"/>
      <c r="AL678" s="56"/>
      <c r="AM678" s="4"/>
    </row>
    <row r="679" spans="1:39" ht="10.5" customHeight="1" x14ac:dyDescent="0.25">
      <c r="A679" s="15"/>
      <c r="B679" s="2"/>
      <c r="C679" s="16"/>
      <c r="D679" s="2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18"/>
      <c r="AJ679" s="16"/>
      <c r="AK679" s="16"/>
      <c r="AL679" s="56"/>
      <c r="AM679" s="4"/>
    </row>
    <row r="680" spans="1:39" ht="10.5" customHeight="1" x14ac:dyDescent="0.25">
      <c r="A680" s="15"/>
      <c r="B680" s="2"/>
      <c r="C680" s="16"/>
      <c r="D680" s="2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18"/>
      <c r="AJ680" s="16"/>
      <c r="AK680" s="16"/>
      <c r="AL680" s="56"/>
      <c r="AM680" s="4"/>
    </row>
    <row r="681" spans="1:39" ht="10.5" customHeight="1" x14ac:dyDescent="0.25">
      <c r="A681" s="15"/>
      <c r="B681" s="2"/>
      <c r="C681" s="16"/>
      <c r="D681" s="2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18"/>
      <c r="AJ681" s="16"/>
      <c r="AK681" s="16"/>
      <c r="AL681" s="56"/>
      <c r="AM681" s="4"/>
    </row>
    <row r="682" spans="1:39" ht="10.5" customHeight="1" x14ac:dyDescent="0.25">
      <c r="A682" s="15"/>
      <c r="B682" s="2"/>
      <c r="C682" s="16"/>
      <c r="D682" s="2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18"/>
      <c r="AJ682" s="16"/>
      <c r="AK682" s="16"/>
      <c r="AL682" s="56"/>
      <c r="AM682" s="4"/>
    </row>
    <row r="683" spans="1:39" ht="10.5" customHeight="1" x14ac:dyDescent="0.25">
      <c r="A683" s="15"/>
      <c r="B683" s="2"/>
      <c r="C683" s="16"/>
      <c r="D683" s="2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18"/>
      <c r="AJ683" s="16"/>
      <c r="AK683" s="16"/>
      <c r="AL683" s="56"/>
      <c r="AM683" s="4"/>
    </row>
    <row r="684" spans="1:39" ht="10.5" customHeight="1" x14ac:dyDescent="0.25">
      <c r="A684" s="15"/>
      <c r="B684" s="2"/>
      <c r="C684" s="16"/>
      <c r="D684" s="2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18"/>
      <c r="AJ684" s="16"/>
      <c r="AK684" s="16"/>
      <c r="AL684" s="56"/>
      <c r="AM684" s="4"/>
    </row>
    <row r="685" spans="1:39" ht="10.5" customHeight="1" x14ac:dyDescent="0.25">
      <c r="A685" s="15"/>
      <c r="B685" s="2"/>
      <c r="C685" s="16"/>
      <c r="D685" s="2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18"/>
      <c r="AJ685" s="16"/>
      <c r="AK685" s="16"/>
      <c r="AL685" s="56"/>
      <c r="AM685" s="4"/>
    </row>
    <row r="686" spans="1:39" ht="10.5" customHeight="1" x14ac:dyDescent="0.25">
      <c r="A686" s="15"/>
      <c r="B686" s="2"/>
      <c r="C686" s="16"/>
      <c r="D686" s="2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18"/>
      <c r="AJ686" s="16"/>
      <c r="AK686" s="16"/>
      <c r="AL686" s="56"/>
      <c r="AM686" s="4"/>
    </row>
    <row r="687" spans="1:39" ht="10.5" customHeight="1" x14ac:dyDescent="0.25">
      <c r="A687" s="15"/>
      <c r="B687" s="2"/>
      <c r="C687" s="16"/>
      <c r="D687" s="2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18"/>
      <c r="AJ687" s="16"/>
      <c r="AK687" s="16"/>
      <c r="AL687" s="56"/>
      <c r="AM687" s="4"/>
    </row>
    <row r="688" spans="1:39" ht="10.5" customHeight="1" x14ac:dyDescent="0.25">
      <c r="A688" s="15"/>
      <c r="B688" s="2"/>
      <c r="C688" s="16"/>
      <c r="D688" s="2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18"/>
      <c r="AJ688" s="16"/>
      <c r="AK688" s="16"/>
      <c r="AL688" s="56"/>
      <c r="AM688" s="4"/>
    </row>
    <row r="689" spans="1:39" ht="10.5" customHeight="1" x14ac:dyDescent="0.25">
      <c r="A689" s="15"/>
      <c r="B689" s="2"/>
      <c r="C689" s="16"/>
      <c r="D689" s="2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18"/>
      <c r="AJ689" s="16"/>
      <c r="AK689" s="16"/>
      <c r="AL689" s="56"/>
      <c r="AM689" s="4"/>
    </row>
    <row r="690" spans="1:39" ht="10.5" customHeight="1" x14ac:dyDescent="0.25">
      <c r="A690" s="15"/>
      <c r="B690" s="2"/>
      <c r="C690" s="16"/>
      <c r="D690" s="2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18"/>
      <c r="AJ690" s="16"/>
      <c r="AK690" s="16"/>
      <c r="AL690" s="56"/>
      <c r="AM690" s="4"/>
    </row>
    <row r="691" spans="1:39" ht="10.5" customHeight="1" x14ac:dyDescent="0.25">
      <c r="A691" s="15"/>
      <c r="B691" s="2"/>
      <c r="C691" s="16"/>
      <c r="D691" s="2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18"/>
      <c r="AJ691" s="16"/>
      <c r="AK691" s="16"/>
      <c r="AL691" s="56"/>
      <c r="AM691" s="4"/>
    </row>
    <row r="692" spans="1:39" ht="10.5" customHeight="1" x14ac:dyDescent="0.25">
      <c r="A692" s="15"/>
      <c r="B692" s="2"/>
      <c r="C692" s="16"/>
      <c r="D692" s="2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18"/>
      <c r="AJ692" s="16"/>
      <c r="AK692" s="16"/>
      <c r="AL692" s="56"/>
      <c r="AM692" s="4"/>
    </row>
    <row r="693" spans="1:39" ht="10.5" customHeight="1" x14ac:dyDescent="0.25">
      <c r="A693" s="15"/>
      <c r="B693" s="2"/>
      <c r="C693" s="16"/>
      <c r="D693" s="2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18"/>
      <c r="AJ693" s="16"/>
      <c r="AK693" s="16"/>
      <c r="AL693" s="56"/>
      <c r="AM693" s="4"/>
    </row>
    <row r="694" spans="1:39" ht="10.5" customHeight="1" x14ac:dyDescent="0.25">
      <c r="A694" s="15"/>
      <c r="B694" s="2"/>
      <c r="C694" s="16"/>
      <c r="D694" s="2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18"/>
      <c r="AJ694" s="16"/>
      <c r="AK694" s="16"/>
      <c r="AL694" s="56"/>
      <c r="AM694" s="4"/>
    </row>
    <row r="695" spans="1:39" ht="10.5" customHeight="1" x14ac:dyDescent="0.25">
      <c r="A695" s="15"/>
      <c r="B695" s="2"/>
      <c r="C695" s="16"/>
      <c r="D695" s="2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18"/>
      <c r="AJ695" s="16"/>
      <c r="AK695" s="16"/>
      <c r="AL695" s="56"/>
      <c r="AM695" s="4"/>
    </row>
    <row r="696" spans="1:39" ht="10.5" customHeight="1" x14ac:dyDescent="0.25">
      <c r="A696" s="15"/>
      <c r="B696" s="2"/>
      <c r="C696" s="16"/>
      <c r="D696" s="2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18"/>
      <c r="AJ696" s="16"/>
      <c r="AK696" s="16"/>
      <c r="AL696" s="56"/>
      <c r="AM696" s="4"/>
    </row>
    <row r="697" spans="1:39" ht="10.5" customHeight="1" x14ac:dyDescent="0.25">
      <c r="A697" s="15"/>
      <c r="B697" s="2"/>
      <c r="C697" s="16"/>
      <c r="D697" s="2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18"/>
      <c r="AJ697" s="16"/>
      <c r="AK697" s="16"/>
      <c r="AL697" s="56"/>
      <c r="AM697" s="4"/>
    </row>
    <row r="698" spans="1:39" ht="10.5" customHeight="1" x14ac:dyDescent="0.25">
      <c r="A698" s="15"/>
      <c r="B698" s="2"/>
      <c r="C698" s="16"/>
      <c r="D698" s="2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18"/>
      <c r="AJ698" s="16"/>
      <c r="AK698" s="16"/>
      <c r="AL698" s="56"/>
      <c r="AM698" s="4"/>
    </row>
    <row r="699" spans="1:39" ht="10.5" customHeight="1" x14ac:dyDescent="0.25">
      <c r="A699" s="15"/>
      <c r="B699" s="2"/>
      <c r="C699" s="16"/>
      <c r="D699" s="2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18"/>
      <c r="AJ699" s="16"/>
      <c r="AK699" s="16"/>
      <c r="AL699" s="56"/>
      <c r="AM699" s="4"/>
    </row>
    <row r="700" spans="1:39" ht="10.5" customHeight="1" x14ac:dyDescent="0.25">
      <c r="A700" s="15"/>
      <c r="B700" s="2"/>
      <c r="C700" s="16"/>
      <c r="D700" s="2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18"/>
      <c r="AJ700" s="16"/>
      <c r="AK700" s="16"/>
      <c r="AL700" s="56"/>
      <c r="AM700" s="4"/>
    </row>
    <row r="701" spans="1:39" ht="10.5" customHeight="1" x14ac:dyDescent="0.25">
      <c r="A701" s="15"/>
      <c r="B701" s="2"/>
      <c r="C701" s="16"/>
      <c r="D701" s="2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18"/>
      <c r="AJ701" s="16"/>
      <c r="AK701" s="16"/>
      <c r="AL701" s="56"/>
      <c r="AM701" s="4"/>
    </row>
    <row r="702" spans="1:39" ht="10.5" customHeight="1" x14ac:dyDescent="0.25">
      <c r="A702" s="15"/>
      <c r="B702" s="2"/>
      <c r="C702" s="16"/>
      <c r="D702" s="2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18"/>
      <c r="AJ702" s="16"/>
      <c r="AK702" s="16"/>
      <c r="AL702" s="56"/>
      <c r="AM702" s="4"/>
    </row>
    <row r="703" spans="1:39" ht="10.5" customHeight="1" x14ac:dyDescent="0.25">
      <c r="A703" s="15"/>
      <c r="B703" s="2"/>
      <c r="C703" s="16"/>
      <c r="D703" s="2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18"/>
      <c r="AJ703" s="16"/>
      <c r="AK703" s="16"/>
      <c r="AL703" s="56"/>
      <c r="AM703" s="4"/>
    </row>
    <row r="704" spans="1:39" ht="10.5" customHeight="1" x14ac:dyDescent="0.25">
      <c r="A704" s="15"/>
      <c r="B704" s="2"/>
      <c r="C704" s="16"/>
      <c r="D704" s="2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18"/>
      <c r="AJ704" s="16"/>
      <c r="AK704" s="16"/>
      <c r="AL704" s="56"/>
      <c r="AM704" s="4"/>
    </row>
    <row r="705" spans="1:39" ht="10.5" customHeight="1" x14ac:dyDescent="0.25">
      <c r="A705" s="15"/>
      <c r="B705" s="2"/>
      <c r="C705" s="16"/>
      <c r="D705" s="2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18"/>
      <c r="AJ705" s="16"/>
      <c r="AK705" s="16"/>
      <c r="AL705" s="56"/>
      <c r="AM705" s="4"/>
    </row>
    <row r="706" spans="1:39" ht="10.5" customHeight="1" x14ac:dyDescent="0.25">
      <c r="A706" s="15"/>
      <c r="B706" s="2"/>
      <c r="C706" s="16"/>
      <c r="D706" s="2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18"/>
      <c r="AJ706" s="16"/>
      <c r="AK706" s="16"/>
      <c r="AL706" s="56"/>
      <c r="AM706" s="4"/>
    </row>
    <row r="707" spans="1:39" ht="10.5" customHeight="1" x14ac:dyDescent="0.25">
      <c r="A707" s="15"/>
      <c r="B707" s="2"/>
      <c r="C707" s="16"/>
      <c r="D707" s="2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18"/>
      <c r="AJ707" s="16"/>
      <c r="AK707" s="16"/>
      <c r="AL707" s="56"/>
      <c r="AM707" s="4"/>
    </row>
    <row r="708" spans="1:39" ht="10.5" customHeight="1" x14ac:dyDescent="0.25">
      <c r="A708" s="15"/>
      <c r="B708" s="2"/>
      <c r="C708" s="16"/>
      <c r="D708" s="2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18"/>
      <c r="AJ708" s="16"/>
      <c r="AK708" s="16"/>
      <c r="AL708" s="56"/>
      <c r="AM708" s="4"/>
    </row>
    <row r="709" spans="1:39" ht="10.5" customHeight="1" x14ac:dyDescent="0.25">
      <c r="A709" s="15"/>
      <c r="B709" s="2"/>
      <c r="C709" s="16"/>
      <c r="D709" s="2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18"/>
      <c r="AJ709" s="16"/>
      <c r="AK709" s="16"/>
      <c r="AL709" s="56"/>
      <c r="AM709" s="4"/>
    </row>
    <row r="710" spans="1:39" ht="10.5" customHeight="1" x14ac:dyDescent="0.25">
      <c r="A710" s="15"/>
      <c r="B710" s="2"/>
      <c r="C710" s="16"/>
      <c r="D710" s="2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18"/>
      <c r="AJ710" s="16"/>
      <c r="AK710" s="16"/>
      <c r="AL710" s="56"/>
      <c r="AM710" s="4"/>
    </row>
    <row r="711" spans="1:39" ht="10.5" customHeight="1" x14ac:dyDescent="0.25">
      <c r="A711" s="15"/>
      <c r="B711" s="2"/>
      <c r="C711" s="16"/>
      <c r="D711" s="2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18"/>
      <c r="AJ711" s="16"/>
      <c r="AK711" s="16"/>
      <c r="AL711" s="56"/>
      <c r="AM711" s="4"/>
    </row>
    <row r="712" spans="1:39" ht="10.5" customHeight="1" x14ac:dyDescent="0.25">
      <c r="A712" s="15"/>
      <c r="B712" s="2"/>
      <c r="C712" s="16"/>
      <c r="D712" s="2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18"/>
      <c r="AJ712" s="16"/>
      <c r="AK712" s="16"/>
      <c r="AL712" s="56"/>
      <c r="AM712" s="4"/>
    </row>
    <row r="713" spans="1:39" ht="10.5" customHeight="1" x14ac:dyDescent="0.25">
      <c r="A713" s="15"/>
      <c r="B713" s="2"/>
      <c r="C713" s="16"/>
      <c r="D713" s="2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18"/>
      <c r="AJ713" s="16"/>
      <c r="AK713" s="16"/>
      <c r="AL713" s="56"/>
      <c r="AM713" s="4"/>
    </row>
    <row r="714" spans="1:39" ht="10.5" customHeight="1" x14ac:dyDescent="0.25">
      <c r="A714" s="15"/>
      <c r="B714" s="2"/>
      <c r="C714" s="16"/>
      <c r="D714" s="2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18"/>
      <c r="AJ714" s="16"/>
      <c r="AK714" s="16"/>
      <c r="AL714" s="56"/>
      <c r="AM714" s="4"/>
    </row>
    <row r="715" spans="1:39" ht="10.5" customHeight="1" x14ac:dyDescent="0.25">
      <c r="A715" s="15"/>
      <c r="B715" s="2"/>
      <c r="C715" s="16"/>
      <c r="D715" s="2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18"/>
      <c r="AJ715" s="16"/>
      <c r="AK715" s="16"/>
      <c r="AL715" s="56"/>
      <c r="AM715" s="4"/>
    </row>
    <row r="716" spans="1:39" ht="10.5" customHeight="1" x14ac:dyDescent="0.25">
      <c r="A716" s="15"/>
      <c r="B716" s="2"/>
      <c r="C716" s="16"/>
      <c r="D716" s="2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18"/>
      <c r="AJ716" s="16"/>
      <c r="AK716" s="16"/>
      <c r="AL716" s="56"/>
      <c r="AM716" s="4"/>
    </row>
    <row r="717" spans="1:39" ht="10.5" customHeight="1" x14ac:dyDescent="0.25">
      <c r="A717" s="15"/>
      <c r="B717" s="2"/>
      <c r="C717" s="16"/>
      <c r="D717" s="2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18"/>
      <c r="AJ717" s="16"/>
      <c r="AK717" s="16"/>
      <c r="AL717" s="56"/>
      <c r="AM717" s="4"/>
    </row>
    <row r="718" spans="1:39" ht="10.5" customHeight="1" x14ac:dyDescent="0.25">
      <c r="A718" s="15"/>
      <c r="B718" s="2"/>
      <c r="C718" s="16"/>
      <c r="D718" s="2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18"/>
      <c r="AJ718" s="16"/>
      <c r="AK718" s="16"/>
      <c r="AL718" s="56"/>
      <c r="AM718" s="4"/>
    </row>
    <row r="719" spans="1:39" ht="10.5" customHeight="1" x14ac:dyDescent="0.25">
      <c r="A719" s="15"/>
      <c r="B719" s="2"/>
      <c r="C719" s="16"/>
      <c r="D719" s="2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18"/>
      <c r="AJ719" s="16"/>
      <c r="AK719" s="16"/>
      <c r="AL719" s="56"/>
      <c r="AM719" s="4"/>
    </row>
    <row r="720" spans="1:39" ht="10.5" customHeight="1" x14ac:dyDescent="0.25">
      <c r="A720" s="15"/>
      <c r="B720" s="2"/>
      <c r="C720" s="16"/>
      <c r="D720" s="2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18"/>
      <c r="AJ720" s="16"/>
      <c r="AK720" s="16"/>
      <c r="AL720" s="56"/>
      <c r="AM720" s="4"/>
    </row>
    <row r="721" spans="1:39" ht="10.5" customHeight="1" x14ac:dyDescent="0.25">
      <c r="A721" s="15"/>
      <c r="B721" s="2"/>
      <c r="C721" s="16"/>
      <c r="D721" s="2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18"/>
      <c r="AJ721" s="16"/>
      <c r="AK721" s="16"/>
      <c r="AL721" s="56"/>
      <c r="AM721" s="4"/>
    </row>
    <row r="722" spans="1:39" ht="10.5" customHeight="1" x14ac:dyDescent="0.25">
      <c r="A722" s="15"/>
      <c r="B722" s="2"/>
      <c r="C722" s="16"/>
      <c r="D722" s="2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18"/>
      <c r="AJ722" s="16"/>
      <c r="AK722" s="16"/>
      <c r="AL722" s="56"/>
      <c r="AM722" s="4"/>
    </row>
    <row r="723" spans="1:39" ht="10.5" customHeight="1" x14ac:dyDescent="0.25">
      <c r="A723" s="15"/>
      <c r="B723" s="2"/>
      <c r="C723" s="16"/>
      <c r="D723" s="2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18"/>
      <c r="AJ723" s="16"/>
      <c r="AK723" s="16"/>
      <c r="AL723" s="56"/>
      <c r="AM723" s="4"/>
    </row>
    <row r="724" spans="1:39" ht="10.5" customHeight="1" x14ac:dyDescent="0.25">
      <c r="A724" s="15"/>
      <c r="B724" s="2"/>
      <c r="C724" s="16"/>
      <c r="D724" s="2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18"/>
      <c r="AJ724" s="16"/>
      <c r="AK724" s="16"/>
      <c r="AL724" s="56"/>
      <c r="AM724" s="4"/>
    </row>
    <row r="725" spans="1:39" ht="10.5" customHeight="1" x14ac:dyDescent="0.25">
      <c r="A725" s="15"/>
      <c r="B725" s="2"/>
      <c r="C725" s="16"/>
      <c r="D725" s="2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18"/>
      <c r="AJ725" s="16"/>
      <c r="AK725" s="16"/>
      <c r="AL725" s="56"/>
      <c r="AM725" s="4"/>
    </row>
    <row r="726" spans="1:39" ht="10.5" customHeight="1" x14ac:dyDescent="0.25">
      <c r="A726" s="15"/>
      <c r="B726" s="2"/>
      <c r="C726" s="16"/>
      <c r="D726" s="2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18"/>
      <c r="AJ726" s="16"/>
      <c r="AK726" s="16"/>
      <c r="AL726" s="56"/>
      <c r="AM726" s="4"/>
    </row>
    <row r="727" spans="1:39" ht="10.5" customHeight="1" x14ac:dyDescent="0.25">
      <c r="A727" s="15"/>
      <c r="B727" s="2"/>
      <c r="C727" s="16"/>
      <c r="D727" s="2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18"/>
      <c r="AJ727" s="16"/>
      <c r="AK727" s="16"/>
      <c r="AL727" s="56"/>
      <c r="AM727" s="4"/>
    </row>
    <row r="728" spans="1:39" ht="10.5" customHeight="1" x14ac:dyDescent="0.25">
      <c r="A728" s="15"/>
      <c r="B728" s="2"/>
      <c r="C728" s="16"/>
      <c r="D728" s="2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18"/>
      <c r="AJ728" s="16"/>
      <c r="AK728" s="16"/>
      <c r="AL728" s="56"/>
      <c r="AM728" s="4"/>
    </row>
    <row r="729" spans="1:39" ht="10.5" customHeight="1" x14ac:dyDescent="0.25">
      <c r="A729" s="15"/>
      <c r="B729" s="2"/>
      <c r="C729" s="16"/>
      <c r="D729" s="2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18"/>
      <c r="AJ729" s="16"/>
      <c r="AK729" s="16"/>
      <c r="AL729" s="56"/>
      <c r="AM729" s="4"/>
    </row>
    <row r="730" spans="1:39" ht="10.5" customHeight="1" x14ac:dyDescent="0.25">
      <c r="A730" s="15"/>
      <c r="B730" s="2"/>
      <c r="C730" s="16"/>
      <c r="D730" s="2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18"/>
      <c r="AJ730" s="16"/>
      <c r="AK730" s="16"/>
      <c r="AL730" s="56"/>
      <c r="AM730" s="4"/>
    </row>
    <row r="731" spans="1:39" ht="10.5" customHeight="1" x14ac:dyDescent="0.25">
      <c r="A731" s="15"/>
      <c r="B731" s="2"/>
      <c r="C731" s="16"/>
      <c r="D731" s="2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18"/>
      <c r="AJ731" s="16"/>
      <c r="AK731" s="16"/>
      <c r="AL731" s="56"/>
      <c r="AM731" s="4"/>
    </row>
    <row r="732" spans="1:39" ht="10.5" customHeight="1" x14ac:dyDescent="0.25">
      <c r="A732" s="15"/>
      <c r="B732" s="2"/>
      <c r="C732" s="16"/>
      <c r="D732" s="2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18"/>
      <c r="AJ732" s="16"/>
      <c r="AK732" s="16"/>
      <c r="AL732" s="56"/>
      <c r="AM732" s="4"/>
    </row>
    <row r="733" spans="1:39" ht="10.5" customHeight="1" x14ac:dyDescent="0.25">
      <c r="A733" s="15"/>
      <c r="B733" s="2"/>
      <c r="C733" s="16"/>
      <c r="D733" s="2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18"/>
      <c r="AJ733" s="16"/>
      <c r="AK733" s="16"/>
      <c r="AL733" s="56"/>
      <c r="AM733" s="4"/>
    </row>
    <row r="734" spans="1:39" ht="10.5" customHeight="1" x14ac:dyDescent="0.25">
      <c r="A734" s="15"/>
      <c r="B734" s="2"/>
      <c r="C734" s="16"/>
      <c r="D734" s="2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18"/>
      <c r="AJ734" s="16"/>
      <c r="AK734" s="16"/>
      <c r="AL734" s="56"/>
      <c r="AM734" s="4"/>
    </row>
    <row r="735" spans="1:39" ht="10.5" customHeight="1" x14ac:dyDescent="0.25">
      <c r="A735" s="15"/>
      <c r="B735" s="2"/>
      <c r="C735" s="16"/>
      <c r="D735" s="2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18"/>
      <c r="AJ735" s="16"/>
      <c r="AK735" s="16"/>
      <c r="AL735" s="56"/>
      <c r="AM735" s="4"/>
    </row>
    <row r="736" spans="1:39" ht="10.5" customHeight="1" x14ac:dyDescent="0.25">
      <c r="A736" s="15"/>
      <c r="B736" s="2"/>
      <c r="C736" s="16"/>
      <c r="D736" s="2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18"/>
      <c r="AJ736" s="16"/>
      <c r="AK736" s="16"/>
      <c r="AL736" s="56"/>
      <c r="AM736" s="4"/>
    </row>
    <row r="737" spans="1:39" ht="10.5" customHeight="1" x14ac:dyDescent="0.25">
      <c r="A737" s="15"/>
      <c r="B737" s="2"/>
      <c r="C737" s="16"/>
      <c r="D737" s="2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18"/>
      <c r="AJ737" s="16"/>
      <c r="AK737" s="16"/>
      <c r="AL737" s="56"/>
      <c r="AM737" s="4"/>
    </row>
    <row r="738" spans="1:39" ht="10.5" customHeight="1" x14ac:dyDescent="0.25">
      <c r="A738" s="15"/>
      <c r="B738" s="2"/>
      <c r="C738" s="16"/>
      <c r="D738" s="2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18"/>
      <c r="AJ738" s="16"/>
      <c r="AK738" s="16"/>
      <c r="AL738" s="56"/>
      <c r="AM738" s="4"/>
    </row>
    <row r="739" spans="1:39" ht="10.5" customHeight="1" x14ac:dyDescent="0.25">
      <c r="A739" s="15"/>
      <c r="B739" s="2"/>
      <c r="C739" s="16"/>
      <c r="D739" s="2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18"/>
      <c r="AJ739" s="16"/>
      <c r="AK739" s="16"/>
      <c r="AL739" s="56"/>
      <c r="AM739" s="4"/>
    </row>
    <row r="740" spans="1:39" ht="10.5" customHeight="1" x14ac:dyDescent="0.25">
      <c r="A740" s="15"/>
      <c r="B740" s="2"/>
      <c r="C740" s="16"/>
      <c r="D740" s="2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18"/>
      <c r="AJ740" s="16"/>
      <c r="AK740" s="16"/>
      <c r="AL740" s="56"/>
      <c r="AM740" s="4"/>
    </row>
    <row r="741" spans="1:39" ht="10.5" customHeight="1" x14ac:dyDescent="0.25">
      <c r="A741" s="15"/>
      <c r="B741" s="2"/>
      <c r="C741" s="16"/>
      <c r="D741" s="2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18"/>
      <c r="AJ741" s="16"/>
      <c r="AK741" s="16"/>
      <c r="AL741" s="56"/>
      <c r="AM741" s="4"/>
    </row>
    <row r="742" spans="1:39" ht="10.5" customHeight="1" x14ac:dyDescent="0.25">
      <c r="A742" s="15"/>
      <c r="B742" s="2"/>
      <c r="C742" s="16"/>
      <c r="D742" s="2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18"/>
      <c r="AJ742" s="16"/>
      <c r="AK742" s="16"/>
      <c r="AL742" s="56"/>
      <c r="AM742" s="4"/>
    </row>
    <row r="743" spans="1:39" ht="10.5" customHeight="1" x14ac:dyDescent="0.25">
      <c r="A743" s="15"/>
      <c r="B743" s="2"/>
      <c r="C743" s="16"/>
      <c r="D743" s="2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18"/>
      <c r="AJ743" s="16"/>
      <c r="AK743" s="16"/>
      <c r="AL743" s="56"/>
      <c r="AM743" s="4"/>
    </row>
    <row r="744" spans="1:39" ht="10.5" customHeight="1" x14ac:dyDescent="0.25">
      <c r="A744" s="15"/>
      <c r="B744" s="2"/>
      <c r="C744" s="16"/>
      <c r="D744" s="2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18"/>
      <c r="AJ744" s="16"/>
      <c r="AK744" s="16"/>
      <c r="AL744" s="56"/>
      <c r="AM744" s="4"/>
    </row>
    <row r="745" spans="1:39" ht="10.5" customHeight="1" x14ac:dyDescent="0.25">
      <c r="A745" s="15"/>
      <c r="B745" s="2"/>
      <c r="C745" s="16"/>
      <c r="D745" s="2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18"/>
      <c r="AJ745" s="16"/>
      <c r="AK745" s="16"/>
      <c r="AL745" s="56"/>
      <c r="AM745" s="4"/>
    </row>
    <row r="746" spans="1:39" ht="10.5" customHeight="1" x14ac:dyDescent="0.25">
      <c r="A746" s="15"/>
      <c r="B746" s="2"/>
      <c r="C746" s="16"/>
      <c r="D746" s="2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18"/>
      <c r="AJ746" s="16"/>
      <c r="AK746" s="16"/>
      <c r="AL746" s="56"/>
      <c r="AM746" s="4"/>
    </row>
    <row r="747" spans="1:39" ht="10.5" customHeight="1" x14ac:dyDescent="0.25">
      <c r="A747" s="15"/>
      <c r="B747" s="2"/>
      <c r="C747" s="16"/>
      <c r="D747" s="2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18"/>
      <c r="AJ747" s="16"/>
      <c r="AK747" s="16"/>
      <c r="AL747" s="56"/>
      <c r="AM747" s="4"/>
    </row>
    <row r="748" spans="1:39" ht="10.5" customHeight="1" x14ac:dyDescent="0.25">
      <c r="A748" s="15"/>
      <c r="B748" s="2"/>
      <c r="C748" s="16"/>
      <c r="D748" s="2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18"/>
      <c r="AJ748" s="16"/>
      <c r="AK748" s="16"/>
      <c r="AL748" s="56"/>
      <c r="AM748" s="4"/>
    </row>
    <row r="749" spans="1:39" ht="10.5" customHeight="1" x14ac:dyDescent="0.25">
      <c r="A749" s="15"/>
      <c r="B749" s="2"/>
      <c r="C749" s="16"/>
      <c r="D749" s="2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18"/>
      <c r="AJ749" s="16"/>
      <c r="AK749" s="16"/>
      <c r="AL749" s="56"/>
      <c r="AM749" s="4"/>
    </row>
    <row r="750" spans="1:39" ht="10.5" customHeight="1" x14ac:dyDescent="0.25">
      <c r="A750" s="15"/>
      <c r="B750" s="2"/>
      <c r="C750" s="16"/>
      <c r="D750" s="2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18"/>
      <c r="AJ750" s="16"/>
      <c r="AK750" s="16"/>
      <c r="AL750" s="56"/>
      <c r="AM750" s="4"/>
    </row>
    <row r="751" spans="1:39" ht="10.5" customHeight="1" x14ac:dyDescent="0.25">
      <c r="A751" s="15"/>
      <c r="B751" s="2"/>
      <c r="C751" s="16"/>
      <c r="D751" s="2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18"/>
      <c r="AJ751" s="16"/>
      <c r="AK751" s="16"/>
      <c r="AL751" s="56"/>
      <c r="AM751" s="4"/>
    </row>
    <row r="752" spans="1:39" ht="10.5" customHeight="1" x14ac:dyDescent="0.25">
      <c r="A752" s="15"/>
      <c r="B752" s="2"/>
      <c r="C752" s="16"/>
      <c r="D752" s="2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18"/>
      <c r="AJ752" s="16"/>
      <c r="AK752" s="16"/>
      <c r="AL752" s="56"/>
      <c r="AM752" s="4"/>
    </row>
    <row r="753" spans="1:39" ht="10.5" customHeight="1" x14ac:dyDescent="0.25">
      <c r="A753" s="15"/>
      <c r="B753" s="2"/>
      <c r="C753" s="16"/>
      <c r="D753" s="2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18"/>
      <c r="AJ753" s="16"/>
      <c r="AK753" s="16"/>
      <c r="AL753" s="56"/>
      <c r="AM753" s="4"/>
    </row>
    <row r="754" spans="1:39" ht="10.5" customHeight="1" x14ac:dyDescent="0.25">
      <c r="A754" s="15"/>
      <c r="B754" s="2"/>
      <c r="C754" s="16"/>
      <c r="D754" s="2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18"/>
      <c r="AJ754" s="16"/>
      <c r="AK754" s="16"/>
      <c r="AL754" s="56"/>
      <c r="AM754" s="4"/>
    </row>
    <row r="755" spans="1:39" ht="10.5" customHeight="1" x14ac:dyDescent="0.25">
      <c r="A755" s="15"/>
      <c r="B755" s="2"/>
      <c r="C755" s="16"/>
      <c r="D755" s="2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18"/>
      <c r="AJ755" s="16"/>
      <c r="AK755" s="16"/>
      <c r="AL755" s="56"/>
      <c r="AM755" s="4"/>
    </row>
    <row r="756" spans="1:39" ht="10.5" customHeight="1" x14ac:dyDescent="0.25">
      <c r="A756" s="15"/>
      <c r="B756" s="2"/>
      <c r="C756" s="16"/>
      <c r="D756" s="2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18"/>
      <c r="AJ756" s="16"/>
      <c r="AK756" s="16"/>
      <c r="AL756" s="56"/>
      <c r="AM756" s="4"/>
    </row>
    <row r="757" spans="1:39" ht="10.5" customHeight="1" x14ac:dyDescent="0.25">
      <c r="A757" s="15"/>
      <c r="B757" s="2"/>
      <c r="C757" s="16"/>
      <c r="D757" s="2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18"/>
      <c r="AJ757" s="16"/>
      <c r="AK757" s="16"/>
      <c r="AL757" s="56"/>
      <c r="AM757" s="4"/>
    </row>
    <row r="758" spans="1:39" ht="10.5" customHeight="1" x14ac:dyDescent="0.25">
      <c r="A758" s="15"/>
      <c r="B758" s="2"/>
      <c r="C758" s="16"/>
      <c r="D758" s="2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18"/>
      <c r="AJ758" s="16"/>
      <c r="AK758" s="16"/>
      <c r="AL758" s="56"/>
      <c r="AM758" s="4"/>
    </row>
    <row r="759" spans="1:39" ht="10.5" customHeight="1" x14ac:dyDescent="0.25">
      <c r="A759" s="15"/>
      <c r="B759" s="2"/>
      <c r="C759" s="16"/>
      <c r="D759" s="2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18"/>
      <c r="AJ759" s="16"/>
      <c r="AK759" s="16"/>
      <c r="AL759" s="56"/>
      <c r="AM759" s="4"/>
    </row>
    <row r="760" spans="1:39" ht="10.5" customHeight="1" x14ac:dyDescent="0.25">
      <c r="A760" s="15"/>
      <c r="B760" s="2"/>
      <c r="C760" s="16"/>
      <c r="D760" s="2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18"/>
      <c r="AJ760" s="16"/>
      <c r="AK760" s="16"/>
      <c r="AL760" s="56"/>
      <c r="AM760" s="4"/>
    </row>
    <row r="761" spans="1:39" ht="10.5" customHeight="1" x14ac:dyDescent="0.25">
      <c r="A761" s="15"/>
      <c r="B761" s="2"/>
      <c r="C761" s="16"/>
      <c r="D761" s="2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18"/>
      <c r="AJ761" s="16"/>
      <c r="AK761" s="16"/>
      <c r="AL761" s="56"/>
      <c r="AM761" s="4"/>
    </row>
    <row r="762" spans="1:39" ht="10.5" customHeight="1" x14ac:dyDescent="0.25">
      <c r="A762" s="15"/>
      <c r="B762" s="2"/>
      <c r="C762" s="16"/>
      <c r="D762" s="2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18"/>
      <c r="AJ762" s="16"/>
      <c r="AK762" s="16"/>
      <c r="AL762" s="56"/>
      <c r="AM762" s="4"/>
    </row>
    <row r="763" spans="1:39" ht="10.5" customHeight="1" x14ac:dyDescent="0.25">
      <c r="A763" s="15"/>
      <c r="B763" s="2"/>
      <c r="C763" s="16"/>
      <c r="D763" s="2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18"/>
      <c r="AJ763" s="16"/>
      <c r="AK763" s="16"/>
      <c r="AL763" s="56"/>
      <c r="AM763" s="4"/>
    </row>
    <row r="764" spans="1:39" ht="10.5" customHeight="1" x14ac:dyDescent="0.25">
      <c r="A764" s="15"/>
      <c r="B764" s="2"/>
      <c r="C764" s="16"/>
      <c r="D764" s="2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18"/>
      <c r="AJ764" s="16"/>
      <c r="AK764" s="16"/>
      <c r="AL764" s="56"/>
      <c r="AM764" s="4"/>
    </row>
    <row r="765" spans="1:39" ht="10.5" customHeight="1" x14ac:dyDescent="0.25">
      <c r="A765" s="15"/>
      <c r="B765" s="2"/>
      <c r="C765" s="16"/>
      <c r="D765" s="2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18"/>
      <c r="AJ765" s="16"/>
      <c r="AK765" s="16"/>
      <c r="AL765" s="56"/>
      <c r="AM765" s="4"/>
    </row>
    <row r="766" spans="1:39" ht="10.5" customHeight="1" x14ac:dyDescent="0.25">
      <c r="A766" s="15"/>
      <c r="B766" s="2"/>
      <c r="C766" s="16"/>
      <c r="D766" s="2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18"/>
      <c r="AJ766" s="16"/>
      <c r="AK766" s="16"/>
      <c r="AL766" s="56"/>
      <c r="AM766" s="4"/>
    </row>
    <row r="767" spans="1:39" ht="10.5" customHeight="1" x14ac:dyDescent="0.25">
      <c r="A767" s="15"/>
      <c r="B767" s="2"/>
      <c r="C767" s="16"/>
      <c r="D767" s="2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18"/>
      <c r="AJ767" s="16"/>
      <c r="AK767" s="16"/>
      <c r="AL767" s="56"/>
      <c r="AM767" s="4"/>
    </row>
    <row r="768" spans="1:39" ht="10.5" customHeight="1" x14ac:dyDescent="0.25">
      <c r="A768" s="15"/>
      <c r="B768" s="2"/>
      <c r="C768" s="16"/>
      <c r="D768" s="2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18"/>
      <c r="AJ768" s="16"/>
      <c r="AK768" s="16"/>
      <c r="AL768" s="56"/>
      <c r="AM768" s="4"/>
    </row>
    <row r="769" spans="1:39" ht="10.5" customHeight="1" x14ac:dyDescent="0.25">
      <c r="A769" s="15"/>
      <c r="B769" s="2"/>
      <c r="C769" s="16"/>
      <c r="D769" s="2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18"/>
      <c r="AJ769" s="16"/>
      <c r="AK769" s="16"/>
      <c r="AL769" s="56"/>
      <c r="AM769" s="4"/>
    </row>
    <row r="770" spans="1:39" ht="10.5" customHeight="1" x14ac:dyDescent="0.25">
      <c r="A770" s="15"/>
      <c r="B770" s="2"/>
      <c r="C770" s="16"/>
      <c r="D770" s="2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18"/>
      <c r="AJ770" s="16"/>
      <c r="AK770" s="16"/>
      <c r="AL770" s="56"/>
      <c r="AM770" s="4"/>
    </row>
    <row r="771" spans="1:39" ht="10.5" customHeight="1" x14ac:dyDescent="0.25">
      <c r="A771" s="15"/>
      <c r="B771" s="2"/>
      <c r="C771" s="16"/>
      <c r="D771" s="2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18"/>
      <c r="AJ771" s="16"/>
      <c r="AK771" s="16"/>
      <c r="AL771" s="56"/>
      <c r="AM771" s="4"/>
    </row>
    <row r="772" spans="1:39" ht="10.5" customHeight="1" x14ac:dyDescent="0.25">
      <c r="A772" s="15"/>
      <c r="B772" s="2"/>
      <c r="C772" s="16"/>
      <c r="D772" s="2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18"/>
      <c r="AJ772" s="16"/>
      <c r="AK772" s="16"/>
      <c r="AL772" s="56"/>
      <c r="AM772" s="4"/>
    </row>
    <row r="773" spans="1:39" ht="10.5" customHeight="1" x14ac:dyDescent="0.25">
      <c r="A773" s="15"/>
      <c r="B773" s="2"/>
      <c r="C773" s="16"/>
      <c r="D773" s="2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18"/>
      <c r="AJ773" s="16"/>
      <c r="AK773" s="16"/>
      <c r="AL773" s="56"/>
      <c r="AM773" s="4"/>
    </row>
    <row r="774" spans="1:39" ht="10.5" customHeight="1" x14ac:dyDescent="0.25">
      <c r="A774" s="15"/>
      <c r="B774" s="2"/>
      <c r="C774" s="16"/>
      <c r="D774" s="2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18"/>
      <c r="AJ774" s="16"/>
      <c r="AK774" s="16"/>
      <c r="AL774" s="56"/>
      <c r="AM774" s="4"/>
    </row>
    <row r="775" spans="1:39" ht="10.5" customHeight="1" x14ac:dyDescent="0.25">
      <c r="A775" s="15"/>
      <c r="B775" s="2"/>
      <c r="C775" s="16"/>
      <c r="D775" s="2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18"/>
      <c r="AJ775" s="16"/>
      <c r="AK775" s="16"/>
      <c r="AL775" s="56"/>
      <c r="AM775" s="4"/>
    </row>
    <row r="776" spans="1:39" ht="10.5" customHeight="1" x14ac:dyDescent="0.25">
      <c r="A776" s="15"/>
      <c r="B776" s="2"/>
      <c r="C776" s="16"/>
      <c r="D776" s="2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18"/>
      <c r="AJ776" s="16"/>
      <c r="AK776" s="16"/>
      <c r="AL776" s="56"/>
      <c r="AM776" s="4"/>
    </row>
    <row r="777" spans="1:39" ht="10.5" customHeight="1" x14ac:dyDescent="0.25">
      <c r="A777" s="15"/>
      <c r="B777" s="2"/>
      <c r="C777" s="16"/>
      <c r="D777" s="2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18"/>
      <c r="AJ777" s="16"/>
      <c r="AK777" s="16"/>
      <c r="AL777" s="56"/>
      <c r="AM777" s="4"/>
    </row>
    <row r="778" spans="1:39" ht="10.5" customHeight="1" x14ac:dyDescent="0.25">
      <c r="A778" s="15"/>
      <c r="B778" s="2"/>
      <c r="C778" s="16"/>
      <c r="D778" s="2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18"/>
      <c r="AJ778" s="16"/>
      <c r="AK778" s="16"/>
      <c r="AL778" s="56"/>
      <c r="AM778" s="4"/>
    </row>
    <row r="779" spans="1:39" ht="10.5" customHeight="1" x14ac:dyDescent="0.25">
      <c r="A779" s="15"/>
      <c r="B779" s="2"/>
      <c r="C779" s="16"/>
      <c r="D779" s="2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18"/>
      <c r="AJ779" s="16"/>
      <c r="AK779" s="16"/>
      <c r="AL779" s="56"/>
      <c r="AM779" s="4"/>
    </row>
    <row r="780" spans="1:39" ht="10.5" customHeight="1" x14ac:dyDescent="0.25">
      <c r="A780" s="15"/>
      <c r="B780" s="2"/>
      <c r="C780" s="16"/>
      <c r="D780" s="2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18"/>
      <c r="AJ780" s="16"/>
      <c r="AK780" s="16"/>
      <c r="AL780" s="56"/>
      <c r="AM780" s="4"/>
    </row>
    <row r="781" spans="1:39" ht="10.5" customHeight="1" x14ac:dyDescent="0.25">
      <c r="A781" s="15"/>
      <c r="B781" s="2"/>
      <c r="C781" s="16"/>
      <c r="D781" s="2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18"/>
      <c r="AJ781" s="16"/>
      <c r="AK781" s="16"/>
      <c r="AL781" s="56"/>
      <c r="AM781" s="4"/>
    </row>
    <row r="782" spans="1:39" ht="10.5" customHeight="1" x14ac:dyDescent="0.25">
      <c r="A782" s="15"/>
      <c r="B782" s="2"/>
      <c r="C782" s="16"/>
      <c r="D782" s="2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18"/>
      <c r="AJ782" s="16"/>
      <c r="AK782" s="16"/>
      <c r="AL782" s="56"/>
      <c r="AM782" s="4"/>
    </row>
    <row r="783" spans="1:39" ht="10.5" customHeight="1" x14ac:dyDescent="0.25">
      <c r="A783" s="15"/>
      <c r="B783" s="2"/>
      <c r="C783" s="16"/>
      <c r="D783" s="2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18"/>
      <c r="AJ783" s="16"/>
      <c r="AK783" s="16"/>
      <c r="AL783" s="56"/>
      <c r="AM783" s="4"/>
    </row>
    <row r="784" spans="1:39" ht="10.5" customHeight="1" x14ac:dyDescent="0.25">
      <c r="A784" s="15"/>
      <c r="B784" s="2"/>
      <c r="C784" s="16"/>
      <c r="D784" s="2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18"/>
      <c r="AJ784" s="16"/>
      <c r="AK784" s="16"/>
      <c r="AL784" s="56"/>
      <c r="AM784" s="4"/>
    </row>
    <row r="785" spans="1:39" ht="10.5" customHeight="1" x14ac:dyDescent="0.25">
      <c r="A785" s="15"/>
      <c r="B785" s="2"/>
      <c r="C785" s="16"/>
      <c r="D785" s="2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18"/>
      <c r="AJ785" s="16"/>
      <c r="AK785" s="16"/>
      <c r="AL785" s="56"/>
      <c r="AM785" s="4"/>
    </row>
    <row r="786" spans="1:39" ht="10.5" customHeight="1" x14ac:dyDescent="0.25">
      <c r="A786" s="15"/>
      <c r="B786" s="2"/>
      <c r="C786" s="16"/>
      <c r="D786" s="2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18"/>
      <c r="AJ786" s="16"/>
      <c r="AK786" s="16"/>
      <c r="AL786" s="56"/>
      <c r="AM786" s="4"/>
    </row>
    <row r="787" spans="1:39" ht="10.5" customHeight="1" x14ac:dyDescent="0.25">
      <c r="A787" s="15"/>
      <c r="B787" s="2"/>
      <c r="C787" s="16"/>
      <c r="D787" s="2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18"/>
      <c r="AJ787" s="16"/>
      <c r="AK787" s="16"/>
      <c r="AL787" s="56"/>
      <c r="AM787" s="4"/>
    </row>
    <row r="788" spans="1:39" ht="10.5" customHeight="1" x14ac:dyDescent="0.25">
      <c r="A788" s="15"/>
      <c r="B788" s="2"/>
      <c r="C788" s="16"/>
      <c r="D788" s="2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18"/>
      <c r="AJ788" s="16"/>
      <c r="AK788" s="16"/>
      <c r="AL788" s="56"/>
      <c r="AM788" s="4"/>
    </row>
    <row r="789" spans="1:39" ht="10.5" customHeight="1" x14ac:dyDescent="0.25">
      <c r="A789" s="15"/>
      <c r="B789" s="2"/>
      <c r="C789" s="16"/>
      <c r="D789" s="2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18"/>
      <c r="AJ789" s="16"/>
      <c r="AK789" s="16"/>
      <c r="AL789" s="56"/>
      <c r="AM789" s="4"/>
    </row>
    <row r="790" spans="1:39" ht="10.5" customHeight="1" x14ac:dyDescent="0.25">
      <c r="A790" s="15"/>
      <c r="B790" s="2"/>
      <c r="C790" s="16"/>
      <c r="D790" s="2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18"/>
      <c r="AJ790" s="16"/>
      <c r="AK790" s="16"/>
      <c r="AL790" s="56"/>
      <c r="AM790" s="4"/>
    </row>
    <row r="791" spans="1:39" ht="10.5" customHeight="1" x14ac:dyDescent="0.25">
      <c r="A791" s="15"/>
      <c r="B791" s="2"/>
      <c r="C791" s="16"/>
      <c r="D791" s="2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18"/>
      <c r="AJ791" s="16"/>
      <c r="AK791" s="16"/>
      <c r="AL791" s="56"/>
      <c r="AM791" s="4"/>
    </row>
    <row r="792" spans="1:39" ht="10.5" customHeight="1" x14ac:dyDescent="0.25">
      <c r="A792" s="15"/>
      <c r="B792" s="2"/>
      <c r="C792" s="16"/>
      <c r="D792" s="2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18"/>
      <c r="AJ792" s="16"/>
      <c r="AK792" s="16"/>
      <c r="AL792" s="56"/>
      <c r="AM792" s="4"/>
    </row>
    <row r="793" spans="1:39" ht="10.5" customHeight="1" x14ac:dyDescent="0.25">
      <c r="A793" s="15"/>
      <c r="B793" s="2"/>
      <c r="C793" s="16"/>
      <c r="D793" s="2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18"/>
      <c r="AJ793" s="16"/>
      <c r="AK793" s="16"/>
      <c r="AL793" s="56"/>
      <c r="AM793" s="4"/>
    </row>
    <row r="794" spans="1:39" ht="10.5" customHeight="1" x14ac:dyDescent="0.25">
      <c r="A794" s="15"/>
      <c r="B794" s="2"/>
      <c r="C794" s="16"/>
      <c r="D794" s="2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18"/>
      <c r="AJ794" s="16"/>
      <c r="AK794" s="16"/>
      <c r="AL794" s="56"/>
      <c r="AM794" s="4"/>
    </row>
    <row r="795" spans="1:39" ht="10.5" customHeight="1" x14ac:dyDescent="0.25">
      <c r="A795" s="15"/>
      <c r="B795" s="2"/>
      <c r="C795" s="16"/>
      <c r="D795" s="2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18"/>
      <c r="AJ795" s="16"/>
      <c r="AK795" s="16"/>
      <c r="AL795" s="56"/>
      <c r="AM795" s="4"/>
    </row>
    <row r="796" spans="1:39" ht="10.5" customHeight="1" x14ac:dyDescent="0.25">
      <c r="A796" s="15"/>
      <c r="B796" s="2"/>
      <c r="C796" s="16"/>
      <c r="D796" s="2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18"/>
      <c r="AJ796" s="16"/>
      <c r="AK796" s="16"/>
      <c r="AL796" s="56"/>
      <c r="AM796" s="4"/>
    </row>
    <row r="797" spans="1:39" ht="10.5" customHeight="1" x14ac:dyDescent="0.25">
      <c r="A797" s="15"/>
      <c r="B797" s="2"/>
      <c r="C797" s="16"/>
      <c r="D797" s="2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18"/>
      <c r="AJ797" s="16"/>
      <c r="AK797" s="16"/>
      <c r="AL797" s="56"/>
      <c r="AM797" s="4"/>
    </row>
    <row r="798" spans="1:39" ht="10.5" customHeight="1" x14ac:dyDescent="0.25">
      <c r="A798" s="15"/>
      <c r="B798" s="2"/>
      <c r="C798" s="16"/>
      <c r="D798" s="2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18"/>
      <c r="AJ798" s="16"/>
      <c r="AK798" s="16"/>
      <c r="AL798" s="56"/>
      <c r="AM798" s="4"/>
    </row>
    <row r="799" spans="1:39" ht="10.5" customHeight="1" x14ac:dyDescent="0.25">
      <c r="A799" s="15"/>
      <c r="B799" s="2"/>
      <c r="C799" s="16"/>
      <c r="D799" s="2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18"/>
      <c r="AJ799" s="16"/>
      <c r="AK799" s="16"/>
      <c r="AL799" s="56"/>
      <c r="AM799" s="4"/>
    </row>
    <row r="800" spans="1:39" ht="10.5" customHeight="1" x14ac:dyDescent="0.25">
      <c r="A800" s="15"/>
      <c r="B800" s="2"/>
      <c r="C800" s="16"/>
      <c r="D800" s="2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18"/>
      <c r="AJ800" s="16"/>
      <c r="AK800" s="16"/>
      <c r="AL800" s="56"/>
      <c r="AM800" s="4"/>
    </row>
    <row r="801" spans="1:39" ht="10.5" customHeight="1" x14ac:dyDescent="0.25">
      <c r="A801" s="15"/>
      <c r="B801" s="2"/>
      <c r="C801" s="16"/>
      <c r="D801" s="2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18"/>
      <c r="AJ801" s="16"/>
      <c r="AK801" s="16"/>
      <c r="AL801" s="56"/>
      <c r="AM801" s="4"/>
    </row>
    <row r="802" spans="1:39" ht="10.5" customHeight="1" x14ac:dyDescent="0.25">
      <c r="A802" s="15"/>
      <c r="B802" s="2"/>
      <c r="C802" s="16"/>
      <c r="D802" s="2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18"/>
      <c r="AJ802" s="16"/>
      <c r="AK802" s="16"/>
      <c r="AL802" s="56"/>
      <c r="AM802" s="4"/>
    </row>
    <row r="803" spans="1:39" ht="10.5" customHeight="1" x14ac:dyDescent="0.25">
      <c r="A803" s="15"/>
      <c r="B803" s="2"/>
      <c r="C803" s="16"/>
      <c r="D803" s="2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18"/>
      <c r="AJ803" s="16"/>
      <c r="AK803" s="16"/>
      <c r="AL803" s="56"/>
      <c r="AM803" s="4"/>
    </row>
    <row r="804" spans="1:39" ht="10.5" customHeight="1" x14ac:dyDescent="0.25">
      <c r="A804" s="15"/>
      <c r="B804" s="2"/>
      <c r="C804" s="16"/>
      <c r="D804" s="2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18"/>
      <c r="AJ804" s="16"/>
      <c r="AK804" s="16"/>
      <c r="AL804" s="56"/>
      <c r="AM804" s="4"/>
    </row>
    <row r="805" spans="1:39" ht="10.5" customHeight="1" x14ac:dyDescent="0.25">
      <c r="A805" s="15"/>
      <c r="B805" s="2"/>
      <c r="C805" s="16"/>
      <c r="D805" s="2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18"/>
      <c r="AJ805" s="16"/>
      <c r="AK805" s="16"/>
      <c r="AL805" s="56"/>
      <c r="AM805" s="4"/>
    </row>
    <row r="806" spans="1:39" ht="10.5" customHeight="1" x14ac:dyDescent="0.25">
      <c r="A806" s="15"/>
      <c r="B806" s="2"/>
      <c r="C806" s="16"/>
      <c r="D806" s="2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18"/>
      <c r="AJ806" s="16"/>
      <c r="AK806" s="16"/>
      <c r="AL806" s="56"/>
      <c r="AM806" s="4"/>
    </row>
    <row r="807" spans="1:39" ht="10.5" customHeight="1" x14ac:dyDescent="0.25">
      <c r="A807" s="15"/>
      <c r="B807" s="2"/>
      <c r="C807" s="16"/>
      <c r="D807" s="2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18"/>
      <c r="AJ807" s="16"/>
      <c r="AK807" s="16"/>
      <c r="AL807" s="56"/>
      <c r="AM807" s="4"/>
    </row>
    <row r="808" spans="1:39" ht="10.5" customHeight="1" x14ac:dyDescent="0.25">
      <c r="A808" s="15"/>
      <c r="B808" s="2"/>
      <c r="C808" s="16"/>
      <c r="D808" s="2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18"/>
      <c r="AJ808" s="16"/>
      <c r="AK808" s="16"/>
      <c r="AL808" s="56"/>
      <c r="AM808" s="4"/>
    </row>
    <row r="809" spans="1:39" ht="10.5" customHeight="1" x14ac:dyDescent="0.25">
      <c r="A809" s="15"/>
      <c r="B809" s="2"/>
      <c r="C809" s="16"/>
      <c r="D809" s="2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18"/>
      <c r="AJ809" s="16"/>
      <c r="AK809" s="16"/>
      <c r="AL809" s="56"/>
      <c r="AM809" s="4"/>
    </row>
    <row r="810" spans="1:39" ht="10.5" customHeight="1" x14ac:dyDescent="0.25">
      <c r="A810" s="15"/>
      <c r="B810" s="2"/>
      <c r="C810" s="16"/>
      <c r="D810" s="2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18"/>
      <c r="AJ810" s="16"/>
      <c r="AK810" s="16"/>
      <c r="AL810" s="56"/>
      <c r="AM810" s="4"/>
    </row>
    <row r="811" spans="1:39" ht="10.5" customHeight="1" x14ac:dyDescent="0.25">
      <c r="A811" s="15"/>
      <c r="B811" s="2"/>
      <c r="C811" s="16"/>
      <c r="D811" s="2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18"/>
      <c r="AJ811" s="16"/>
      <c r="AK811" s="16"/>
      <c r="AL811" s="56"/>
      <c r="AM811" s="4"/>
    </row>
    <row r="812" spans="1:39" ht="10.5" customHeight="1" x14ac:dyDescent="0.25">
      <c r="A812" s="15"/>
      <c r="B812" s="2"/>
      <c r="C812" s="16"/>
      <c r="D812" s="2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18"/>
      <c r="AJ812" s="16"/>
      <c r="AK812" s="16"/>
      <c r="AL812" s="56"/>
      <c r="AM812" s="4"/>
    </row>
    <row r="813" spans="1:39" ht="10.5" customHeight="1" x14ac:dyDescent="0.25">
      <c r="A813" s="15"/>
      <c r="B813" s="2"/>
      <c r="C813" s="16"/>
      <c r="D813" s="2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18"/>
      <c r="AJ813" s="16"/>
      <c r="AK813" s="16"/>
      <c r="AL813" s="56"/>
      <c r="AM813" s="4"/>
    </row>
    <row r="814" spans="1:39" ht="10.5" customHeight="1" x14ac:dyDescent="0.25">
      <c r="A814" s="15"/>
      <c r="B814" s="2"/>
      <c r="C814" s="16"/>
      <c r="D814" s="2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18"/>
      <c r="AJ814" s="16"/>
      <c r="AK814" s="16"/>
      <c r="AL814" s="56"/>
      <c r="AM814" s="4"/>
    </row>
    <row r="815" spans="1:39" ht="10.5" customHeight="1" x14ac:dyDescent="0.25">
      <c r="A815" s="15"/>
      <c r="B815" s="2"/>
      <c r="C815" s="16"/>
      <c r="D815" s="2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18"/>
      <c r="AJ815" s="16"/>
      <c r="AK815" s="16"/>
      <c r="AL815" s="56"/>
      <c r="AM815" s="4"/>
    </row>
    <row r="816" spans="1:39" ht="10.5" customHeight="1" x14ac:dyDescent="0.25">
      <c r="A816" s="15"/>
      <c r="B816" s="2"/>
      <c r="C816" s="16"/>
      <c r="D816" s="2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18"/>
      <c r="AJ816" s="16"/>
      <c r="AK816" s="16"/>
      <c r="AL816" s="56"/>
      <c r="AM816" s="4"/>
    </row>
    <row r="817" spans="1:39" ht="10.5" customHeight="1" x14ac:dyDescent="0.25">
      <c r="A817" s="15"/>
      <c r="B817" s="2"/>
      <c r="C817" s="16"/>
      <c r="D817" s="2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18"/>
      <c r="AJ817" s="16"/>
      <c r="AK817" s="16"/>
      <c r="AL817" s="56"/>
      <c r="AM817" s="4"/>
    </row>
    <row r="818" spans="1:39" ht="10.5" customHeight="1" x14ac:dyDescent="0.25">
      <c r="A818" s="15"/>
      <c r="B818" s="2"/>
      <c r="C818" s="16"/>
      <c r="D818" s="2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18"/>
      <c r="AJ818" s="16"/>
      <c r="AK818" s="16"/>
      <c r="AL818" s="56"/>
      <c r="AM818" s="4"/>
    </row>
    <row r="819" spans="1:39" ht="10.5" customHeight="1" x14ac:dyDescent="0.25">
      <c r="A819" s="15"/>
      <c r="B819" s="2"/>
      <c r="C819" s="16"/>
      <c r="D819" s="2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18"/>
      <c r="AJ819" s="16"/>
      <c r="AK819" s="16"/>
      <c r="AL819" s="56"/>
      <c r="AM819" s="4"/>
    </row>
    <row r="820" spans="1:39" ht="10.5" customHeight="1" x14ac:dyDescent="0.25">
      <c r="A820" s="15"/>
      <c r="B820" s="2"/>
      <c r="C820" s="16"/>
      <c r="D820" s="2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18"/>
      <c r="AJ820" s="16"/>
      <c r="AK820" s="16"/>
      <c r="AL820" s="56"/>
      <c r="AM820" s="4"/>
    </row>
    <row r="821" spans="1:39" ht="10.5" customHeight="1" x14ac:dyDescent="0.25">
      <c r="A821" s="15"/>
      <c r="B821" s="2"/>
      <c r="C821" s="16"/>
      <c r="D821" s="2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18"/>
      <c r="AJ821" s="16"/>
      <c r="AK821" s="16"/>
      <c r="AL821" s="56"/>
      <c r="AM821" s="4"/>
    </row>
    <row r="822" spans="1:39" ht="10.5" customHeight="1" x14ac:dyDescent="0.25">
      <c r="A822" s="15"/>
      <c r="B822" s="2"/>
      <c r="C822" s="16"/>
      <c r="D822" s="2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18"/>
      <c r="AJ822" s="16"/>
      <c r="AK822" s="16"/>
      <c r="AL822" s="56"/>
      <c r="AM822" s="4"/>
    </row>
    <row r="823" spans="1:39" ht="10.5" customHeight="1" x14ac:dyDescent="0.25">
      <c r="A823" s="15"/>
      <c r="B823" s="2"/>
      <c r="C823" s="16"/>
      <c r="D823" s="2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18"/>
      <c r="AJ823" s="16"/>
      <c r="AK823" s="16"/>
      <c r="AL823" s="56"/>
      <c r="AM823" s="4"/>
    </row>
    <row r="824" spans="1:39" ht="10.5" customHeight="1" x14ac:dyDescent="0.25">
      <c r="A824" s="15"/>
      <c r="B824" s="2"/>
      <c r="C824" s="16"/>
      <c r="D824" s="2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18"/>
      <c r="AJ824" s="16"/>
      <c r="AK824" s="16"/>
      <c r="AL824" s="56"/>
      <c r="AM824" s="4"/>
    </row>
    <row r="825" spans="1:39" ht="10.5" customHeight="1" x14ac:dyDescent="0.25">
      <c r="A825" s="15"/>
      <c r="B825" s="2"/>
      <c r="C825" s="16"/>
      <c r="D825" s="2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18"/>
      <c r="AJ825" s="16"/>
      <c r="AK825" s="16"/>
      <c r="AL825" s="56"/>
      <c r="AM825" s="4"/>
    </row>
    <row r="826" spans="1:39" ht="10.5" customHeight="1" x14ac:dyDescent="0.25">
      <c r="A826" s="15"/>
      <c r="B826" s="2"/>
      <c r="C826" s="16"/>
      <c r="D826" s="2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18"/>
      <c r="AJ826" s="16"/>
      <c r="AK826" s="16"/>
      <c r="AL826" s="56"/>
      <c r="AM826" s="4"/>
    </row>
    <row r="827" spans="1:39" ht="10.5" customHeight="1" x14ac:dyDescent="0.25">
      <c r="A827" s="15"/>
      <c r="B827" s="2"/>
      <c r="C827" s="16"/>
      <c r="D827" s="2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18"/>
      <c r="AJ827" s="16"/>
      <c r="AK827" s="16"/>
      <c r="AL827" s="56"/>
      <c r="AM827" s="4"/>
    </row>
    <row r="828" spans="1:39" ht="10.5" customHeight="1" x14ac:dyDescent="0.25">
      <c r="A828" s="15"/>
      <c r="B828" s="2"/>
      <c r="C828" s="16"/>
      <c r="D828" s="2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18"/>
      <c r="AJ828" s="16"/>
      <c r="AK828" s="16"/>
      <c r="AL828" s="56"/>
      <c r="AM828" s="4"/>
    </row>
    <row r="829" spans="1:39" ht="10.5" customHeight="1" x14ac:dyDescent="0.25">
      <c r="A829" s="15"/>
      <c r="B829" s="2"/>
      <c r="C829" s="16"/>
      <c r="D829" s="2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18"/>
      <c r="AJ829" s="16"/>
      <c r="AK829" s="16"/>
      <c r="AL829" s="56"/>
      <c r="AM829" s="4"/>
    </row>
    <row r="830" spans="1:39" ht="10.5" customHeight="1" x14ac:dyDescent="0.25">
      <c r="A830" s="15"/>
      <c r="B830" s="2"/>
      <c r="C830" s="16"/>
      <c r="D830" s="2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18"/>
      <c r="AJ830" s="16"/>
      <c r="AK830" s="16"/>
      <c r="AL830" s="56"/>
      <c r="AM830" s="4"/>
    </row>
    <row r="831" spans="1:39" ht="10.5" customHeight="1" x14ac:dyDescent="0.25">
      <c r="A831" s="15"/>
      <c r="B831" s="2"/>
      <c r="C831" s="16"/>
      <c r="D831" s="2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18"/>
      <c r="AJ831" s="16"/>
      <c r="AK831" s="16"/>
      <c r="AL831" s="56"/>
      <c r="AM831" s="4"/>
    </row>
    <row r="832" spans="1:39" ht="10.5" customHeight="1" x14ac:dyDescent="0.25">
      <c r="A832" s="15"/>
      <c r="B832" s="2"/>
      <c r="C832" s="16"/>
      <c r="D832" s="2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18"/>
      <c r="AJ832" s="16"/>
      <c r="AK832" s="16"/>
      <c r="AL832" s="56"/>
      <c r="AM832" s="4"/>
    </row>
    <row r="833" spans="1:39" ht="10.5" customHeight="1" x14ac:dyDescent="0.25">
      <c r="A833" s="15"/>
      <c r="B833" s="2"/>
      <c r="C833" s="16"/>
      <c r="D833" s="2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18"/>
      <c r="AJ833" s="16"/>
      <c r="AK833" s="16"/>
      <c r="AL833" s="56"/>
      <c r="AM833" s="4"/>
    </row>
    <row r="834" spans="1:39" ht="10.5" customHeight="1" x14ac:dyDescent="0.25">
      <c r="A834" s="15"/>
      <c r="B834" s="2"/>
      <c r="C834" s="16"/>
      <c r="D834" s="2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18"/>
      <c r="AJ834" s="16"/>
      <c r="AK834" s="16"/>
      <c r="AL834" s="56"/>
      <c r="AM834" s="4"/>
    </row>
    <row r="835" spans="1:39" ht="10.5" customHeight="1" x14ac:dyDescent="0.25">
      <c r="A835" s="15"/>
      <c r="B835" s="2"/>
      <c r="C835" s="16"/>
      <c r="D835" s="2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18"/>
      <c r="AJ835" s="16"/>
      <c r="AK835" s="16"/>
      <c r="AL835" s="56"/>
      <c r="AM835" s="4"/>
    </row>
    <row r="836" spans="1:39" ht="10.5" customHeight="1" x14ac:dyDescent="0.25">
      <c r="A836" s="15"/>
      <c r="B836" s="2"/>
      <c r="C836" s="16"/>
      <c r="D836" s="2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18"/>
      <c r="AJ836" s="16"/>
      <c r="AK836" s="16"/>
      <c r="AL836" s="56"/>
      <c r="AM836" s="4"/>
    </row>
    <row r="837" spans="1:39" ht="10.5" customHeight="1" x14ac:dyDescent="0.25">
      <c r="A837" s="15"/>
      <c r="B837" s="2"/>
      <c r="C837" s="16"/>
      <c r="D837" s="2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18"/>
      <c r="AJ837" s="16"/>
      <c r="AK837" s="16"/>
      <c r="AL837" s="56"/>
      <c r="AM837" s="4"/>
    </row>
    <row r="838" spans="1:39" ht="10.5" customHeight="1" x14ac:dyDescent="0.25">
      <c r="A838" s="15"/>
      <c r="B838" s="2"/>
      <c r="C838" s="16"/>
      <c r="D838" s="2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18"/>
      <c r="AJ838" s="16"/>
      <c r="AK838" s="16"/>
      <c r="AL838" s="56"/>
      <c r="AM838" s="4"/>
    </row>
    <row r="839" spans="1:39" ht="10.5" customHeight="1" x14ac:dyDescent="0.25">
      <c r="A839" s="15"/>
      <c r="B839" s="2"/>
      <c r="C839" s="16"/>
      <c r="D839" s="2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18"/>
      <c r="AJ839" s="16"/>
      <c r="AK839" s="16"/>
      <c r="AL839" s="56"/>
      <c r="AM839" s="4"/>
    </row>
    <row r="840" spans="1:39" ht="10.5" customHeight="1" x14ac:dyDescent="0.25">
      <c r="A840" s="15"/>
      <c r="B840" s="2"/>
      <c r="C840" s="16"/>
      <c r="D840" s="2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18"/>
      <c r="AJ840" s="16"/>
      <c r="AK840" s="16"/>
      <c r="AL840" s="56"/>
      <c r="AM840" s="4"/>
    </row>
    <row r="841" spans="1:39" ht="10.5" customHeight="1" x14ac:dyDescent="0.25">
      <c r="A841" s="15"/>
      <c r="B841" s="2"/>
      <c r="C841" s="16"/>
      <c r="D841" s="2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18"/>
      <c r="AJ841" s="16"/>
      <c r="AK841" s="16"/>
      <c r="AL841" s="56"/>
      <c r="AM841" s="4"/>
    </row>
    <row r="842" spans="1:39" ht="10.5" customHeight="1" x14ac:dyDescent="0.25">
      <c r="A842" s="15"/>
      <c r="B842" s="2"/>
      <c r="C842" s="16"/>
      <c r="D842" s="2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18"/>
      <c r="AJ842" s="16"/>
      <c r="AK842" s="16"/>
      <c r="AL842" s="56"/>
      <c r="AM842" s="4"/>
    </row>
    <row r="843" spans="1:39" ht="10.5" customHeight="1" x14ac:dyDescent="0.25">
      <c r="A843" s="15"/>
      <c r="B843" s="2"/>
      <c r="C843" s="16"/>
      <c r="D843" s="2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18"/>
      <c r="AJ843" s="16"/>
      <c r="AK843" s="16"/>
      <c r="AL843" s="56"/>
      <c r="AM843" s="4"/>
    </row>
    <row r="844" spans="1:39" ht="10.5" customHeight="1" x14ac:dyDescent="0.25">
      <c r="A844" s="15"/>
      <c r="B844" s="2"/>
      <c r="C844" s="16"/>
      <c r="D844" s="2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18"/>
      <c r="AJ844" s="16"/>
      <c r="AK844" s="16"/>
      <c r="AL844" s="56"/>
      <c r="AM844" s="4"/>
    </row>
    <row r="845" spans="1:39" ht="10.5" customHeight="1" x14ac:dyDescent="0.25">
      <c r="A845" s="15"/>
      <c r="B845" s="2"/>
      <c r="C845" s="16"/>
      <c r="D845" s="2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18"/>
      <c r="AJ845" s="16"/>
      <c r="AK845" s="16"/>
      <c r="AL845" s="56"/>
      <c r="AM845" s="4"/>
    </row>
    <row r="846" spans="1:39" ht="10.5" customHeight="1" x14ac:dyDescent="0.25">
      <c r="A846" s="15"/>
      <c r="B846" s="2"/>
      <c r="C846" s="16"/>
      <c r="D846" s="2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18"/>
      <c r="AJ846" s="16"/>
      <c r="AK846" s="16"/>
      <c r="AL846" s="56"/>
      <c r="AM846" s="4"/>
    </row>
    <row r="847" spans="1:39" ht="10.5" customHeight="1" x14ac:dyDescent="0.25">
      <c r="A847" s="15"/>
      <c r="B847" s="2"/>
      <c r="C847" s="16"/>
      <c r="D847" s="2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18"/>
      <c r="AJ847" s="16"/>
      <c r="AK847" s="16"/>
      <c r="AL847" s="56"/>
      <c r="AM847" s="4"/>
    </row>
    <row r="848" spans="1:39" ht="10.5" customHeight="1" x14ac:dyDescent="0.25">
      <c r="A848" s="15"/>
      <c r="B848" s="2"/>
      <c r="C848" s="16"/>
      <c r="D848" s="2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18"/>
      <c r="AJ848" s="16"/>
      <c r="AK848" s="16"/>
      <c r="AL848" s="56"/>
      <c r="AM848" s="4"/>
    </row>
    <row r="849" spans="1:39" ht="10.5" customHeight="1" x14ac:dyDescent="0.25">
      <c r="A849" s="15"/>
      <c r="B849" s="2"/>
      <c r="C849" s="16"/>
      <c r="D849" s="2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18"/>
      <c r="AJ849" s="16"/>
      <c r="AK849" s="16"/>
      <c r="AL849" s="56"/>
      <c r="AM849" s="4"/>
    </row>
    <row r="850" spans="1:39" ht="10.5" customHeight="1" x14ac:dyDescent="0.25">
      <c r="A850" s="15"/>
      <c r="B850" s="2"/>
      <c r="C850" s="16"/>
      <c r="D850" s="2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18"/>
      <c r="AJ850" s="16"/>
      <c r="AK850" s="16"/>
      <c r="AL850" s="56"/>
      <c r="AM850" s="4"/>
    </row>
    <row r="851" spans="1:39" ht="10.5" customHeight="1" x14ac:dyDescent="0.25">
      <c r="A851" s="15"/>
      <c r="B851" s="2"/>
      <c r="C851" s="16"/>
      <c r="D851" s="2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18"/>
      <c r="AJ851" s="16"/>
      <c r="AK851" s="16"/>
      <c r="AL851" s="56"/>
      <c r="AM851" s="4"/>
    </row>
    <row r="852" spans="1:39" ht="10.5" customHeight="1" x14ac:dyDescent="0.25">
      <c r="A852" s="15"/>
      <c r="B852" s="2"/>
      <c r="C852" s="16"/>
      <c r="D852" s="2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18"/>
      <c r="AJ852" s="16"/>
      <c r="AK852" s="16"/>
      <c r="AL852" s="56"/>
      <c r="AM852" s="4"/>
    </row>
    <row r="853" spans="1:39" ht="10.5" customHeight="1" x14ac:dyDescent="0.25">
      <c r="A853" s="15"/>
      <c r="B853" s="2"/>
      <c r="C853" s="16"/>
      <c r="D853" s="2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18"/>
      <c r="AJ853" s="16"/>
      <c r="AK853" s="16"/>
      <c r="AL853" s="56"/>
      <c r="AM853" s="4"/>
    </row>
    <row r="854" spans="1:39" ht="10.5" customHeight="1" x14ac:dyDescent="0.25">
      <c r="A854" s="15"/>
      <c r="B854" s="2"/>
      <c r="C854" s="16"/>
      <c r="D854" s="2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18"/>
      <c r="AJ854" s="16"/>
      <c r="AK854" s="16"/>
      <c r="AL854" s="56"/>
      <c r="AM854" s="4"/>
    </row>
    <row r="855" spans="1:39" ht="10.5" customHeight="1" x14ac:dyDescent="0.25">
      <c r="A855" s="15"/>
      <c r="B855" s="2"/>
      <c r="C855" s="16"/>
      <c r="D855" s="2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18"/>
      <c r="AJ855" s="16"/>
      <c r="AK855" s="16"/>
      <c r="AL855" s="56"/>
      <c r="AM855" s="4"/>
    </row>
    <row r="856" spans="1:39" ht="10.5" customHeight="1" x14ac:dyDescent="0.25">
      <c r="A856" s="15"/>
      <c r="B856" s="2"/>
      <c r="C856" s="16"/>
      <c r="D856" s="2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18"/>
      <c r="AJ856" s="16"/>
      <c r="AK856" s="16"/>
      <c r="AL856" s="56"/>
      <c r="AM856" s="4"/>
    </row>
    <row r="857" spans="1:39" ht="10.5" customHeight="1" x14ac:dyDescent="0.25">
      <c r="A857" s="15"/>
      <c r="B857" s="2"/>
      <c r="C857" s="16"/>
      <c r="D857" s="2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18"/>
      <c r="AJ857" s="16"/>
      <c r="AK857" s="16"/>
      <c r="AL857" s="56"/>
      <c r="AM857" s="4"/>
    </row>
    <row r="858" spans="1:39" ht="10.5" customHeight="1" x14ac:dyDescent="0.25">
      <c r="A858" s="15"/>
      <c r="B858" s="2"/>
      <c r="C858" s="16"/>
      <c r="D858" s="2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18"/>
      <c r="AJ858" s="16"/>
      <c r="AK858" s="16"/>
      <c r="AL858" s="56"/>
      <c r="AM858" s="4"/>
    </row>
    <row r="859" spans="1:39" ht="10.5" customHeight="1" x14ac:dyDescent="0.25">
      <c r="A859" s="15"/>
      <c r="B859" s="2"/>
      <c r="C859" s="16"/>
      <c r="D859" s="2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18"/>
      <c r="AJ859" s="16"/>
      <c r="AK859" s="16"/>
      <c r="AL859" s="56"/>
      <c r="AM859" s="4"/>
    </row>
    <row r="860" spans="1:39" ht="10.5" customHeight="1" x14ac:dyDescent="0.25">
      <c r="A860" s="15"/>
      <c r="B860" s="2"/>
      <c r="C860" s="16"/>
      <c r="D860" s="2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18"/>
      <c r="AJ860" s="16"/>
      <c r="AK860" s="16"/>
      <c r="AL860" s="56"/>
      <c r="AM860" s="4"/>
    </row>
    <row r="861" spans="1:39" ht="10.5" customHeight="1" x14ac:dyDescent="0.25">
      <c r="A861" s="15"/>
      <c r="B861" s="2"/>
      <c r="C861" s="16"/>
      <c r="D861" s="2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18"/>
      <c r="AJ861" s="16"/>
      <c r="AK861" s="16"/>
      <c r="AL861" s="56"/>
      <c r="AM861" s="4"/>
    </row>
    <row r="862" spans="1:39" ht="10.5" customHeight="1" x14ac:dyDescent="0.25">
      <c r="A862" s="15"/>
      <c r="B862" s="2"/>
      <c r="C862" s="16"/>
      <c r="D862" s="2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18"/>
      <c r="AJ862" s="16"/>
      <c r="AK862" s="16"/>
      <c r="AL862" s="56"/>
      <c r="AM862" s="4"/>
    </row>
    <row r="863" spans="1:39" ht="10.5" customHeight="1" x14ac:dyDescent="0.25">
      <c r="A863" s="15"/>
      <c r="B863" s="2"/>
      <c r="C863" s="16"/>
      <c r="D863" s="2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18"/>
      <c r="AJ863" s="16"/>
      <c r="AK863" s="16"/>
      <c r="AL863" s="56"/>
      <c r="AM863" s="4"/>
    </row>
    <row r="864" spans="1:39" ht="10.5" customHeight="1" x14ac:dyDescent="0.25">
      <c r="A864" s="15"/>
      <c r="B864" s="2"/>
      <c r="C864" s="16"/>
      <c r="D864" s="2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18"/>
      <c r="AJ864" s="16"/>
      <c r="AK864" s="16"/>
      <c r="AL864" s="56"/>
      <c r="AM864" s="4"/>
    </row>
    <row r="865" spans="1:39" ht="10.5" customHeight="1" x14ac:dyDescent="0.25">
      <c r="A865" s="15"/>
      <c r="B865" s="2"/>
      <c r="C865" s="16"/>
      <c r="D865" s="2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18"/>
      <c r="AJ865" s="16"/>
      <c r="AK865" s="16"/>
      <c r="AL865" s="56"/>
      <c r="AM865" s="4"/>
    </row>
    <row r="866" spans="1:39" ht="10.5" customHeight="1" x14ac:dyDescent="0.25">
      <c r="A866" s="15"/>
      <c r="B866" s="2"/>
      <c r="C866" s="16"/>
      <c r="D866" s="2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18"/>
      <c r="AJ866" s="16"/>
      <c r="AK866" s="16"/>
      <c r="AL866" s="56"/>
      <c r="AM866" s="4"/>
    </row>
    <row r="867" spans="1:39" ht="10.5" customHeight="1" x14ac:dyDescent="0.25">
      <c r="A867" s="15"/>
      <c r="B867" s="2"/>
      <c r="C867" s="16"/>
      <c r="D867" s="2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18"/>
      <c r="AJ867" s="16"/>
      <c r="AK867" s="16"/>
      <c r="AL867" s="56"/>
      <c r="AM867" s="4"/>
    </row>
    <row r="868" spans="1:39" ht="10.5" customHeight="1" x14ac:dyDescent="0.25">
      <c r="A868" s="15"/>
      <c r="B868" s="2"/>
      <c r="C868" s="16"/>
      <c r="D868" s="2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18"/>
      <c r="AJ868" s="16"/>
      <c r="AK868" s="16"/>
      <c r="AL868" s="56"/>
      <c r="AM868" s="4"/>
    </row>
    <row r="869" spans="1:39" ht="10.5" customHeight="1" x14ac:dyDescent="0.25">
      <c r="A869" s="15"/>
      <c r="B869" s="2"/>
      <c r="C869" s="16"/>
      <c r="D869" s="2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18"/>
      <c r="AJ869" s="16"/>
      <c r="AK869" s="16"/>
      <c r="AL869" s="56"/>
      <c r="AM869" s="4"/>
    </row>
    <row r="870" spans="1:39" ht="10.5" customHeight="1" x14ac:dyDescent="0.25">
      <c r="A870" s="15"/>
      <c r="B870" s="2"/>
      <c r="C870" s="16"/>
      <c r="D870" s="2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18"/>
      <c r="AJ870" s="16"/>
      <c r="AK870" s="16"/>
      <c r="AL870" s="56"/>
      <c r="AM870" s="4"/>
    </row>
    <row r="871" spans="1:39" ht="10.5" customHeight="1" x14ac:dyDescent="0.25">
      <c r="A871" s="15"/>
      <c r="B871" s="2"/>
      <c r="C871" s="16"/>
      <c r="D871" s="2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18"/>
      <c r="AJ871" s="16"/>
      <c r="AK871" s="16"/>
      <c r="AL871" s="56"/>
      <c r="AM871" s="4"/>
    </row>
    <row r="872" spans="1:39" ht="10.5" customHeight="1" x14ac:dyDescent="0.25">
      <c r="A872" s="15"/>
      <c r="B872" s="2"/>
      <c r="C872" s="16"/>
      <c r="D872" s="2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18"/>
      <c r="AJ872" s="16"/>
      <c r="AK872" s="16"/>
      <c r="AL872" s="56"/>
      <c r="AM872" s="4"/>
    </row>
    <row r="873" spans="1:39" ht="10.5" customHeight="1" x14ac:dyDescent="0.25">
      <c r="A873" s="15"/>
      <c r="B873" s="2"/>
      <c r="C873" s="16"/>
      <c r="D873" s="2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18"/>
      <c r="AJ873" s="16"/>
      <c r="AK873" s="16"/>
      <c r="AL873" s="56"/>
      <c r="AM873" s="4"/>
    </row>
    <row r="874" spans="1:39" ht="10.5" customHeight="1" x14ac:dyDescent="0.25">
      <c r="A874" s="15"/>
      <c r="B874" s="2"/>
      <c r="C874" s="16"/>
      <c r="D874" s="2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18"/>
      <c r="AJ874" s="16"/>
      <c r="AK874" s="16"/>
      <c r="AL874" s="56"/>
      <c r="AM874" s="4"/>
    </row>
    <row r="875" spans="1:39" ht="10.5" customHeight="1" x14ac:dyDescent="0.25">
      <c r="A875" s="15"/>
      <c r="B875" s="2"/>
      <c r="C875" s="16"/>
      <c r="D875" s="2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18"/>
      <c r="AJ875" s="16"/>
      <c r="AK875" s="16"/>
      <c r="AL875" s="56"/>
      <c r="AM875" s="4"/>
    </row>
    <row r="876" spans="1:39" ht="10.5" customHeight="1" x14ac:dyDescent="0.25">
      <c r="A876" s="15"/>
      <c r="B876" s="2"/>
      <c r="C876" s="16"/>
      <c r="D876" s="2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18"/>
      <c r="AJ876" s="16"/>
      <c r="AK876" s="16"/>
      <c r="AL876" s="56"/>
      <c r="AM876" s="4"/>
    </row>
    <row r="877" spans="1:39" ht="10.5" customHeight="1" x14ac:dyDescent="0.25">
      <c r="A877" s="15"/>
      <c r="B877" s="2"/>
      <c r="C877" s="16"/>
      <c r="D877" s="2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18"/>
      <c r="AJ877" s="16"/>
      <c r="AK877" s="16"/>
      <c r="AL877" s="56"/>
      <c r="AM877" s="4"/>
    </row>
    <row r="878" spans="1:39" ht="10.5" customHeight="1" x14ac:dyDescent="0.25">
      <c r="A878" s="15"/>
      <c r="B878" s="2"/>
      <c r="C878" s="16"/>
      <c r="D878" s="2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18"/>
      <c r="AJ878" s="16"/>
      <c r="AK878" s="16"/>
      <c r="AL878" s="56"/>
      <c r="AM878" s="4"/>
    </row>
    <row r="879" spans="1:39" ht="10.5" customHeight="1" x14ac:dyDescent="0.25">
      <c r="A879" s="15"/>
      <c r="B879" s="2"/>
      <c r="C879" s="16"/>
      <c r="D879" s="2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18"/>
      <c r="AJ879" s="16"/>
      <c r="AK879" s="16"/>
      <c r="AL879" s="56"/>
      <c r="AM879" s="4"/>
    </row>
    <row r="880" spans="1:39" ht="10.5" customHeight="1" x14ac:dyDescent="0.25">
      <c r="A880" s="15"/>
      <c r="B880" s="2"/>
      <c r="C880" s="16"/>
      <c r="D880" s="2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18"/>
      <c r="AJ880" s="16"/>
      <c r="AK880" s="16"/>
      <c r="AL880" s="56"/>
      <c r="AM880" s="4"/>
    </row>
    <row r="881" spans="1:39" ht="10.5" customHeight="1" x14ac:dyDescent="0.25">
      <c r="A881" s="15"/>
      <c r="B881" s="2"/>
      <c r="C881" s="16"/>
      <c r="D881" s="2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18"/>
      <c r="AJ881" s="16"/>
      <c r="AK881" s="16"/>
      <c r="AL881" s="56"/>
      <c r="AM881" s="4"/>
    </row>
    <row r="882" spans="1:39" ht="10.5" customHeight="1" x14ac:dyDescent="0.25">
      <c r="A882" s="15"/>
      <c r="B882" s="2"/>
      <c r="C882" s="16"/>
      <c r="D882" s="2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18"/>
      <c r="AJ882" s="16"/>
      <c r="AK882" s="16"/>
      <c r="AL882" s="56"/>
      <c r="AM882" s="4"/>
    </row>
    <row r="883" spans="1:39" ht="10.5" customHeight="1" x14ac:dyDescent="0.25">
      <c r="A883" s="15"/>
      <c r="B883" s="2"/>
      <c r="C883" s="16"/>
      <c r="D883" s="2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18"/>
      <c r="AJ883" s="16"/>
      <c r="AK883" s="16"/>
      <c r="AL883" s="56"/>
      <c r="AM883" s="4"/>
    </row>
    <row r="884" spans="1:39" ht="10.5" customHeight="1" x14ac:dyDescent="0.25">
      <c r="A884" s="15"/>
      <c r="B884" s="2"/>
      <c r="C884" s="16"/>
      <c r="D884" s="2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18"/>
      <c r="AJ884" s="16"/>
      <c r="AK884" s="16"/>
      <c r="AL884" s="56"/>
      <c r="AM884" s="4"/>
    </row>
    <row r="885" spans="1:39" ht="10.5" customHeight="1" x14ac:dyDescent="0.25">
      <c r="A885" s="15"/>
      <c r="B885" s="2"/>
      <c r="C885" s="16"/>
      <c r="D885" s="2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18"/>
      <c r="AJ885" s="16"/>
      <c r="AK885" s="16"/>
      <c r="AL885" s="56"/>
      <c r="AM885" s="4"/>
    </row>
    <row r="886" spans="1:39" ht="10.5" customHeight="1" x14ac:dyDescent="0.25">
      <c r="A886" s="15"/>
      <c r="B886" s="2"/>
      <c r="C886" s="16"/>
      <c r="D886" s="2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18"/>
      <c r="AJ886" s="16"/>
      <c r="AK886" s="16"/>
      <c r="AL886" s="56"/>
      <c r="AM886" s="4"/>
    </row>
    <row r="887" spans="1:39" ht="10.5" customHeight="1" x14ac:dyDescent="0.25">
      <c r="A887" s="15"/>
      <c r="B887" s="2"/>
      <c r="C887" s="16"/>
      <c r="D887" s="2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18"/>
      <c r="AJ887" s="16"/>
      <c r="AK887" s="16"/>
      <c r="AL887" s="56"/>
      <c r="AM887" s="4"/>
    </row>
    <row r="888" spans="1:39" ht="10.5" customHeight="1" x14ac:dyDescent="0.25">
      <c r="A888" s="15"/>
      <c r="B888" s="2"/>
      <c r="C888" s="16"/>
      <c r="D888" s="2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18"/>
      <c r="AJ888" s="16"/>
      <c r="AK888" s="16"/>
      <c r="AL888" s="56"/>
      <c r="AM888" s="4"/>
    </row>
    <row r="889" spans="1:39" ht="10.5" customHeight="1" x14ac:dyDescent="0.25">
      <c r="A889" s="15"/>
      <c r="B889" s="2"/>
      <c r="C889" s="16"/>
      <c r="D889" s="2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18"/>
      <c r="AJ889" s="16"/>
      <c r="AK889" s="16"/>
      <c r="AL889" s="56"/>
      <c r="AM889" s="4"/>
    </row>
    <row r="890" spans="1:39" ht="10.5" customHeight="1" x14ac:dyDescent="0.25">
      <c r="A890" s="15"/>
      <c r="B890" s="2"/>
      <c r="C890" s="16"/>
      <c r="D890" s="2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18"/>
      <c r="AJ890" s="16"/>
      <c r="AK890" s="16"/>
      <c r="AL890" s="56"/>
      <c r="AM890" s="4"/>
    </row>
    <row r="891" spans="1:39" ht="10.5" customHeight="1" x14ac:dyDescent="0.25">
      <c r="A891" s="15"/>
      <c r="B891" s="2"/>
      <c r="C891" s="16"/>
      <c r="D891" s="2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18"/>
      <c r="AJ891" s="16"/>
      <c r="AK891" s="16"/>
      <c r="AL891" s="56"/>
      <c r="AM891" s="4"/>
    </row>
    <row r="892" spans="1:39" ht="10.5" customHeight="1" x14ac:dyDescent="0.25">
      <c r="A892" s="15"/>
      <c r="B892" s="2"/>
      <c r="C892" s="16"/>
      <c r="D892" s="2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18"/>
      <c r="AJ892" s="16"/>
      <c r="AK892" s="16"/>
      <c r="AL892" s="56"/>
      <c r="AM892" s="4"/>
    </row>
    <row r="893" spans="1:39" ht="10.5" customHeight="1" x14ac:dyDescent="0.25">
      <c r="A893" s="15"/>
      <c r="B893" s="2"/>
      <c r="C893" s="16"/>
      <c r="D893" s="2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18"/>
      <c r="AJ893" s="16"/>
      <c r="AK893" s="16"/>
      <c r="AL893" s="56"/>
      <c r="AM893" s="4"/>
    </row>
    <row r="894" spans="1:39" ht="10.5" customHeight="1" x14ac:dyDescent="0.25">
      <c r="A894" s="15"/>
      <c r="B894" s="2"/>
      <c r="C894" s="16"/>
      <c r="D894" s="2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18"/>
      <c r="AJ894" s="16"/>
      <c r="AK894" s="16"/>
      <c r="AL894" s="56"/>
      <c r="AM894" s="4"/>
    </row>
    <row r="895" spans="1:39" ht="10.5" customHeight="1" x14ac:dyDescent="0.25">
      <c r="A895" s="15"/>
      <c r="B895" s="2"/>
      <c r="C895" s="16"/>
      <c r="D895" s="2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18"/>
      <c r="AJ895" s="16"/>
      <c r="AK895" s="16"/>
      <c r="AL895" s="56"/>
      <c r="AM895" s="4"/>
    </row>
    <row r="896" spans="1:39" ht="10.5" customHeight="1" x14ac:dyDescent="0.25">
      <c r="A896" s="15"/>
      <c r="B896" s="2"/>
      <c r="C896" s="16"/>
      <c r="D896" s="2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18"/>
      <c r="AJ896" s="16"/>
      <c r="AK896" s="16"/>
      <c r="AL896" s="56"/>
      <c r="AM896" s="4"/>
    </row>
    <row r="897" spans="1:39" ht="10.5" customHeight="1" x14ac:dyDescent="0.25">
      <c r="A897" s="15"/>
      <c r="B897" s="2"/>
      <c r="C897" s="16"/>
      <c r="D897" s="2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18"/>
      <c r="AJ897" s="16"/>
      <c r="AK897" s="16"/>
      <c r="AL897" s="56"/>
      <c r="AM897" s="4"/>
    </row>
    <row r="898" spans="1:39" ht="10.5" customHeight="1" x14ac:dyDescent="0.25">
      <c r="A898" s="15"/>
      <c r="B898" s="2"/>
      <c r="C898" s="16"/>
      <c r="D898" s="2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18"/>
      <c r="AJ898" s="16"/>
      <c r="AK898" s="16"/>
      <c r="AL898" s="56"/>
      <c r="AM898" s="4"/>
    </row>
    <row r="899" spans="1:39" ht="10.5" customHeight="1" x14ac:dyDescent="0.25">
      <c r="A899" s="15"/>
      <c r="B899" s="2"/>
      <c r="C899" s="16"/>
      <c r="D899" s="2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18"/>
      <c r="AJ899" s="16"/>
      <c r="AK899" s="16"/>
      <c r="AL899" s="56"/>
      <c r="AM899" s="4"/>
    </row>
    <row r="900" spans="1:39" ht="10.5" customHeight="1" x14ac:dyDescent="0.25">
      <c r="A900" s="15"/>
      <c r="B900" s="2"/>
      <c r="C900" s="16"/>
      <c r="D900" s="2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18"/>
      <c r="AJ900" s="16"/>
      <c r="AK900" s="16"/>
      <c r="AL900" s="56"/>
      <c r="AM900" s="4"/>
    </row>
    <row r="901" spans="1:39" ht="10.5" customHeight="1" x14ac:dyDescent="0.25">
      <c r="A901" s="15"/>
      <c r="B901" s="2"/>
      <c r="C901" s="16"/>
      <c r="D901" s="2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18"/>
      <c r="AJ901" s="16"/>
      <c r="AK901" s="16"/>
      <c r="AL901" s="56"/>
      <c r="AM901" s="4"/>
    </row>
    <row r="902" spans="1:39" ht="10.5" customHeight="1" x14ac:dyDescent="0.25">
      <c r="A902" s="15"/>
      <c r="B902" s="2"/>
      <c r="C902" s="16"/>
      <c r="D902" s="2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18"/>
      <c r="AJ902" s="16"/>
      <c r="AK902" s="16"/>
      <c r="AL902" s="56"/>
      <c r="AM902" s="4"/>
    </row>
    <row r="903" spans="1:39" ht="10.5" customHeight="1" x14ac:dyDescent="0.25">
      <c r="A903" s="15"/>
      <c r="B903" s="2"/>
      <c r="C903" s="16"/>
      <c r="D903" s="2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18"/>
      <c r="AJ903" s="16"/>
      <c r="AK903" s="16"/>
      <c r="AL903" s="56"/>
      <c r="AM903" s="4"/>
    </row>
    <row r="904" spans="1:39" ht="10.5" customHeight="1" x14ac:dyDescent="0.25">
      <c r="A904" s="15"/>
      <c r="B904" s="2"/>
      <c r="C904" s="16"/>
      <c r="D904" s="2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18"/>
      <c r="AJ904" s="16"/>
      <c r="AK904" s="16"/>
      <c r="AL904" s="56"/>
      <c r="AM904" s="4"/>
    </row>
    <row r="905" spans="1:39" ht="10.5" customHeight="1" x14ac:dyDescent="0.25">
      <c r="A905" s="15"/>
      <c r="B905" s="2"/>
      <c r="C905" s="16"/>
      <c r="D905" s="2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18"/>
      <c r="AJ905" s="16"/>
      <c r="AK905" s="16"/>
      <c r="AL905" s="56"/>
      <c r="AM905" s="4"/>
    </row>
    <row r="906" spans="1:39" ht="10.5" customHeight="1" x14ac:dyDescent="0.25">
      <c r="A906" s="15"/>
      <c r="B906" s="2"/>
      <c r="C906" s="16"/>
      <c r="D906" s="2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18"/>
      <c r="AJ906" s="16"/>
      <c r="AK906" s="16"/>
      <c r="AL906" s="56"/>
      <c r="AM906" s="4"/>
    </row>
    <row r="907" spans="1:39" ht="10.5" customHeight="1" x14ac:dyDescent="0.25">
      <c r="A907" s="15"/>
      <c r="B907" s="2"/>
      <c r="C907" s="16"/>
      <c r="D907" s="2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18"/>
      <c r="AJ907" s="16"/>
      <c r="AK907" s="16"/>
      <c r="AL907" s="56"/>
      <c r="AM907" s="4"/>
    </row>
    <row r="908" spans="1:39" ht="10.5" customHeight="1" x14ac:dyDescent="0.25">
      <c r="A908" s="15"/>
      <c r="B908" s="2"/>
      <c r="C908" s="16"/>
      <c r="D908" s="2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18"/>
      <c r="AJ908" s="16"/>
      <c r="AK908" s="16"/>
      <c r="AL908" s="56"/>
      <c r="AM908" s="4"/>
    </row>
    <row r="909" spans="1:39" ht="10.5" customHeight="1" x14ac:dyDescent="0.25">
      <c r="A909" s="15"/>
      <c r="B909" s="2"/>
      <c r="C909" s="16"/>
      <c r="D909" s="2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18"/>
      <c r="AJ909" s="16"/>
      <c r="AK909" s="16"/>
      <c r="AL909" s="56"/>
      <c r="AM909" s="4"/>
    </row>
    <row r="910" spans="1:39" ht="10.5" customHeight="1" x14ac:dyDescent="0.25">
      <c r="A910" s="15"/>
      <c r="B910" s="2"/>
      <c r="C910" s="16"/>
      <c r="D910" s="2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18"/>
      <c r="AJ910" s="16"/>
      <c r="AK910" s="16"/>
      <c r="AL910" s="56"/>
      <c r="AM910" s="4"/>
    </row>
    <row r="911" spans="1:39" ht="10.5" customHeight="1" x14ac:dyDescent="0.25">
      <c r="A911" s="15"/>
      <c r="B911" s="2"/>
      <c r="C911" s="16"/>
      <c r="D911" s="2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18"/>
      <c r="AJ911" s="16"/>
      <c r="AK911" s="16"/>
      <c r="AL911" s="56"/>
      <c r="AM911" s="4"/>
    </row>
    <row r="912" spans="1:39" ht="10.5" customHeight="1" x14ac:dyDescent="0.25">
      <c r="A912" s="15"/>
      <c r="B912" s="2"/>
      <c r="C912" s="16"/>
      <c r="D912" s="2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18"/>
      <c r="AJ912" s="16"/>
      <c r="AK912" s="16"/>
      <c r="AL912" s="56"/>
      <c r="AM912" s="4"/>
    </row>
    <row r="913" spans="1:39" ht="10.5" customHeight="1" x14ac:dyDescent="0.25">
      <c r="A913" s="15"/>
      <c r="B913" s="2"/>
      <c r="C913" s="16"/>
      <c r="D913" s="2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18"/>
      <c r="AJ913" s="16"/>
      <c r="AK913" s="16"/>
      <c r="AL913" s="56"/>
      <c r="AM913" s="4"/>
    </row>
    <row r="914" spans="1:39" ht="10.5" customHeight="1" x14ac:dyDescent="0.25">
      <c r="A914" s="15"/>
      <c r="B914" s="2"/>
      <c r="C914" s="16"/>
      <c r="D914" s="2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18"/>
      <c r="AJ914" s="16"/>
      <c r="AK914" s="16"/>
      <c r="AL914" s="56"/>
      <c r="AM914" s="4"/>
    </row>
    <row r="915" spans="1:39" ht="10.5" customHeight="1" x14ac:dyDescent="0.25">
      <c r="A915" s="15"/>
      <c r="B915" s="2"/>
      <c r="C915" s="16"/>
      <c r="D915" s="2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18"/>
      <c r="AJ915" s="16"/>
      <c r="AK915" s="16"/>
      <c r="AL915" s="56"/>
      <c r="AM915" s="4"/>
    </row>
    <row r="916" spans="1:39" ht="10.5" customHeight="1" x14ac:dyDescent="0.25">
      <c r="A916" s="15"/>
      <c r="B916" s="2"/>
      <c r="C916" s="16"/>
      <c r="D916" s="2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18"/>
      <c r="AJ916" s="16"/>
      <c r="AK916" s="16"/>
      <c r="AL916" s="56"/>
      <c r="AM916" s="4"/>
    </row>
    <row r="917" spans="1:39" ht="10.5" customHeight="1" x14ac:dyDescent="0.25">
      <c r="A917" s="15"/>
      <c r="B917" s="2"/>
      <c r="C917" s="16"/>
      <c r="D917" s="2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18"/>
      <c r="AJ917" s="16"/>
      <c r="AK917" s="16"/>
      <c r="AL917" s="56"/>
      <c r="AM917" s="4"/>
    </row>
    <row r="918" spans="1:39" ht="10.5" customHeight="1" x14ac:dyDescent="0.25">
      <c r="A918" s="15"/>
      <c r="B918" s="2"/>
      <c r="C918" s="16"/>
      <c r="D918" s="2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18"/>
      <c r="AJ918" s="16"/>
      <c r="AK918" s="16"/>
      <c r="AL918" s="56"/>
      <c r="AM918" s="4"/>
    </row>
    <row r="919" spans="1:39" ht="10.5" customHeight="1" x14ac:dyDescent="0.25">
      <c r="A919" s="15"/>
      <c r="B919" s="2"/>
      <c r="C919" s="16"/>
      <c r="D919" s="2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18"/>
      <c r="AJ919" s="16"/>
      <c r="AK919" s="16"/>
      <c r="AL919" s="56"/>
      <c r="AM919" s="4"/>
    </row>
    <row r="920" spans="1:39" ht="10.5" customHeight="1" x14ac:dyDescent="0.25">
      <c r="A920" s="15"/>
      <c r="B920" s="2"/>
      <c r="C920" s="16"/>
      <c r="D920" s="2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18"/>
      <c r="AJ920" s="16"/>
      <c r="AK920" s="16"/>
      <c r="AL920" s="56"/>
      <c r="AM920" s="4"/>
    </row>
    <row r="921" spans="1:39" ht="10.5" customHeight="1" x14ac:dyDescent="0.25">
      <c r="A921" s="15"/>
      <c r="B921" s="2"/>
      <c r="C921" s="16"/>
      <c r="D921" s="2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18"/>
      <c r="AJ921" s="16"/>
      <c r="AK921" s="16"/>
      <c r="AL921" s="56"/>
      <c r="AM921" s="4"/>
    </row>
    <row r="922" spans="1:39" ht="10.5" customHeight="1" x14ac:dyDescent="0.25">
      <c r="A922" s="15"/>
      <c r="B922" s="2"/>
      <c r="C922" s="16"/>
      <c r="D922" s="2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18"/>
      <c r="AJ922" s="16"/>
      <c r="AK922" s="16"/>
      <c r="AL922" s="56"/>
      <c r="AM922" s="4"/>
    </row>
    <row r="923" spans="1:39" ht="10.5" customHeight="1" x14ac:dyDescent="0.25">
      <c r="A923" s="15"/>
      <c r="B923" s="2"/>
      <c r="C923" s="16"/>
      <c r="D923" s="2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18"/>
      <c r="AJ923" s="16"/>
      <c r="AK923" s="16"/>
      <c r="AL923" s="56"/>
      <c r="AM923" s="4"/>
    </row>
    <row r="924" spans="1:39" ht="10.5" customHeight="1" x14ac:dyDescent="0.25">
      <c r="A924" s="15"/>
      <c r="B924" s="2"/>
      <c r="C924" s="16"/>
      <c r="D924" s="2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18"/>
      <c r="AJ924" s="16"/>
      <c r="AK924" s="16"/>
      <c r="AL924" s="56"/>
      <c r="AM924" s="4"/>
    </row>
    <row r="925" spans="1:39" ht="10.5" customHeight="1" x14ac:dyDescent="0.25">
      <c r="A925" s="15"/>
      <c r="B925" s="2"/>
      <c r="C925" s="16"/>
      <c r="D925" s="2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18"/>
      <c r="AJ925" s="16"/>
      <c r="AK925" s="16"/>
      <c r="AL925" s="56"/>
      <c r="AM925" s="4"/>
    </row>
    <row r="926" spans="1:39" ht="10.5" customHeight="1" x14ac:dyDescent="0.25">
      <c r="A926" s="15"/>
      <c r="B926" s="2"/>
      <c r="C926" s="16"/>
      <c r="D926" s="2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18"/>
      <c r="AJ926" s="16"/>
      <c r="AK926" s="16"/>
      <c r="AL926" s="56"/>
      <c r="AM926" s="4"/>
    </row>
    <row r="927" spans="1:39" ht="10.5" customHeight="1" x14ac:dyDescent="0.25">
      <c r="A927" s="15"/>
      <c r="B927" s="2"/>
      <c r="C927" s="16"/>
      <c r="D927" s="2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18"/>
      <c r="AJ927" s="16"/>
      <c r="AK927" s="16"/>
      <c r="AL927" s="56"/>
      <c r="AM927" s="4"/>
    </row>
    <row r="928" spans="1:39" ht="10.5" customHeight="1" x14ac:dyDescent="0.25">
      <c r="A928" s="15"/>
      <c r="B928" s="2"/>
      <c r="C928" s="16"/>
      <c r="D928" s="2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18"/>
      <c r="AJ928" s="16"/>
      <c r="AK928" s="16"/>
      <c r="AL928" s="56"/>
      <c r="AM928" s="4"/>
    </row>
    <row r="929" spans="1:39" ht="10.5" customHeight="1" x14ac:dyDescent="0.25">
      <c r="A929" s="15"/>
      <c r="B929" s="2"/>
      <c r="C929" s="16"/>
      <c r="D929" s="2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18"/>
      <c r="AJ929" s="16"/>
      <c r="AK929" s="16"/>
      <c r="AL929" s="56"/>
      <c r="AM929" s="4"/>
    </row>
    <row r="930" spans="1:39" ht="10.5" customHeight="1" x14ac:dyDescent="0.25">
      <c r="A930" s="15"/>
      <c r="B930" s="2"/>
      <c r="C930" s="16"/>
      <c r="D930" s="2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18"/>
      <c r="AJ930" s="16"/>
      <c r="AK930" s="16"/>
      <c r="AL930" s="56"/>
      <c r="AM930" s="4"/>
    </row>
    <row r="931" spans="1:39" ht="10.5" customHeight="1" x14ac:dyDescent="0.25">
      <c r="A931" s="15"/>
      <c r="B931" s="2"/>
      <c r="C931" s="16"/>
      <c r="D931" s="2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18"/>
      <c r="AJ931" s="16"/>
      <c r="AK931" s="16"/>
      <c r="AL931" s="56"/>
      <c r="AM931" s="4"/>
    </row>
    <row r="932" spans="1:39" ht="10.5" customHeight="1" x14ac:dyDescent="0.25">
      <c r="A932" s="15"/>
      <c r="B932" s="2"/>
      <c r="C932" s="16"/>
      <c r="D932" s="2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18"/>
      <c r="AJ932" s="16"/>
      <c r="AK932" s="16"/>
      <c r="AL932" s="56"/>
      <c r="AM932" s="4"/>
    </row>
    <row r="933" spans="1:39" ht="10.5" customHeight="1" x14ac:dyDescent="0.25">
      <c r="A933" s="15"/>
      <c r="B933" s="2"/>
      <c r="C933" s="16"/>
      <c r="D933" s="2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18"/>
      <c r="AJ933" s="16"/>
      <c r="AK933" s="16"/>
      <c r="AL933" s="56"/>
      <c r="AM933" s="4"/>
    </row>
    <row r="934" spans="1:39" ht="10.5" customHeight="1" x14ac:dyDescent="0.25">
      <c r="A934" s="15"/>
      <c r="B934" s="2"/>
      <c r="C934" s="16"/>
      <c r="D934" s="2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18"/>
      <c r="AJ934" s="16"/>
      <c r="AK934" s="16"/>
      <c r="AL934" s="56"/>
      <c r="AM934" s="4"/>
    </row>
    <row r="935" spans="1:39" ht="10.5" customHeight="1" x14ac:dyDescent="0.25">
      <c r="A935" s="15"/>
      <c r="B935" s="2"/>
      <c r="C935" s="16"/>
      <c r="D935" s="2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18"/>
      <c r="AJ935" s="16"/>
      <c r="AK935" s="16"/>
      <c r="AL935" s="56"/>
      <c r="AM935" s="4"/>
    </row>
    <row r="936" spans="1:39" ht="10.5" customHeight="1" x14ac:dyDescent="0.25">
      <c r="A936" s="15"/>
      <c r="B936" s="2"/>
      <c r="C936" s="16"/>
      <c r="D936" s="2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18"/>
      <c r="AJ936" s="16"/>
      <c r="AK936" s="16"/>
      <c r="AL936" s="56"/>
      <c r="AM936" s="4"/>
    </row>
    <row r="937" spans="1:39" ht="10.5" customHeight="1" x14ac:dyDescent="0.25">
      <c r="A937" s="15"/>
      <c r="B937" s="2"/>
      <c r="C937" s="16"/>
      <c r="D937" s="2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18"/>
      <c r="AJ937" s="16"/>
      <c r="AK937" s="16"/>
      <c r="AL937" s="56"/>
      <c r="AM937" s="4"/>
    </row>
    <row r="938" spans="1:39" ht="10.5" customHeight="1" x14ac:dyDescent="0.25">
      <c r="A938" s="15"/>
      <c r="B938" s="2"/>
      <c r="C938" s="16"/>
      <c r="D938" s="2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18"/>
      <c r="AJ938" s="16"/>
      <c r="AK938" s="16"/>
      <c r="AL938" s="56"/>
      <c r="AM938" s="4"/>
    </row>
    <row r="939" spans="1:39" ht="10.5" customHeight="1" x14ac:dyDescent="0.25">
      <c r="A939" s="15"/>
      <c r="B939" s="2"/>
      <c r="C939" s="16"/>
      <c r="D939" s="2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18"/>
      <c r="AJ939" s="16"/>
      <c r="AK939" s="16"/>
      <c r="AL939" s="56"/>
      <c r="AM939" s="4"/>
    </row>
    <row r="940" spans="1:39" ht="10.5" customHeight="1" x14ac:dyDescent="0.25">
      <c r="A940" s="15"/>
      <c r="B940" s="2"/>
      <c r="C940" s="16"/>
      <c r="D940" s="2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18"/>
      <c r="AJ940" s="16"/>
      <c r="AK940" s="16"/>
      <c r="AL940" s="56"/>
      <c r="AM940" s="4"/>
    </row>
    <row r="941" spans="1:39" ht="10.5" customHeight="1" x14ac:dyDescent="0.25">
      <c r="A941" s="15"/>
      <c r="B941" s="2"/>
      <c r="C941" s="16"/>
      <c r="D941" s="2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18"/>
      <c r="AJ941" s="16"/>
      <c r="AK941" s="16"/>
      <c r="AL941" s="56"/>
      <c r="AM941" s="4"/>
    </row>
    <row r="942" spans="1:39" ht="10.5" customHeight="1" x14ac:dyDescent="0.25">
      <c r="A942" s="15"/>
      <c r="B942" s="2"/>
      <c r="C942" s="16"/>
      <c r="D942" s="2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18"/>
      <c r="AJ942" s="16"/>
      <c r="AK942" s="16"/>
      <c r="AL942" s="56"/>
      <c r="AM942" s="4"/>
    </row>
    <row r="943" spans="1:39" ht="10.5" customHeight="1" x14ac:dyDescent="0.25">
      <c r="A943" s="15"/>
      <c r="B943" s="2"/>
      <c r="C943" s="16"/>
      <c r="D943" s="2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18"/>
      <c r="AJ943" s="16"/>
      <c r="AK943" s="16"/>
      <c r="AL943" s="56"/>
      <c r="AM943" s="4"/>
    </row>
    <row r="944" spans="1:39" ht="10.5" customHeight="1" x14ac:dyDescent="0.25">
      <c r="A944" s="15"/>
      <c r="B944" s="2"/>
      <c r="C944" s="16"/>
      <c r="D944" s="2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18"/>
      <c r="AJ944" s="16"/>
      <c r="AK944" s="16"/>
      <c r="AL944" s="56"/>
      <c r="AM944" s="4"/>
    </row>
    <row r="945" spans="1:39" ht="10.5" customHeight="1" x14ac:dyDescent="0.25">
      <c r="A945" s="15"/>
      <c r="B945" s="2"/>
      <c r="C945" s="16"/>
      <c r="D945" s="2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18"/>
      <c r="AJ945" s="16"/>
      <c r="AK945" s="16"/>
      <c r="AL945" s="56"/>
      <c r="AM945" s="4"/>
    </row>
    <row r="946" spans="1:39" ht="10.5" customHeight="1" x14ac:dyDescent="0.25">
      <c r="A946" s="15"/>
      <c r="B946" s="2"/>
      <c r="C946" s="16"/>
      <c r="D946" s="2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18"/>
      <c r="AJ946" s="16"/>
      <c r="AK946" s="16"/>
      <c r="AL946" s="56"/>
      <c r="AM946" s="4"/>
    </row>
    <row r="947" spans="1:39" ht="10.5" customHeight="1" x14ac:dyDescent="0.25">
      <c r="A947" s="15"/>
      <c r="B947" s="2"/>
      <c r="C947" s="16"/>
      <c r="D947" s="2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18"/>
      <c r="AJ947" s="16"/>
      <c r="AK947" s="16"/>
      <c r="AL947" s="56"/>
      <c r="AM947" s="4"/>
    </row>
    <row r="948" spans="1:39" ht="10.5" customHeight="1" x14ac:dyDescent="0.25">
      <c r="A948" s="15"/>
      <c r="B948" s="2"/>
      <c r="C948" s="16"/>
      <c r="D948" s="2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18"/>
      <c r="AJ948" s="16"/>
      <c r="AK948" s="16"/>
      <c r="AL948" s="56"/>
      <c r="AM948" s="4"/>
    </row>
    <row r="949" spans="1:39" ht="10.5" customHeight="1" x14ac:dyDescent="0.25">
      <c r="A949" s="15"/>
      <c r="B949" s="2"/>
      <c r="C949" s="16"/>
      <c r="D949" s="2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18"/>
      <c r="AJ949" s="16"/>
      <c r="AK949" s="16"/>
      <c r="AL949" s="56"/>
      <c r="AM949" s="4"/>
    </row>
    <row r="950" spans="1:39" ht="10.5" customHeight="1" x14ac:dyDescent="0.25">
      <c r="A950" s="15"/>
      <c r="B950" s="2"/>
      <c r="C950" s="16"/>
      <c r="D950" s="2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18"/>
      <c r="AJ950" s="16"/>
      <c r="AK950" s="16"/>
      <c r="AL950" s="56"/>
      <c r="AM950" s="4"/>
    </row>
    <row r="951" spans="1:39" ht="10.5" customHeight="1" x14ac:dyDescent="0.25">
      <c r="A951" s="15"/>
      <c r="B951" s="2"/>
      <c r="C951" s="16"/>
      <c r="D951" s="2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18"/>
      <c r="AJ951" s="16"/>
      <c r="AK951" s="16"/>
      <c r="AL951" s="56"/>
      <c r="AM951" s="4"/>
    </row>
    <row r="952" spans="1:39" ht="10.5" customHeight="1" x14ac:dyDescent="0.25">
      <c r="A952" s="15"/>
      <c r="B952" s="2"/>
      <c r="C952" s="16"/>
      <c r="D952" s="2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18"/>
      <c r="AJ952" s="16"/>
      <c r="AK952" s="16"/>
      <c r="AL952" s="56"/>
      <c r="AM952" s="4"/>
    </row>
    <row r="953" spans="1:39" ht="10.5" customHeight="1" x14ac:dyDescent="0.25">
      <c r="A953" s="15"/>
      <c r="B953" s="2"/>
      <c r="C953" s="16"/>
      <c r="D953" s="2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18"/>
      <c r="AJ953" s="16"/>
      <c r="AK953" s="16"/>
      <c r="AL953" s="56"/>
      <c r="AM953" s="4"/>
    </row>
    <row r="954" spans="1:39" ht="10.5" customHeight="1" x14ac:dyDescent="0.25">
      <c r="A954" s="15"/>
      <c r="B954" s="2"/>
      <c r="C954" s="16"/>
      <c r="D954" s="2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18"/>
      <c r="AJ954" s="16"/>
      <c r="AK954" s="16"/>
      <c r="AL954" s="56"/>
      <c r="AM954" s="4"/>
    </row>
    <row r="955" spans="1:39" ht="10.5" customHeight="1" x14ac:dyDescent="0.25">
      <c r="A955" s="15"/>
      <c r="B955" s="2"/>
      <c r="C955" s="16"/>
      <c r="D955" s="2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18"/>
      <c r="AJ955" s="16"/>
      <c r="AK955" s="16"/>
      <c r="AL955" s="56"/>
      <c r="AM955" s="4"/>
    </row>
    <row r="956" spans="1:39" ht="10.5" customHeight="1" x14ac:dyDescent="0.25">
      <c r="A956" s="15"/>
      <c r="B956" s="2"/>
      <c r="C956" s="16"/>
      <c r="D956" s="2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18"/>
      <c r="AJ956" s="16"/>
      <c r="AK956" s="16"/>
      <c r="AL956" s="56"/>
      <c r="AM956" s="4"/>
    </row>
    <row r="957" spans="1:39" ht="10.5" customHeight="1" x14ac:dyDescent="0.25">
      <c r="A957" s="15"/>
      <c r="B957" s="2"/>
      <c r="C957" s="16"/>
      <c r="D957" s="2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18"/>
      <c r="AJ957" s="16"/>
      <c r="AK957" s="16"/>
      <c r="AL957" s="56"/>
      <c r="AM957" s="4"/>
    </row>
    <row r="958" spans="1:39" ht="10.5" customHeight="1" x14ac:dyDescent="0.25">
      <c r="A958" s="15"/>
      <c r="B958" s="2"/>
      <c r="C958" s="16"/>
      <c r="D958" s="2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18"/>
      <c r="AJ958" s="16"/>
      <c r="AK958" s="16"/>
      <c r="AL958" s="56"/>
      <c r="AM958" s="4"/>
    </row>
    <row r="959" spans="1:39" ht="10.5" customHeight="1" x14ac:dyDescent="0.25">
      <c r="A959" s="15"/>
      <c r="B959" s="2"/>
      <c r="C959" s="16"/>
      <c r="D959" s="2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18"/>
      <c r="AJ959" s="16"/>
      <c r="AK959" s="16"/>
      <c r="AL959" s="56"/>
      <c r="AM959" s="4"/>
    </row>
    <row r="960" spans="1:39" ht="10.5" customHeight="1" x14ac:dyDescent="0.25">
      <c r="A960" s="15"/>
      <c r="B960" s="2"/>
      <c r="C960" s="16"/>
      <c r="D960" s="2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18"/>
      <c r="AJ960" s="16"/>
      <c r="AK960" s="16"/>
      <c r="AL960" s="56"/>
      <c r="AM960" s="4"/>
    </row>
    <row r="961" spans="1:39" ht="10.5" customHeight="1" x14ac:dyDescent="0.25">
      <c r="A961" s="15"/>
      <c r="B961" s="2"/>
      <c r="C961" s="16"/>
      <c r="D961" s="2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18"/>
      <c r="AJ961" s="16"/>
      <c r="AK961" s="16"/>
      <c r="AL961" s="56"/>
      <c r="AM961" s="4"/>
    </row>
    <row r="962" spans="1:39" ht="10.5" customHeight="1" x14ac:dyDescent="0.25">
      <c r="A962" s="15"/>
      <c r="B962" s="2"/>
      <c r="C962" s="16"/>
      <c r="D962" s="2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18"/>
      <c r="AJ962" s="16"/>
      <c r="AK962" s="16"/>
      <c r="AL962" s="56"/>
      <c r="AM962" s="4"/>
    </row>
    <row r="963" spans="1:39" ht="10.5" customHeight="1" x14ac:dyDescent="0.25">
      <c r="A963" s="15"/>
      <c r="B963" s="2"/>
      <c r="C963" s="16"/>
      <c r="D963" s="2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18"/>
      <c r="AJ963" s="16"/>
      <c r="AK963" s="16"/>
      <c r="AL963" s="56"/>
      <c r="AM963" s="4"/>
    </row>
    <row r="964" spans="1:39" ht="10.5" customHeight="1" x14ac:dyDescent="0.25">
      <c r="A964" s="15"/>
      <c r="B964" s="2"/>
      <c r="C964" s="16"/>
      <c r="D964" s="2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18"/>
      <c r="AJ964" s="16"/>
      <c r="AK964" s="16"/>
      <c r="AL964" s="56"/>
      <c r="AM964" s="4"/>
    </row>
    <row r="965" spans="1:39" ht="10.5" customHeight="1" x14ac:dyDescent="0.25">
      <c r="A965" s="15"/>
      <c r="B965" s="2"/>
      <c r="C965" s="16"/>
      <c r="D965" s="2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18"/>
      <c r="AJ965" s="16"/>
      <c r="AK965" s="16"/>
      <c r="AL965" s="56"/>
      <c r="AM965" s="4"/>
    </row>
    <row r="966" spans="1:39" ht="10.5" customHeight="1" x14ac:dyDescent="0.25">
      <c r="A966" s="15"/>
      <c r="B966" s="2"/>
      <c r="C966" s="16"/>
      <c r="D966" s="2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18"/>
      <c r="AJ966" s="16"/>
      <c r="AK966" s="16"/>
      <c r="AL966" s="56"/>
      <c r="AM966" s="4"/>
    </row>
    <row r="967" spans="1:39" ht="10.5" customHeight="1" x14ac:dyDescent="0.25">
      <c r="A967" s="15"/>
      <c r="B967" s="2"/>
      <c r="C967" s="16"/>
      <c r="D967" s="2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18"/>
      <c r="AJ967" s="16"/>
      <c r="AK967" s="16"/>
      <c r="AL967" s="56"/>
      <c r="AM967" s="4"/>
    </row>
    <row r="968" spans="1:39" ht="10.5" customHeight="1" x14ac:dyDescent="0.25">
      <c r="A968" s="15"/>
      <c r="B968" s="2"/>
      <c r="C968" s="16"/>
      <c r="D968" s="2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18"/>
      <c r="AJ968" s="16"/>
      <c r="AK968" s="16"/>
      <c r="AL968" s="56"/>
      <c r="AM968" s="4"/>
    </row>
    <row r="969" spans="1:39" ht="10.5" customHeight="1" x14ac:dyDescent="0.25">
      <c r="A969" s="15"/>
      <c r="B969" s="2"/>
      <c r="C969" s="16"/>
      <c r="D969" s="2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18"/>
      <c r="AJ969" s="16"/>
      <c r="AK969" s="16"/>
      <c r="AL969" s="56"/>
      <c r="AM969" s="4"/>
    </row>
    <row r="970" spans="1:39" ht="10.5" customHeight="1" x14ac:dyDescent="0.25">
      <c r="A970" s="15"/>
      <c r="B970" s="2"/>
      <c r="C970" s="16"/>
      <c r="D970" s="2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18"/>
      <c r="AJ970" s="16"/>
      <c r="AK970" s="16"/>
      <c r="AL970" s="56"/>
      <c r="AM970" s="4"/>
    </row>
    <row r="971" spans="1:39" ht="10.5" customHeight="1" x14ac:dyDescent="0.25">
      <c r="A971" s="15"/>
      <c r="B971" s="2"/>
      <c r="C971" s="16"/>
      <c r="D971" s="2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18"/>
      <c r="AJ971" s="16"/>
      <c r="AK971" s="16"/>
      <c r="AL971" s="56"/>
      <c r="AM971" s="4"/>
    </row>
    <row r="972" spans="1:39" ht="10.5" customHeight="1" x14ac:dyDescent="0.25">
      <c r="A972" s="15"/>
      <c r="B972" s="2"/>
      <c r="C972" s="16"/>
      <c r="D972" s="2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18"/>
      <c r="AJ972" s="16"/>
      <c r="AK972" s="16"/>
      <c r="AL972" s="56"/>
      <c r="AM972" s="4"/>
    </row>
    <row r="973" spans="1:39" ht="10.5" customHeight="1" x14ac:dyDescent="0.25">
      <c r="A973" s="15"/>
      <c r="B973" s="2"/>
      <c r="C973" s="16"/>
      <c r="D973" s="2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18"/>
      <c r="AJ973" s="16"/>
      <c r="AK973" s="16"/>
      <c r="AL973" s="56"/>
      <c r="AM973" s="4"/>
    </row>
    <row r="974" spans="1:39" ht="10.5" customHeight="1" x14ac:dyDescent="0.25">
      <c r="A974" s="15"/>
      <c r="B974" s="2"/>
      <c r="C974" s="16"/>
      <c r="D974" s="2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18"/>
      <c r="AJ974" s="16"/>
      <c r="AK974" s="16"/>
      <c r="AL974" s="56"/>
      <c r="AM974" s="4"/>
    </row>
    <row r="975" spans="1:39" ht="10.5" customHeight="1" x14ac:dyDescent="0.25">
      <c r="A975" s="15"/>
      <c r="B975" s="2"/>
      <c r="C975" s="16"/>
      <c r="D975" s="2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18"/>
      <c r="AJ975" s="16"/>
      <c r="AK975" s="16"/>
      <c r="AL975" s="56"/>
      <c r="AM975" s="4"/>
    </row>
    <row r="976" spans="1:39" ht="10.5" customHeight="1" x14ac:dyDescent="0.25">
      <c r="A976" s="15"/>
      <c r="B976" s="2"/>
      <c r="C976" s="16"/>
      <c r="D976" s="2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18"/>
      <c r="AJ976" s="16"/>
      <c r="AK976" s="16"/>
      <c r="AL976" s="56"/>
      <c r="AM976" s="4"/>
    </row>
    <row r="977" spans="1:39" ht="10.5" customHeight="1" x14ac:dyDescent="0.25">
      <c r="A977" s="15"/>
      <c r="B977" s="2"/>
      <c r="C977" s="16"/>
      <c r="D977" s="2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18"/>
      <c r="AJ977" s="16"/>
      <c r="AK977" s="16"/>
      <c r="AL977" s="56"/>
      <c r="AM977" s="4"/>
    </row>
    <row r="978" spans="1:39" ht="10.5" customHeight="1" x14ac:dyDescent="0.25">
      <c r="A978" s="15"/>
      <c r="B978" s="2"/>
      <c r="C978" s="16"/>
      <c r="D978" s="2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18"/>
      <c r="AJ978" s="16"/>
      <c r="AK978" s="16"/>
      <c r="AL978" s="56"/>
      <c r="AM978" s="4"/>
    </row>
    <row r="979" spans="1:39" ht="10.5" customHeight="1" x14ac:dyDescent="0.25">
      <c r="A979" s="15"/>
      <c r="B979" s="2"/>
      <c r="C979" s="16"/>
      <c r="D979" s="2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18"/>
      <c r="AJ979" s="16"/>
      <c r="AK979" s="16"/>
      <c r="AL979" s="56"/>
      <c r="AM979" s="4"/>
    </row>
    <row r="980" spans="1:39" ht="10.5" customHeight="1" x14ac:dyDescent="0.25">
      <c r="A980" s="15"/>
      <c r="B980" s="2"/>
      <c r="C980" s="16"/>
      <c r="D980" s="2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18"/>
      <c r="AJ980" s="16"/>
      <c r="AK980" s="16"/>
      <c r="AL980" s="56"/>
      <c r="AM980" s="4"/>
    </row>
    <row r="981" spans="1:39" ht="10.5" customHeight="1" x14ac:dyDescent="0.25">
      <c r="A981" s="15"/>
      <c r="B981" s="2"/>
      <c r="C981" s="16"/>
      <c r="D981" s="2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18"/>
      <c r="AJ981" s="16"/>
      <c r="AK981" s="16"/>
      <c r="AL981" s="56"/>
      <c r="AM981" s="4"/>
    </row>
    <row r="982" spans="1:39" ht="10.5" customHeight="1" x14ac:dyDescent="0.25">
      <c r="A982" s="15"/>
      <c r="B982" s="2"/>
      <c r="C982" s="16"/>
      <c r="D982" s="2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18"/>
      <c r="AJ982" s="16"/>
      <c r="AK982" s="16"/>
      <c r="AL982" s="56"/>
      <c r="AM982" s="4"/>
    </row>
    <row r="983" spans="1:39" ht="10.5" customHeight="1" x14ac:dyDescent="0.25">
      <c r="A983" s="15"/>
      <c r="B983" s="2"/>
      <c r="C983" s="16"/>
      <c r="D983" s="2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18"/>
      <c r="AJ983" s="16"/>
      <c r="AK983" s="16"/>
      <c r="AL983" s="56"/>
      <c r="AM983" s="4"/>
    </row>
    <row r="984" spans="1:39" ht="10.5" customHeight="1" x14ac:dyDescent="0.25">
      <c r="A984" s="15"/>
      <c r="B984" s="2"/>
      <c r="C984" s="16"/>
      <c r="D984" s="2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18"/>
      <c r="AJ984" s="16"/>
      <c r="AK984" s="16"/>
      <c r="AL984" s="56"/>
      <c r="AM984" s="4"/>
    </row>
    <row r="985" spans="1:39" ht="10.5" customHeight="1" x14ac:dyDescent="0.25">
      <c r="A985" s="15"/>
      <c r="B985" s="2"/>
      <c r="C985" s="16"/>
      <c r="D985" s="2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18"/>
      <c r="AJ985" s="16"/>
      <c r="AK985" s="16"/>
      <c r="AL985" s="56"/>
      <c r="AM985" s="4"/>
    </row>
    <row r="986" spans="1:39" ht="10.5" customHeight="1" x14ac:dyDescent="0.25">
      <c r="A986" s="15"/>
      <c r="B986" s="2"/>
      <c r="C986" s="16"/>
      <c r="D986" s="2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18"/>
      <c r="AJ986" s="16"/>
      <c r="AK986" s="16"/>
      <c r="AL986" s="56"/>
      <c r="AM986" s="4"/>
    </row>
    <row r="987" spans="1:39" ht="10.5" customHeight="1" x14ac:dyDescent="0.25">
      <c r="A987" s="15"/>
      <c r="B987" s="2"/>
      <c r="C987" s="16"/>
      <c r="D987" s="2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18"/>
      <c r="AJ987" s="16"/>
      <c r="AK987" s="16"/>
      <c r="AL987" s="56"/>
      <c r="AM987" s="4"/>
    </row>
    <row r="988" spans="1:39" ht="10.5" customHeight="1" x14ac:dyDescent="0.25">
      <c r="A988" s="15"/>
      <c r="B988" s="2"/>
      <c r="C988" s="16"/>
      <c r="D988" s="2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18"/>
      <c r="AJ988" s="16"/>
      <c r="AK988" s="16"/>
      <c r="AL988" s="56"/>
      <c r="AM988" s="4"/>
    </row>
    <row r="989" spans="1:39" ht="10.5" customHeight="1" x14ac:dyDescent="0.25">
      <c r="A989" s="15"/>
      <c r="B989" s="2"/>
      <c r="C989" s="16"/>
      <c r="D989" s="2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18"/>
      <c r="AJ989" s="16"/>
      <c r="AK989" s="16"/>
      <c r="AL989" s="56"/>
      <c r="AM989" s="4"/>
    </row>
    <row r="990" spans="1:39" ht="10.5" customHeight="1" x14ac:dyDescent="0.25">
      <c r="A990" s="15"/>
      <c r="B990" s="2"/>
      <c r="C990" s="16"/>
      <c r="D990" s="2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18"/>
      <c r="AJ990" s="16"/>
      <c r="AK990" s="16"/>
      <c r="AL990" s="56"/>
      <c r="AM990" s="4"/>
    </row>
    <row r="991" spans="1:39" ht="10.5" customHeight="1" x14ac:dyDescent="0.25">
      <c r="A991" s="15"/>
      <c r="B991" s="2"/>
      <c r="C991" s="16"/>
      <c r="D991" s="2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18"/>
      <c r="AJ991" s="16"/>
      <c r="AK991" s="16"/>
      <c r="AL991" s="56"/>
      <c r="AM991" s="4"/>
    </row>
    <row r="992" spans="1:39" ht="10.5" customHeight="1" x14ac:dyDescent="0.25">
      <c r="A992" s="15"/>
      <c r="B992" s="2"/>
      <c r="C992" s="16"/>
      <c r="D992" s="2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18"/>
      <c r="AJ992" s="16"/>
      <c r="AK992" s="16"/>
      <c r="AL992" s="56"/>
      <c r="AM992" s="4"/>
    </row>
    <row r="993" spans="1:39" ht="10.5" customHeight="1" x14ac:dyDescent="0.25">
      <c r="A993" s="15"/>
      <c r="B993" s="2"/>
      <c r="C993" s="16"/>
      <c r="D993" s="2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18"/>
      <c r="AJ993" s="16"/>
      <c r="AK993" s="16"/>
      <c r="AL993" s="56"/>
      <c r="AM993" s="4"/>
    </row>
    <row r="994" spans="1:39" ht="10.5" customHeight="1" x14ac:dyDescent="0.25">
      <c r="A994" s="15"/>
      <c r="B994" s="2"/>
      <c r="C994" s="16"/>
      <c r="D994" s="2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18"/>
      <c r="AJ994" s="16"/>
      <c r="AK994" s="16"/>
      <c r="AL994" s="56"/>
      <c r="AM994" s="4"/>
    </row>
    <row r="995" spans="1:39" ht="10.5" customHeight="1" x14ac:dyDescent="0.25">
      <c r="A995" s="15"/>
      <c r="B995" s="2"/>
      <c r="C995" s="16"/>
      <c r="D995" s="2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18"/>
      <c r="AJ995" s="16"/>
      <c r="AK995" s="16"/>
      <c r="AL995" s="56"/>
      <c r="AM995" s="4"/>
    </row>
    <row r="996" spans="1:39" ht="10.5" customHeight="1" x14ac:dyDescent="0.25">
      <c r="A996" s="15"/>
      <c r="B996" s="2"/>
      <c r="C996" s="16"/>
      <c r="D996" s="2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18"/>
      <c r="AJ996" s="16"/>
      <c r="AK996" s="16"/>
      <c r="AL996" s="56"/>
      <c r="AM996" s="4"/>
    </row>
    <row r="997" spans="1:39" ht="10.5" customHeight="1" x14ac:dyDescent="0.25">
      <c r="A997" s="15"/>
      <c r="B997" s="2"/>
      <c r="C997" s="16"/>
      <c r="D997" s="2"/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18"/>
      <c r="AJ997" s="16"/>
      <c r="AK997" s="16"/>
      <c r="AL997" s="56"/>
      <c r="AM997" s="4"/>
    </row>
    <row r="998" spans="1:39" ht="10.5" customHeight="1" x14ac:dyDescent="0.25">
      <c r="A998" s="15"/>
      <c r="B998" s="2"/>
      <c r="C998" s="16"/>
      <c r="D998" s="2"/>
      <c r="E998" s="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18"/>
      <c r="AJ998" s="16"/>
      <c r="AK998" s="16"/>
      <c r="AL998" s="56"/>
      <c r="AM998" s="4"/>
    </row>
    <row r="999" spans="1:39" ht="10.5" customHeight="1" x14ac:dyDescent="0.25">
      <c r="A999" s="15"/>
      <c r="B999" s="2"/>
      <c r="C999" s="16"/>
      <c r="D999" s="2"/>
      <c r="E999" s="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18"/>
      <c r="AJ999" s="16"/>
      <c r="AK999" s="16"/>
      <c r="AL999" s="56"/>
      <c r="AM999" s="4"/>
    </row>
    <row r="1000" spans="1:39" ht="10.5" customHeight="1" x14ac:dyDescent="0.25">
      <c r="A1000" s="15"/>
      <c r="B1000" s="2"/>
      <c r="C1000" s="16"/>
      <c r="D1000" s="2"/>
      <c r="E1000" s="4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18"/>
      <c r="AJ1000" s="16"/>
      <c r="AK1000" s="16"/>
      <c r="AL1000" s="56"/>
      <c r="AM1000" s="4"/>
    </row>
  </sheetData>
  <autoFilter ref="A8:AM43" xr:uid="{00000000-0009-0000-0000-000004000000}">
    <sortState xmlns:xlrd2="http://schemas.microsoft.com/office/spreadsheetml/2017/richdata2" ref="A8:AM43">
      <sortCondition ref="C8:C43"/>
    </sortState>
  </autoFilter>
  <conditionalFormatting sqref="B4:C4 B6:C7 B9:C1000 C2:C3 C5 C8 C670:C1000">
    <cfRule type="colorScale" priority="1">
      <colorScale>
        <cfvo type="formula" val="0"/>
        <cfvo type="formula" val="4"/>
        <cfvo type="formula" val="10"/>
        <color rgb="FFFFFFCC"/>
        <color theme="9"/>
        <color rgb="FFC00000"/>
      </colorScale>
    </cfRule>
  </conditionalFormatting>
  <conditionalFormatting sqref="D2:D6 D8:D1000">
    <cfRule type="colorScale" priority="4">
      <colorScale>
        <cfvo type="formula" val="18"/>
        <cfvo type="percentile" val="50"/>
        <cfvo type="percent" val="70"/>
        <color rgb="FFFFFFCC"/>
        <color rgb="FFFFEB84"/>
        <color rgb="FF63BE7B"/>
      </colorScale>
    </cfRule>
  </conditionalFormatting>
  <conditionalFormatting sqref="F4:S4">
    <cfRule type="colorScale" priority="2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F9:S1000">
    <cfRule type="colorScale" priority="5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T6:AH6 U5:AH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AH4">
    <cfRule type="colorScale" priority="3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conditionalFormatting sqref="U9:AH1000">
    <cfRule type="colorScale" priority="6">
      <colorScale>
        <cfvo type="min"/>
        <cfvo type="percentile" val="50"/>
        <cfvo type="max"/>
        <color rgb="FFADB9CA"/>
        <color theme="0"/>
        <color rgb="FFEA8684"/>
      </colorScale>
    </cfRule>
  </conditionalFormatting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000"/>
  <sheetViews>
    <sheetView workbookViewId="0">
      <pane ySplit="8" topLeftCell="A9" activePane="bottomLeft" state="frozen"/>
      <selection pane="bottomLeft" activeCell="B10" sqref="B10"/>
    </sheetView>
  </sheetViews>
  <sheetFormatPr baseColWidth="10" defaultColWidth="14.42578125" defaultRowHeight="15" customHeight="1" x14ac:dyDescent="0.25"/>
  <cols>
    <col min="1" max="1" width="3.85546875" customWidth="1"/>
    <col min="2" max="2" width="6.140625" customWidth="1"/>
    <col min="3" max="3" width="7.42578125" customWidth="1"/>
    <col min="4" max="4" width="5.85546875" customWidth="1"/>
    <col min="5" max="35" width="3.85546875" customWidth="1"/>
    <col min="36" max="36" width="5.42578125" customWidth="1"/>
  </cols>
  <sheetData>
    <row r="1" spans="1:36" ht="26.25" customHeight="1" x14ac:dyDescent="0.4">
      <c r="A1" s="1" t="s">
        <v>192</v>
      </c>
      <c r="B1" s="2"/>
      <c r="D1" s="59"/>
    </row>
    <row r="2" spans="1:36" ht="9" customHeight="1" x14ac:dyDescent="0.25">
      <c r="B2" s="2"/>
      <c r="C2" s="4"/>
      <c r="D2" s="2"/>
      <c r="E2" s="4"/>
      <c r="F2" s="5" t="s">
        <v>1</v>
      </c>
      <c r="G2" s="5" t="s">
        <v>2</v>
      </c>
      <c r="H2" s="5" t="s">
        <v>3</v>
      </c>
      <c r="I2" s="5" t="s">
        <v>4</v>
      </c>
      <c r="J2" s="5" t="s">
        <v>5</v>
      </c>
      <c r="K2" s="5" t="s">
        <v>6</v>
      </c>
      <c r="L2" s="5" t="s">
        <v>7</v>
      </c>
      <c r="M2" s="5" t="s">
        <v>8</v>
      </c>
      <c r="N2" s="5" t="s">
        <v>9</v>
      </c>
      <c r="O2" s="5" t="s">
        <v>10</v>
      </c>
      <c r="P2" s="5" t="s">
        <v>11</v>
      </c>
      <c r="Q2" s="5" t="s">
        <v>12</v>
      </c>
      <c r="R2" s="5" t="s">
        <v>13</v>
      </c>
      <c r="S2" s="5" t="s">
        <v>14</v>
      </c>
      <c r="T2" s="4"/>
      <c r="U2" s="5"/>
      <c r="V2" s="5"/>
      <c r="W2" s="12" t="s">
        <v>193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  <c r="AJ2" s="7"/>
    </row>
    <row r="3" spans="1:36" ht="9" customHeight="1" x14ac:dyDescent="0.25">
      <c r="B3" s="2"/>
      <c r="C3" s="4"/>
      <c r="D3" s="2"/>
      <c r="E3" s="4"/>
      <c r="F3" s="8" t="s">
        <v>15</v>
      </c>
      <c r="G3" s="8" t="s">
        <v>16</v>
      </c>
      <c r="H3" s="8" t="s">
        <v>17</v>
      </c>
      <c r="I3" s="8" t="s">
        <v>18</v>
      </c>
      <c r="J3" s="8" t="s">
        <v>19</v>
      </c>
      <c r="K3" s="8" t="s">
        <v>20</v>
      </c>
      <c r="L3" s="8" t="s">
        <v>21</v>
      </c>
      <c r="M3" s="8" t="s">
        <v>22</v>
      </c>
      <c r="N3" s="8" t="s">
        <v>23</v>
      </c>
      <c r="O3" s="8" t="s">
        <v>24</v>
      </c>
      <c r="P3" s="8" t="s">
        <v>25</v>
      </c>
      <c r="Q3" s="8" t="s">
        <v>26</v>
      </c>
      <c r="R3" s="8" t="s">
        <v>27</v>
      </c>
      <c r="S3" s="8" t="s">
        <v>28</v>
      </c>
      <c r="T3" s="4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10"/>
      <c r="AH3" s="10"/>
      <c r="AI3" s="6"/>
      <c r="AJ3" s="7"/>
    </row>
    <row r="4" spans="1:36" ht="9" customHeight="1" x14ac:dyDescent="0.25">
      <c r="B4" s="2"/>
      <c r="C4" s="4"/>
      <c r="D4" s="2"/>
      <c r="E4" s="11" t="s">
        <v>29</v>
      </c>
      <c r="F4" s="5">
        <v>1.0000000000000001E-5</v>
      </c>
      <c r="G4" s="5">
        <v>0.01</v>
      </c>
      <c r="H4" s="5">
        <v>0.02</v>
      </c>
      <c r="I4" s="5">
        <v>1</v>
      </c>
      <c r="J4" s="5">
        <v>0.04</v>
      </c>
      <c r="K4" s="5">
        <v>0.06</v>
      </c>
      <c r="L4" s="5">
        <v>0.6</v>
      </c>
      <c r="M4" s="5">
        <v>0.1</v>
      </c>
      <c r="N4" s="5">
        <v>0.02</v>
      </c>
      <c r="O4" s="5">
        <v>0.4</v>
      </c>
      <c r="P4" s="5">
        <v>3.1</v>
      </c>
      <c r="Q4" s="5">
        <v>0.1</v>
      </c>
      <c r="R4" s="5">
        <v>0.03</v>
      </c>
      <c r="S4" s="5">
        <v>5.3</v>
      </c>
      <c r="T4" s="4"/>
      <c r="U4" s="12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13"/>
      <c r="AJ4" s="7"/>
    </row>
    <row r="5" spans="1:36" ht="9" customHeight="1" x14ac:dyDescent="0.25">
      <c r="B5" s="2"/>
      <c r="C5" s="4"/>
      <c r="D5" s="2"/>
      <c r="E5" s="4" t="s">
        <v>30</v>
      </c>
      <c r="F5" s="4">
        <v>0.04</v>
      </c>
      <c r="G5" s="4">
        <v>1</v>
      </c>
      <c r="H5" s="4">
        <v>1</v>
      </c>
      <c r="I5" s="4">
        <v>2</v>
      </c>
      <c r="J5" s="4">
        <v>1</v>
      </c>
      <c r="K5" s="2">
        <v>0.4</v>
      </c>
      <c r="L5" s="4">
        <v>10</v>
      </c>
      <c r="M5" s="4">
        <v>2</v>
      </c>
      <c r="N5" s="4">
        <v>1</v>
      </c>
      <c r="O5" s="4">
        <v>50</v>
      </c>
      <c r="P5" s="5">
        <v>4</v>
      </c>
      <c r="Q5" s="4">
        <v>0.1</v>
      </c>
      <c r="R5" s="4">
        <v>0.06</v>
      </c>
      <c r="S5" s="4">
        <v>10</v>
      </c>
      <c r="T5" s="4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6"/>
      <c r="AJ5" s="7"/>
    </row>
    <row r="6" spans="1:36" ht="9" customHeight="1" x14ac:dyDescent="0.25">
      <c r="B6" s="14">
        <f>TTEST(B9:B26,B27:B70,2,2)</f>
        <v>8.767113912704933E-6</v>
      </c>
      <c r="C6" s="4"/>
      <c r="D6" s="2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15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6"/>
      <c r="AJ6" s="7"/>
    </row>
    <row r="7" spans="1:36" ht="9" customHeight="1" x14ac:dyDescent="0.25">
      <c r="B7" s="2"/>
      <c r="C7" s="4"/>
      <c r="D7" s="2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4"/>
      <c r="U7" s="63" t="s">
        <v>31</v>
      </c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5"/>
      <c r="AI7" s="6"/>
      <c r="AJ7" s="7"/>
    </row>
    <row r="8" spans="1:36" ht="9" customHeight="1" x14ac:dyDescent="0.25">
      <c r="B8" s="2" t="s">
        <v>32</v>
      </c>
      <c r="C8" s="4" t="s">
        <v>77</v>
      </c>
      <c r="D8" s="5" t="s">
        <v>34</v>
      </c>
      <c r="E8" s="4" t="s">
        <v>35</v>
      </c>
      <c r="F8" s="5" t="str">
        <f t="shared" ref="F8:S8" si="0">F2</f>
        <v>a</v>
      </c>
      <c r="G8" s="5" t="str">
        <f t="shared" si="0"/>
        <v>b</v>
      </c>
      <c r="H8" s="5" t="str">
        <f t="shared" si="0"/>
        <v>c</v>
      </c>
      <c r="I8" s="5" t="str">
        <f t="shared" si="0"/>
        <v>d</v>
      </c>
      <c r="J8" s="5" t="str">
        <f t="shared" si="0"/>
        <v>e</v>
      </c>
      <c r="K8" s="5" t="str">
        <f t="shared" si="0"/>
        <v>f</v>
      </c>
      <c r="L8" s="5" t="str">
        <f t="shared" si="0"/>
        <v>g</v>
      </c>
      <c r="M8" s="5" t="str">
        <f t="shared" si="0"/>
        <v>h</v>
      </c>
      <c r="N8" s="5" t="str">
        <f t="shared" si="0"/>
        <v>i</v>
      </c>
      <c r="O8" s="5" t="str">
        <f t="shared" si="0"/>
        <v>j</v>
      </c>
      <c r="P8" s="5" t="str">
        <f t="shared" si="0"/>
        <v>k</v>
      </c>
      <c r="Q8" s="5" t="str">
        <f t="shared" si="0"/>
        <v>l</v>
      </c>
      <c r="R8" s="5" t="str">
        <f t="shared" si="0"/>
        <v>m</v>
      </c>
      <c r="S8" s="5" t="str">
        <f t="shared" si="0"/>
        <v>n</v>
      </c>
      <c r="T8" s="4" t="s">
        <v>35</v>
      </c>
      <c r="U8" s="2" t="str">
        <f t="shared" ref="U8:AH8" si="1">F8</f>
        <v>a</v>
      </c>
      <c r="V8" s="2" t="str">
        <f t="shared" si="1"/>
        <v>b</v>
      </c>
      <c r="W8" s="2" t="str">
        <f t="shared" si="1"/>
        <v>c</v>
      </c>
      <c r="X8" s="2" t="str">
        <f t="shared" si="1"/>
        <v>d</v>
      </c>
      <c r="Y8" s="2" t="str">
        <f t="shared" si="1"/>
        <v>e</v>
      </c>
      <c r="Z8" s="2" t="str">
        <f t="shared" si="1"/>
        <v>f</v>
      </c>
      <c r="AA8" s="2" t="str">
        <f t="shared" si="1"/>
        <v>g</v>
      </c>
      <c r="AB8" s="2" t="str">
        <f t="shared" si="1"/>
        <v>h</v>
      </c>
      <c r="AC8" s="2" t="str">
        <f t="shared" si="1"/>
        <v>i</v>
      </c>
      <c r="AD8" s="2" t="str">
        <f t="shared" si="1"/>
        <v>j</v>
      </c>
      <c r="AE8" s="2" t="str">
        <f t="shared" si="1"/>
        <v>k</v>
      </c>
      <c r="AF8" s="2" t="str">
        <f t="shared" si="1"/>
        <v>l</v>
      </c>
      <c r="AG8" s="2" t="str">
        <f t="shared" si="1"/>
        <v>m</v>
      </c>
      <c r="AH8" s="2" t="str">
        <f t="shared" si="1"/>
        <v>n</v>
      </c>
      <c r="AI8" s="4" t="s">
        <v>35</v>
      </c>
      <c r="AJ8" s="16" t="s">
        <v>36</v>
      </c>
    </row>
    <row r="9" spans="1:36" ht="9" customHeight="1" x14ac:dyDescent="0.25">
      <c r="A9" s="17">
        <v>1</v>
      </c>
      <c r="B9" s="2">
        <f t="shared" ref="B9:B70" si="2">IF(OR(SUM(F9:S9)&lt;0.1,COUNTIF(U9:AH9,"")&gt;5,SUM(F9:S9)&gt;10000),"",0.028*IF(((SUM(U9:AH9)*LOG(QUARTILE(U9:AH9,4),2)))&lt;38,ABS(((SUM(U9:AH9)*LOG(QUARTILE(U9:AH9,4),2))*AVERAGE(AVERAGE(U9:AH9),MEDIAN(U9:AH9))/12*9^2/AJ9)),((SUM(U9:AH9)*LOG(QUARTILE(U9:AH9,4),2))*2.6+58)))</f>
        <v>5.7110905966432384</v>
      </c>
      <c r="C9" s="4">
        <v>1</v>
      </c>
      <c r="D9" s="5">
        <v>16.466993704409699</v>
      </c>
      <c r="E9" s="60" t="s">
        <v>194</v>
      </c>
      <c r="F9" s="5">
        <v>1.54E-2</v>
      </c>
      <c r="G9" s="5">
        <v>0.31040000000000001</v>
      </c>
      <c r="H9" s="5">
        <v>0.29389999999999999</v>
      </c>
      <c r="I9" s="5">
        <v>0.7873</v>
      </c>
      <c r="J9" s="5">
        <v>0.23669999999999999</v>
      </c>
      <c r="K9" s="5">
        <v>0.73939999999999995</v>
      </c>
      <c r="L9" s="5">
        <v>4.9749999999999996</v>
      </c>
      <c r="M9" s="5">
        <v>0.46899999999999997</v>
      </c>
      <c r="N9" s="5">
        <v>0.34689999999999999</v>
      </c>
      <c r="O9" s="5">
        <v>3.165</v>
      </c>
      <c r="P9" s="5">
        <v>2.4119999999999999</v>
      </c>
      <c r="Q9" s="5">
        <v>1.67E-2</v>
      </c>
      <c r="R9" s="5">
        <v>7.9299999999999995E-3</v>
      </c>
      <c r="S9" s="5">
        <v>1.829</v>
      </c>
      <c r="T9" s="18" t="str">
        <f t="shared" ref="T9:T70" si="3">E9</f>
        <v>NP038</v>
      </c>
      <c r="U9" s="2">
        <f t="shared" ref="U9:AH9" si="4">IF(OR(F9=0,F9&lt;0.00001,F9&gt;100000),"",IF((IF(F9&gt;F$5,ABS(LOG(((F$5/SUM($F9:$S9))/(F$4/SUM($F$4:$S$4)))*4+2,2)),ABS(LOG(((F9/SUM($F9:$S9))/(F$4/SUM($F$4:$S$4)))*4+2,2)))-3)&gt;15,(IF(F9&gt;F$5,ABS(LOG(((F$5/SUM($F9:$S9))/(F$4/SUM($F$4:$S$4)))*4+2,2)),ABS(LOG(((F9/SUM($F9:$S9))/(F$4/SUM($F$4:$S$4)))*4+2,2)))-3)/7,IF(F9&gt;F$5,ABS(LOG(((F$5/SUM($F9:$S9))/(F$4/SUM($F$4:$S$4)))*4+2,2)),ABS(LOG(((F9/SUM($F9:$S9))/(F$4/SUM($F$4:$S$4)))*4+2,2)))-3))</f>
        <v>9.055776887046914</v>
      </c>
      <c r="V9" s="2">
        <f t="shared" si="4"/>
        <v>3.4556948984278275</v>
      </c>
      <c r="W9" s="2">
        <f t="shared" si="4"/>
        <v>2.4130007260613588</v>
      </c>
      <c r="X9" s="2">
        <f t="shared" si="4"/>
        <v>-0.9380391907207235</v>
      </c>
      <c r="Y9" s="2">
        <f t="shared" si="4"/>
        <v>1.1978448721001413</v>
      </c>
      <c r="Z9" s="2">
        <f t="shared" si="4"/>
        <v>1.3520451916209408</v>
      </c>
      <c r="AA9" s="2">
        <f t="shared" si="4"/>
        <v>1.6387827342689842</v>
      </c>
      <c r="AB9" s="2">
        <f t="shared" si="4"/>
        <v>0.90301962365370425</v>
      </c>
      <c r="AC9" s="2">
        <f t="shared" si="4"/>
        <v>2.6418112592858618</v>
      </c>
      <c r="AD9" s="2">
        <f t="shared" si="4"/>
        <v>1.5767937548754576</v>
      </c>
      <c r="AE9" s="2">
        <f t="shared" si="4"/>
        <v>-0.94688379454833838</v>
      </c>
      <c r="AF9" s="2">
        <f t="shared" si="4"/>
        <v>-1.7004806672012347</v>
      </c>
      <c r="AG9" s="2">
        <f t="shared" si="4"/>
        <v>-1.5508727089011809</v>
      </c>
      <c r="AH9" s="2">
        <f t="shared" si="4"/>
        <v>-1.4375284667378656</v>
      </c>
      <c r="AI9" s="18" t="str">
        <f t="shared" ref="AI9:AI70" si="5">T9</f>
        <v>NP038</v>
      </c>
      <c r="AJ9" s="2">
        <f t="shared" ref="AJ9:AJ70" si="6">IF(D9&lt;27,1,IF(D9&lt;30,2+(D9-27)^1/10,8-((D9-30)*3000)^0.19))</f>
        <v>1</v>
      </c>
    </row>
    <row r="10" spans="1:36" ht="9" customHeight="1" x14ac:dyDescent="0.25">
      <c r="A10" s="17">
        <v>2</v>
      </c>
      <c r="B10" s="2">
        <f t="shared" si="2"/>
        <v>0.32526753469781922</v>
      </c>
      <c r="C10" s="4">
        <v>1</v>
      </c>
      <c r="D10" s="5">
        <v>17.311236284747501</v>
      </c>
      <c r="E10" s="60" t="s">
        <v>195</v>
      </c>
      <c r="F10" s="5">
        <v>2.99E-3</v>
      </c>
      <c r="G10" s="5">
        <v>6.1600000000000002E-2</v>
      </c>
      <c r="H10" s="5">
        <v>8.5699999999999998E-2</v>
      </c>
      <c r="I10" s="5">
        <v>0.59419999999999995</v>
      </c>
      <c r="J10" s="5">
        <v>1.15E-2</v>
      </c>
      <c r="K10" s="5">
        <v>3.1899999999999998E-2</v>
      </c>
      <c r="L10" s="5">
        <v>1.0229999999999999</v>
      </c>
      <c r="M10" s="5">
        <v>6.6199999999999995E-2</v>
      </c>
      <c r="N10" s="5">
        <v>1.41E-3</v>
      </c>
      <c r="O10" s="5">
        <v>0.97460000000000002</v>
      </c>
      <c r="P10" s="5">
        <v>2.3130000000000002</v>
      </c>
      <c r="Q10" s="5">
        <v>7.76E-4</v>
      </c>
      <c r="R10" s="5">
        <v>2.06E-2</v>
      </c>
      <c r="S10" s="5">
        <v>1.29</v>
      </c>
      <c r="T10" s="18" t="str">
        <f t="shared" si="3"/>
        <v>NP061</v>
      </c>
      <c r="U10" s="2">
        <f t="shared" ref="U10:AH10" si="7">IF(OR(F10=0,F10&lt;0.00001,F10&gt;100000),"",IF((IF(F10&gt;F$5,ABS(LOG(((F$5/SUM($F10:$S10))/(F$4/SUM($F$4:$S$4)))*4+2,2)),ABS(LOG(((F10/SUM($F10:$S10))/(F$4/SUM($F$4:$S$4)))*4+2,2)))-3)&gt;15,(IF(F10&gt;F$5,ABS(LOG(((F$5/SUM($F10:$S10))/(F$4/SUM($F$4:$S$4)))*4+2,2)),ABS(LOG(((F10/SUM($F10:$S10))/(F$4/SUM($F$4:$S$4)))*4+2,2)))-3)/7,IF(F10&gt;F$5,ABS(LOG(((F$5/SUM($F10:$S10))/(F$4/SUM($F$4:$S$4)))*4+2,2)),ABS(LOG(((F10/SUM($F10:$S10))/(F$4/SUM($F$4:$S$4)))*4+2,2)))-3))</f>
        <v>7.9603054321081306</v>
      </c>
      <c r="V10" s="2">
        <f t="shared" si="7"/>
        <v>2.4264871019399985</v>
      </c>
      <c r="W10" s="2">
        <f t="shared" si="7"/>
        <v>1.9319147823691969</v>
      </c>
      <c r="X10" s="2">
        <f t="shared" si="7"/>
        <v>-0.42576721220985814</v>
      </c>
      <c r="Y10" s="2">
        <f t="shared" si="7"/>
        <v>-1.0314061823889313</v>
      </c>
      <c r="Z10" s="2">
        <f t="shared" si="7"/>
        <v>-0.5303060907503121</v>
      </c>
      <c r="AA10" s="2">
        <f t="shared" si="7"/>
        <v>0.73877310210676006</v>
      </c>
      <c r="AB10" s="2">
        <f t="shared" si="7"/>
        <v>-0.32037778581645515</v>
      </c>
      <c r="AC10" s="2">
        <f t="shared" si="7"/>
        <v>-1.6958903606463949</v>
      </c>
      <c r="AD10" s="2">
        <f t="shared" si="7"/>
        <v>1.1874182529545783</v>
      </c>
      <c r="AE10" s="2">
        <f t="shared" si="7"/>
        <v>-0.19947872720096482</v>
      </c>
      <c r="AF10" s="2">
        <f t="shared" si="7"/>
        <v>-1.9632099493935902</v>
      </c>
      <c r="AG10" s="2">
        <f t="shared" si="7"/>
        <v>-0.28386837034822054</v>
      </c>
      <c r="AH10" s="2">
        <f t="shared" si="7"/>
        <v>-1.1439030111950961</v>
      </c>
      <c r="AI10" s="18" t="str">
        <f t="shared" si="5"/>
        <v>NP061</v>
      </c>
      <c r="AJ10" s="2">
        <f t="shared" si="6"/>
        <v>1</v>
      </c>
    </row>
    <row r="11" spans="1:36" ht="9" customHeight="1" x14ac:dyDescent="0.25">
      <c r="A11" s="17">
        <v>3</v>
      </c>
      <c r="B11" s="2">
        <f t="shared" si="2"/>
        <v>0.52867555137963274</v>
      </c>
      <c r="C11" s="4">
        <v>1</v>
      </c>
      <c r="D11" s="5">
        <v>17.194408080407001</v>
      </c>
      <c r="E11" s="60" t="s">
        <v>196</v>
      </c>
      <c r="F11" s="5">
        <v>3.47E-3</v>
      </c>
      <c r="G11" s="5">
        <v>7.79E-3</v>
      </c>
      <c r="H11" s="5">
        <v>5.7000000000000002E-2</v>
      </c>
      <c r="I11" s="5">
        <v>0.43240000000000001</v>
      </c>
      <c r="J11" s="5">
        <v>0.47139999999999999</v>
      </c>
      <c r="K11" s="5">
        <v>1.8599999999999998E-2</v>
      </c>
      <c r="L11" s="5">
        <v>0.15260000000000001</v>
      </c>
      <c r="M11" s="5">
        <v>1.78E-2</v>
      </c>
      <c r="N11" s="5">
        <v>6.2399999999999997E-2</v>
      </c>
      <c r="O11" s="5">
        <v>2.1579999999999999</v>
      </c>
      <c r="P11" s="5">
        <v>0.64559999999999995</v>
      </c>
      <c r="Q11" s="5">
        <v>1.7099999999999999E-3</v>
      </c>
      <c r="R11" s="5">
        <v>2.9899999999999999E-2</v>
      </c>
      <c r="S11" s="5">
        <v>2.3639999999999999</v>
      </c>
      <c r="T11" s="18" t="str">
        <f t="shared" si="3"/>
        <v>NP071</v>
      </c>
      <c r="U11" s="2">
        <f t="shared" ref="U11:AH11" si="8">IF(OR(F11=0,F11&lt;0.00001,F11&gt;100000),"",IF((IF(F11&gt;F$5,ABS(LOG(((F$5/SUM($F11:$S11))/(F$4/SUM($F$4:$S$4)))*4+2,2)),ABS(LOG(((F11/SUM($F11:$S11))/(F$4/SUM($F$4:$S$4)))*4+2,2)))-3)&gt;15,(IF(F11&gt;F$5,ABS(LOG(((F$5/SUM($F11:$S11))/(F$4/SUM($F$4:$S$4)))*4+2,2)),ABS(LOG(((F11/SUM($F11:$S11))/(F$4/SUM($F$4:$S$4)))*4+2,2)))-3)/7,IF(F11&gt;F$5,ABS(LOG(((F$5/SUM($F11:$S11))/(F$4/SUM($F$4:$S$4)))*4+2,2)),ABS(LOG(((F11/SUM($F11:$S11))/(F$4/SUM($F$4:$S$4)))*4+2,2)))-3))</f>
        <v>8.1871433047793243</v>
      </c>
      <c r="V11" s="2">
        <f t="shared" si="8"/>
        <v>-0.1460059975922503</v>
      </c>
      <c r="W11" s="2">
        <f t="shared" si="8"/>
        <v>1.4015018759709958</v>
      </c>
      <c r="X11" s="2">
        <f t="shared" si="8"/>
        <v>-0.70633091877574206</v>
      </c>
      <c r="Y11" s="2">
        <f t="shared" si="8"/>
        <v>3.3420079576174624</v>
      </c>
      <c r="Z11" s="2">
        <f t="shared" si="8"/>
        <v>-0.97098723673490861</v>
      </c>
      <c r="AA11" s="2">
        <f t="shared" si="8"/>
        <v>-1.1095439478058733</v>
      </c>
      <c r="AB11" s="2">
        <f t="shared" si="8"/>
        <v>-1.3241646316522702</v>
      </c>
      <c r="AC11" s="2">
        <f t="shared" si="8"/>
        <v>1.5202224531244672</v>
      </c>
      <c r="AD11" s="2">
        <f t="shared" si="8"/>
        <v>2.2562764925183663</v>
      </c>
      <c r="AE11" s="2">
        <f t="shared" si="8"/>
        <v>-1.2352345978754196</v>
      </c>
      <c r="AF11" s="2">
        <f t="shared" si="8"/>
        <v>-1.9194755638500898</v>
      </c>
      <c r="AG11" s="2">
        <f t="shared" si="8"/>
        <v>0.11957960216292429</v>
      </c>
      <c r="AH11" s="2">
        <f t="shared" si="8"/>
        <v>-0.67963816915956654</v>
      </c>
      <c r="AI11" s="18" t="str">
        <f t="shared" si="5"/>
        <v>NP071</v>
      </c>
      <c r="AJ11" s="2">
        <f t="shared" si="6"/>
        <v>1</v>
      </c>
    </row>
    <row r="12" spans="1:36" ht="9" customHeight="1" x14ac:dyDescent="0.25">
      <c r="A12" s="17">
        <v>4</v>
      </c>
      <c r="B12" s="2">
        <f t="shared" si="2"/>
        <v>3.0672003303516315</v>
      </c>
      <c r="C12" s="4">
        <v>1</v>
      </c>
      <c r="D12" s="5">
        <v>16.7995750593069</v>
      </c>
      <c r="E12" s="60" t="s">
        <v>197</v>
      </c>
      <c r="F12" s="5">
        <v>9.3100000000000006E-3</v>
      </c>
      <c r="G12" s="5">
        <v>5.3199999999999997E-2</v>
      </c>
      <c r="H12" s="5">
        <v>8.7999999999999995E-2</v>
      </c>
      <c r="I12" s="5">
        <v>0.65959999999999996</v>
      </c>
      <c r="J12" s="5">
        <v>0.1176</v>
      </c>
      <c r="K12" s="5">
        <v>5.7700000000000001E-2</v>
      </c>
      <c r="L12" s="5">
        <v>1.242</v>
      </c>
      <c r="M12" s="5">
        <v>5.4800000000000001E-2</v>
      </c>
      <c r="N12" s="5">
        <v>5.62E-2</v>
      </c>
      <c r="O12" s="5">
        <v>3.09</v>
      </c>
      <c r="P12" s="5">
        <v>1.984</v>
      </c>
      <c r="Q12" s="5">
        <v>4.7099999999999998E-3</v>
      </c>
      <c r="R12" s="5">
        <v>2.1899999999999999E-2</v>
      </c>
      <c r="S12" s="5">
        <v>1.7290000000000001</v>
      </c>
      <c r="T12" s="18" t="str">
        <f t="shared" si="3"/>
        <v>NP084</v>
      </c>
      <c r="U12" s="2">
        <f t="shared" ref="U12:AH12" si="9">IF(OR(F12=0,F12&lt;0.00001,F12&gt;100000),"",IF((IF(F12&gt;F$5,ABS(LOG(((F$5/SUM($F12:$S12))/(F$4/SUM($F$4:$S$4)))*4+2,2)),ABS(LOG(((F12/SUM($F12:$S12))/(F$4/SUM($F$4:$S$4)))*4+2,2)))-3)&gt;15,(IF(F12&gt;F$5,ABS(LOG(((F$5/SUM($F12:$S12))/(F$4/SUM($F$4:$S$4)))*4+2,2)),ABS(LOG(((F12/SUM($F12:$S12))/(F$4/SUM($F$4:$S$4)))*4+2,2)))-3)/7,IF(F12&gt;F$5,ABS(LOG(((F$5/SUM($F12:$S12))/(F$4/SUM($F$4:$S$4)))*4+2,2)),ABS(LOG(((F12/SUM($F12:$S12))/(F$4/SUM($F$4:$S$4)))*4+2,2)))-3))</f>
        <v>9.0969725752318364</v>
      </c>
      <c r="V12" s="2">
        <f t="shared" si="9"/>
        <v>1.7560416834423158</v>
      </c>
      <c r="W12" s="2">
        <f t="shared" si="9"/>
        <v>1.5042748624180904</v>
      </c>
      <c r="X12" s="2">
        <f t="shared" si="9"/>
        <v>-0.64885134907929309</v>
      </c>
      <c r="Y12" s="2">
        <f t="shared" si="9"/>
        <v>0.98438257840035304</v>
      </c>
      <c r="Z12" s="2">
        <f t="shared" si="9"/>
        <v>-0.29446073662071726</v>
      </c>
      <c r="AA12" s="2">
        <f t="shared" si="9"/>
        <v>0.55285063646376109</v>
      </c>
      <c r="AB12" s="2">
        <f t="shared" si="9"/>
        <v>-0.80546725950952736</v>
      </c>
      <c r="AC12" s="2">
        <f t="shared" si="9"/>
        <v>0.92754579026607109</v>
      </c>
      <c r="AD12" s="2">
        <f t="shared" si="9"/>
        <v>2.2605176254562638</v>
      </c>
      <c r="AE12" s="2">
        <f t="shared" si="9"/>
        <v>-0.67515530509233246</v>
      </c>
      <c r="AF12" s="2">
        <f t="shared" si="9"/>
        <v>-1.8484490385112609</v>
      </c>
      <c r="AG12" s="2">
        <f t="shared" si="9"/>
        <v>-0.55814041477185095</v>
      </c>
      <c r="AH12" s="2">
        <f t="shared" si="9"/>
        <v>-1.1785575531271766</v>
      </c>
      <c r="AI12" s="18" t="str">
        <f t="shared" si="5"/>
        <v>NP084</v>
      </c>
      <c r="AJ12" s="2">
        <f t="shared" si="6"/>
        <v>1</v>
      </c>
    </row>
    <row r="13" spans="1:36" ht="9" customHeight="1" x14ac:dyDescent="0.25">
      <c r="A13" s="17">
        <v>5</v>
      </c>
      <c r="B13" s="2">
        <f t="shared" si="2"/>
        <v>0.90633566433162704</v>
      </c>
      <c r="C13" s="4">
        <v>1</v>
      </c>
      <c r="D13" s="5">
        <v>16.357800053032399</v>
      </c>
      <c r="E13" s="60" t="s">
        <v>198</v>
      </c>
      <c r="F13" s="5">
        <v>7.4700000000000001E-3</v>
      </c>
      <c r="G13" s="5">
        <v>0.11260000000000001</v>
      </c>
      <c r="H13" s="5">
        <v>0.1118</v>
      </c>
      <c r="I13" s="5">
        <v>0.56489999999999996</v>
      </c>
      <c r="J13" s="5">
        <v>4.02E-2</v>
      </c>
      <c r="K13" s="5">
        <v>6.5000000000000002E-2</v>
      </c>
      <c r="L13" s="5">
        <v>1.6180000000000001</v>
      </c>
      <c r="M13" s="5">
        <v>0.13439999999999999</v>
      </c>
      <c r="N13" s="5">
        <v>6.54E-2</v>
      </c>
      <c r="O13" s="5">
        <v>5.4009999999999998</v>
      </c>
      <c r="P13" s="5">
        <v>2.2109999999999999</v>
      </c>
      <c r="Q13" s="5">
        <v>0.19500000000000001</v>
      </c>
      <c r="R13" s="5">
        <v>2.1999999999999999E-2</v>
      </c>
      <c r="S13" s="5">
        <v>2.1680000000000001</v>
      </c>
      <c r="T13" s="18" t="str">
        <f t="shared" si="3"/>
        <v>NP096</v>
      </c>
      <c r="U13" s="2">
        <f t="shared" ref="U13:AH13" si="10">IF(OR(F13=0,F13&lt;0.00001,F13&gt;100000),"",IF((IF(F13&gt;F$5,ABS(LOG(((F$5/SUM($F13:$S13))/(F$4/SUM($F$4:$S$4)))*4+2,2)),ABS(LOG(((F13/SUM($F13:$S13))/(F$4/SUM($F$4:$S$4)))*4+2,2)))-3)&gt;15,(IF(F13&gt;F$5,ABS(LOG(((F$5/SUM($F13:$S13))/(F$4/SUM($F$4:$S$4)))*4+2,2)),ABS(LOG(((F13/SUM($F13:$S13))/(F$4/SUM($F$4:$S$4)))*4+2,2)))-3)/7,IF(F13&gt;F$5,ABS(LOG(((F$5/SUM($F13:$S13))/(F$4/SUM($F$4:$S$4)))*4+2,2)),ABS(LOG(((F13/SUM($F13:$S13))/(F$4/SUM($F$4:$S$4)))*4+2,2)))-3))</f>
        <v>8.3077293720988479</v>
      </c>
      <c r="V13" s="2">
        <f t="shared" si="10"/>
        <v>2.3284208261560666</v>
      </c>
      <c r="W13" s="2">
        <f t="shared" si="10"/>
        <v>1.3891936422371272</v>
      </c>
      <c r="X13" s="2">
        <f t="shared" si="10"/>
        <v>-1.0308168479435054</v>
      </c>
      <c r="Y13" s="2">
        <f t="shared" si="10"/>
        <v>-0.56497013209663427</v>
      </c>
      <c r="Z13" s="2">
        <f t="shared" si="10"/>
        <v>-0.49579453960516462</v>
      </c>
      <c r="AA13" s="2">
        <f t="shared" si="10"/>
        <v>0.47817723533064571</v>
      </c>
      <c r="AB13" s="2">
        <f t="shared" si="10"/>
        <v>-0.28691197785544631</v>
      </c>
      <c r="AC13" s="2">
        <f t="shared" si="10"/>
        <v>0.7101639504674635</v>
      </c>
      <c r="AD13" s="2">
        <f t="shared" si="10"/>
        <v>2.5784646069632204</v>
      </c>
      <c r="AE13" s="2">
        <f t="shared" si="10"/>
        <v>-0.85647368908659116</v>
      </c>
      <c r="AF13" s="2">
        <f t="shared" si="10"/>
        <v>-0.56950027108416235</v>
      </c>
      <c r="AG13" s="2">
        <f t="shared" si="10"/>
        <v>-0.83438141829006396</v>
      </c>
      <c r="AH13" s="2">
        <f t="shared" si="10"/>
        <v>-1.239979381281014</v>
      </c>
      <c r="AI13" s="18" t="str">
        <f t="shared" si="5"/>
        <v>NP096</v>
      </c>
      <c r="AJ13" s="2">
        <f t="shared" si="6"/>
        <v>1</v>
      </c>
    </row>
    <row r="14" spans="1:36" ht="9" customHeight="1" x14ac:dyDescent="0.25">
      <c r="A14" s="17">
        <v>6</v>
      </c>
      <c r="B14" s="2">
        <f t="shared" si="2"/>
        <v>1.8820601463317568</v>
      </c>
      <c r="C14" s="4">
        <v>1</v>
      </c>
      <c r="D14" s="5">
        <v>16.217010229190901</v>
      </c>
      <c r="E14" s="60" t="s">
        <v>199</v>
      </c>
      <c r="F14" s="5">
        <v>7.0499999999999998E-3</v>
      </c>
      <c r="G14" s="5">
        <v>0.16839999999999999</v>
      </c>
      <c r="H14" s="5">
        <v>0.11749999999999999</v>
      </c>
      <c r="I14" s="5">
        <v>0.81189999999999996</v>
      </c>
      <c r="J14" s="5">
        <v>1.6799999999999999E-2</v>
      </c>
      <c r="K14" s="5">
        <v>6.7000000000000004E-2</v>
      </c>
      <c r="L14" s="5">
        <v>2.355</v>
      </c>
      <c r="M14" s="5">
        <v>0.157</v>
      </c>
      <c r="N14" s="5">
        <v>2.4E-2</v>
      </c>
      <c r="O14" s="5">
        <v>1.1259999999999999</v>
      </c>
      <c r="P14" s="5">
        <v>2.6389999999999998</v>
      </c>
      <c r="Q14" s="5">
        <v>0.18640000000000001</v>
      </c>
      <c r="R14" s="5">
        <v>1.7899999999999999E-2</v>
      </c>
      <c r="S14" s="5">
        <v>2.37</v>
      </c>
      <c r="T14" s="18" t="str">
        <f t="shared" si="3"/>
        <v>NP097</v>
      </c>
      <c r="U14" s="2">
        <f t="shared" ref="U14:AH14" si="11">IF(OR(F14=0,F14&lt;0.00001,F14&gt;100000),"",IF((IF(F14&gt;F$5,ABS(LOG(((F$5/SUM($F14:$S14))/(F$4/SUM($F$4:$S$4)))*4+2,2)),ABS(LOG(((F14/SUM($F14:$S14))/(F$4/SUM($F$4:$S$4)))*4+2,2)))-3)&gt;15,(IF(F14&gt;F$5,ABS(LOG(((F$5/SUM($F14:$S14))/(F$4/SUM($F$4:$S$4)))*4+2,2)),ABS(LOG(((F14/SUM($F14:$S14))/(F$4/SUM($F$4:$S$4)))*4+2,2)))-3)/7,IF(F14&gt;F$5,ABS(LOG(((F$5/SUM($F14:$S14))/(F$4/SUM($F$4:$S$4)))*4+2,2)),ABS(LOG(((F14/SUM($F14:$S14))/(F$4/SUM($F$4:$S$4)))*4+2,2)))-3))</f>
        <v>8.5615962107983403</v>
      </c>
      <c r="V14" s="2">
        <f t="shared" si="11"/>
        <v>3.2124279152690063</v>
      </c>
      <c r="W14" s="2">
        <f t="shared" si="11"/>
        <v>1.7640514160897061</v>
      </c>
      <c r="X14" s="2">
        <f t="shared" si="11"/>
        <v>-0.54617430476147888</v>
      </c>
      <c r="Y14" s="2">
        <f t="shared" si="11"/>
        <v>-1.0741776405157804</v>
      </c>
      <c r="Z14" s="2">
        <f t="shared" si="11"/>
        <v>-0.237762942920964</v>
      </c>
      <c r="AA14" s="2">
        <f t="shared" si="11"/>
        <v>1.2339701397908671</v>
      </c>
      <c r="AB14" s="2">
        <f t="shared" si="11"/>
        <v>0.12545739818333734</v>
      </c>
      <c r="AC14" s="2">
        <f t="shared" si="11"/>
        <v>-0.16376787066077902</v>
      </c>
      <c r="AD14" s="2">
        <f t="shared" si="11"/>
        <v>0.81364372631578696</v>
      </c>
      <c r="AE14" s="2">
        <f t="shared" si="11"/>
        <v>-0.5024024802887217</v>
      </c>
      <c r="AF14" s="2">
        <f t="shared" si="11"/>
        <v>-0.34817816804771295</v>
      </c>
      <c r="AG14" s="2">
        <f t="shared" si="11"/>
        <v>-0.81208015055933247</v>
      </c>
      <c r="AH14" s="2">
        <f t="shared" si="11"/>
        <v>-1.0306392975948797</v>
      </c>
      <c r="AI14" s="18" t="str">
        <f t="shared" si="5"/>
        <v>NP097</v>
      </c>
      <c r="AJ14" s="2">
        <f t="shared" si="6"/>
        <v>1</v>
      </c>
    </row>
    <row r="15" spans="1:36" ht="9" customHeight="1" x14ac:dyDescent="0.25">
      <c r="A15" s="17">
        <v>7</v>
      </c>
      <c r="B15" s="2">
        <f t="shared" si="2"/>
        <v>0.95184200572543887</v>
      </c>
      <c r="C15" s="4">
        <v>1</v>
      </c>
      <c r="D15" s="5">
        <v>16.088330037915998</v>
      </c>
      <c r="E15" s="60" t="s">
        <v>200</v>
      </c>
      <c r="F15" s="5">
        <v>6.1199999999999996E-3</v>
      </c>
      <c r="G15" s="5">
        <v>4.41E-2</v>
      </c>
      <c r="H15" s="5">
        <v>6.6400000000000001E-2</v>
      </c>
      <c r="I15" s="5">
        <v>0.66059999999999997</v>
      </c>
      <c r="J15" s="5">
        <v>3.4799999999999998E-2</v>
      </c>
      <c r="K15" s="5">
        <v>2.6100000000000002E-2</v>
      </c>
      <c r="L15" s="5">
        <v>0.63719999999999999</v>
      </c>
      <c r="M15" s="5">
        <v>3.3599999999999998E-2</v>
      </c>
      <c r="N15" s="5">
        <v>6.6499999999999997E-3</v>
      </c>
      <c r="O15" s="5">
        <v>0.53639999999999999</v>
      </c>
      <c r="P15" s="5">
        <v>2.0680000000000001</v>
      </c>
      <c r="Q15" s="5">
        <v>9.5099999999999994E-3</v>
      </c>
      <c r="R15" s="5">
        <v>2.69E-2</v>
      </c>
      <c r="S15" s="5">
        <v>2.2080000000000002</v>
      </c>
      <c r="T15" s="18" t="str">
        <f t="shared" si="3"/>
        <v>NP112</v>
      </c>
      <c r="U15" s="2">
        <f t="shared" ref="U15:AH15" si="12">IF(OR(F15=0,F15&lt;0.00001,F15&gt;100000),"",IF((IF(F15&gt;F$5,ABS(LOG(((F$5/SUM($F15:$S15))/(F$4/SUM($F$4:$S$4)))*4+2,2)),ABS(LOG(((F15/SUM($F15:$S15))/(F$4/SUM($F$4:$S$4)))*4+2,2)))-3)&gt;15,(IF(F15&gt;F$5,ABS(LOG(((F$5/SUM($F15:$S15))/(F$4/SUM($F$4:$S$4)))*4+2,2)),ABS(LOG(((F15/SUM($F15:$S15))/(F$4/SUM($F$4:$S$4)))*4+2,2)))-3)/7,IF(F15&gt;F$5,ABS(LOG(((F$5/SUM($F15:$S15))/(F$4/SUM($F$4:$S$4)))*4+2,2)),ABS(LOG(((F15/SUM($F15:$S15))/(F$4/SUM($F$4:$S$4)))*4+2,2)))-3))</f>
        <v>9.0183501816457046</v>
      </c>
      <c r="V15" s="2">
        <f t="shared" si="12"/>
        <v>1.9945207200824582</v>
      </c>
      <c r="W15" s="2">
        <f t="shared" si="12"/>
        <v>1.61433954320057</v>
      </c>
      <c r="X15" s="2">
        <f t="shared" si="12"/>
        <v>-0.3049623483502506</v>
      </c>
      <c r="Y15" s="2">
        <f t="shared" si="12"/>
        <v>-1.9163679398103373E-2</v>
      </c>
      <c r="Z15" s="2">
        <f t="shared" si="12"/>
        <v>-0.69338243004221978</v>
      </c>
      <c r="AA15" s="2">
        <f t="shared" si="12"/>
        <v>0.20089316954223824</v>
      </c>
      <c r="AB15" s="2">
        <f t="shared" si="12"/>
        <v>-0.90357887559632344</v>
      </c>
      <c r="AC15" s="2">
        <f t="shared" si="12"/>
        <v>-0.91160095354508908</v>
      </c>
      <c r="AD15" s="2">
        <f t="shared" si="12"/>
        <v>0.47061009985375435</v>
      </c>
      <c r="AE15" s="2">
        <f t="shared" si="12"/>
        <v>-0.29518915818296154</v>
      </c>
      <c r="AF15" s="2">
        <f t="shared" si="12"/>
        <v>-1.5971016417588837</v>
      </c>
      <c r="AG15" s="2">
        <f t="shared" si="12"/>
        <v>1.3481742693158161E-2</v>
      </c>
      <c r="AH15" s="2">
        <f t="shared" si="12"/>
        <v>-0.7301948441984778</v>
      </c>
      <c r="AI15" s="18" t="str">
        <f t="shared" si="5"/>
        <v>NP112</v>
      </c>
      <c r="AJ15" s="2">
        <f t="shared" si="6"/>
        <v>1</v>
      </c>
    </row>
    <row r="16" spans="1:36" ht="9" customHeight="1" x14ac:dyDescent="0.25">
      <c r="A16" s="17">
        <v>8</v>
      </c>
      <c r="B16" s="2">
        <f t="shared" si="2"/>
        <v>0.51448261846576493</v>
      </c>
      <c r="C16" s="4">
        <v>1</v>
      </c>
      <c r="D16" s="5">
        <v>16.854958269270899</v>
      </c>
      <c r="E16" s="60" t="s">
        <v>201</v>
      </c>
      <c r="F16" s="5">
        <v>2.7699999999999999E-3</v>
      </c>
      <c r="G16" s="5">
        <v>9.2100000000000001E-2</v>
      </c>
      <c r="H16" s="5">
        <v>6.93E-2</v>
      </c>
      <c r="I16" s="5">
        <v>1.1879999999999999</v>
      </c>
      <c r="J16" s="5">
        <v>1.7000000000000001E-2</v>
      </c>
      <c r="K16" s="5">
        <v>5.2999999999999999E-2</v>
      </c>
      <c r="L16" s="5">
        <v>1.355</v>
      </c>
      <c r="M16" s="5">
        <v>0.14349999999999999</v>
      </c>
      <c r="N16" s="5">
        <v>1.17E-2</v>
      </c>
      <c r="O16" s="5">
        <v>0.188</v>
      </c>
      <c r="P16" s="5">
        <v>3.0539999999999998</v>
      </c>
      <c r="Q16" s="5">
        <v>3.13E-3</v>
      </c>
      <c r="R16" s="5">
        <v>2.1700000000000001E-2</v>
      </c>
      <c r="S16" s="5">
        <v>1.8380000000000001</v>
      </c>
      <c r="T16" s="18" t="str">
        <f t="shared" si="3"/>
        <v>NP117</v>
      </c>
      <c r="U16" s="2">
        <f t="shared" ref="U16:AH16" si="13">IF(OR(F16=0,F16&lt;0.00001,F16&gt;100000),"",IF((IF(F16&gt;F$5,ABS(LOG(((F$5/SUM($F16:$S16))/(F$4/SUM($F$4:$S$4)))*4+2,2)),ABS(LOG(((F16/SUM($F16:$S16))/(F$4/SUM($F$4:$S$4)))*4+2,2)))-3)&gt;15,(IF(F16&gt;F$5,ABS(LOG(((F$5/SUM($F16:$S16))/(F$4/SUM($F$4:$S$4)))*4+2,2)),ABS(LOG(((F16/SUM($F16:$S16))/(F$4/SUM($F$4:$S$4)))*4+2,2)))-3)/7,IF(F16&gt;F$5,ABS(LOG(((F$5/SUM($F16:$S16))/(F$4/SUM($F$4:$S$4)))*4+2,2)),ABS(LOG(((F16/SUM($F16:$S16))/(F$4/SUM($F$4:$S$4)))*4+2,2)))-3))</f>
        <v>7.5392760473345231</v>
      </c>
      <c r="V16" s="2">
        <f t="shared" si="13"/>
        <v>2.6840382656140438</v>
      </c>
      <c r="W16" s="2">
        <f t="shared" si="13"/>
        <v>1.3638666121407264</v>
      </c>
      <c r="X16" s="2">
        <f t="shared" si="13"/>
        <v>6.5863214754971366E-2</v>
      </c>
      <c r="Y16" s="2">
        <f t="shared" si="13"/>
        <v>-0.90233883459488684</v>
      </c>
      <c r="Z16" s="2">
        <f t="shared" si="13"/>
        <v>-0.24743676406154158</v>
      </c>
      <c r="AA16" s="2">
        <f t="shared" si="13"/>
        <v>0.81926843910918068</v>
      </c>
      <c r="AB16" s="2">
        <f t="shared" si="13"/>
        <v>0.27781480978072493</v>
      </c>
      <c r="AC16" s="2">
        <f t="shared" si="13"/>
        <v>-0.63863626173758803</v>
      </c>
      <c r="AD16" s="2">
        <f t="shared" si="13"/>
        <v>-0.82317396240060159</v>
      </c>
      <c r="AE16" s="2">
        <f t="shared" si="13"/>
        <v>-0.13498251760569691</v>
      </c>
      <c r="AF16" s="2">
        <f t="shared" si="13"/>
        <v>-1.8836842883144358</v>
      </c>
      <c r="AG16" s="2">
        <f t="shared" si="13"/>
        <v>-0.44400599405520857</v>
      </c>
      <c r="AH16" s="2">
        <f t="shared" si="13"/>
        <v>-1.0511893251552888</v>
      </c>
      <c r="AI16" s="18" t="str">
        <f t="shared" si="5"/>
        <v>NP117</v>
      </c>
      <c r="AJ16" s="2">
        <f t="shared" si="6"/>
        <v>1</v>
      </c>
    </row>
    <row r="17" spans="1:36" ht="9" customHeight="1" x14ac:dyDescent="0.25">
      <c r="A17" s="17">
        <v>9</v>
      </c>
      <c r="B17" s="2">
        <f t="shared" si="2"/>
        <v>8.0986126140442399E-2</v>
      </c>
      <c r="C17" s="4">
        <v>1</v>
      </c>
      <c r="D17" s="5">
        <v>19.160419125167198</v>
      </c>
      <c r="E17" s="60" t="s">
        <v>202</v>
      </c>
      <c r="F17" s="5">
        <v>5.11E-3</v>
      </c>
      <c r="G17" s="5">
        <v>5.4799999999999996E-3</v>
      </c>
      <c r="H17" s="5">
        <v>1.84E-2</v>
      </c>
      <c r="I17" s="5">
        <v>0.18729999999999999</v>
      </c>
      <c r="J17" s="5">
        <v>7.5399999999999995E-2</v>
      </c>
      <c r="K17" s="5">
        <v>2.9199999999999999E-3</v>
      </c>
      <c r="L17" s="5">
        <v>3.6299999999999999E-2</v>
      </c>
      <c r="M17" s="5">
        <v>9.5200000000000005E-4</v>
      </c>
      <c r="N17" s="5">
        <v>1.17E-2</v>
      </c>
      <c r="O17" s="5">
        <v>0.1159</v>
      </c>
      <c r="P17" s="5">
        <v>1.1399999999999999</v>
      </c>
      <c r="Q17" s="5">
        <v>1.31E-3</v>
      </c>
      <c r="R17" s="5">
        <v>2.47E-2</v>
      </c>
      <c r="S17" s="5">
        <v>2.0880000000000001</v>
      </c>
      <c r="T17" s="18" t="str">
        <f t="shared" si="3"/>
        <v>NP119</v>
      </c>
      <c r="U17" s="2">
        <f t="shared" ref="U17:AH17" si="14">IF(OR(F17=0,F17&lt;0.00001,F17&gt;100000),"",IF((IF(F17&gt;F$5,ABS(LOG(((F$5/SUM($F17:$S17))/(F$4/SUM($F$4:$S$4)))*4+2,2)),ABS(LOG(((F17/SUM($F17:$S17))/(F$4/SUM($F$4:$S$4)))*4+2,2)))-3)&gt;15,(IF(F17&gt;F$5,ABS(LOG(((F$5/SUM($F17:$S17))/(F$4/SUM($F$4:$S$4)))*4+2,2)),ABS(LOG(((F17/SUM($F17:$S17))/(F$4/SUM($F$4:$S$4)))*4+2,2)))-3)/7,IF(F17&gt;F$5,ABS(LOG(((F$5/SUM($F17:$S17))/(F$4/SUM($F$4:$S$4)))*4+2,2)),ABS(LOG(((F17/SUM($F17:$S17))/(F$4/SUM($F$4:$S$4)))*4+2,2)))-3))</f>
        <v>9.53518358803281</v>
      </c>
      <c r="V17" s="2">
        <f t="shared" si="14"/>
        <v>6.4065139736598553E-2</v>
      </c>
      <c r="W17" s="2">
        <f t="shared" si="14"/>
        <v>0.66480622490588681</v>
      </c>
      <c r="X17" s="2">
        <f t="shared" si="14"/>
        <v>-0.93826270981591486</v>
      </c>
      <c r="Y17" s="2">
        <f t="shared" si="14"/>
        <v>1.5782271805247206</v>
      </c>
      <c r="Z17" s="2">
        <f t="shared" si="14"/>
        <v>-1.6409810546430017</v>
      </c>
      <c r="AA17" s="2">
        <f t="shared" si="14"/>
        <v>-1.5656984328485257</v>
      </c>
      <c r="AB17" s="2">
        <f t="shared" si="14"/>
        <v>-1.922384958758985</v>
      </c>
      <c r="AC17" s="2">
        <f t="shared" si="14"/>
        <v>0.13633815341955691</v>
      </c>
      <c r="AD17" s="2">
        <f t="shared" si="14"/>
        <v>-0.57655230313485895</v>
      </c>
      <c r="AE17" s="2">
        <f t="shared" si="14"/>
        <v>-0.35150224232720495</v>
      </c>
      <c r="AF17" s="2">
        <f t="shared" si="14"/>
        <v>-1.8942452381269603</v>
      </c>
      <c r="AG17" s="2">
        <f t="shared" si="14"/>
        <v>0.53111566693619938</v>
      </c>
      <c r="AH17" s="2">
        <f t="shared" si="14"/>
        <v>-0.28309571992228522</v>
      </c>
      <c r="AI17" s="18" t="str">
        <f t="shared" si="5"/>
        <v>NP119</v>
      </c>
      <c r="AJ17" s="2">
        <f t="shared" si="6"/>
        <v>1</v>
      </c>
    </row>
    <row r="18" spans="1:36" ht="9" customHeight="1" x14ac:dyDescent="0.25">
      <c r="A18" s="17">
        <v>10</v>
      </c>
      <c r="B18" s="2">
        <f t="shared" si="2"/>
        <v>0.28937647104510084</v>
      </c>
      <c r="C18" s="4">
        <v>1</v>
      </c>
      <c r="D18" s="5">
        <v>16.728811124951001</v>
      </c>
      <c r="E18" s="60" t="s">
        <v>203</v>
      </c>
      <c r="F18" s="5">
        <v>3.3600000000000001E-3</v>
      </c>
      <c r="G18" s="5">
        <v>7.2999999999999995E-2</v>
      </c>
      <c r="H18" s="5">
        <v>6.3600000000000004E-2</v>
      </c>
      <c r="I18" s="5">
        <v>0.746</v>
      </c>
      <c r="J18" s="5">
        <v>1.04E-2</v>
      </c>
      <c r="K18" s="5">
        <v>3.6999999999999998E-2</v>
      </c>
      <c r="L18" s="5">
        <v>1.2529999999999999</v>
      </c>
      <c r="M18" s="5">
        <v>6.9099999999999995E-2</v>
      </c>
      <c r="N18" s="5">
        <v>3.9699999999999996E-3</v>
      </c>
      <c r="O18" s="5">
        <v>0.123</v>
      </c>
      <c r="P18" s="5">
        <v>2.746</v>
      </c>
      <c r="Q18" s="5">
        <v>1.1999999999999999E-3</v>
      </c>
      <c r="R18" s="5">
        <v>2.8000000000000001E-2</v>
      </c>
      <c r="S18" s="5">
        <v>1.401</v>
      </c>
      <c r="T18" s="18" t="str">
        <f t="shared" si="3"/>
        <v>NP135</v>
      </c>
      <c r="U18" s="2">
        <f t="shared" ref="U18:AH18" si="15">IF(OR(F18=0,F18&lt;0.00001,F18&gt;100000),"",IF((IF(F18&gt;F$5,ABS(LOG(((F$5/SUM($F18:$S18))/(F$4/SUM($F$4:$S$4)))*4+2,2)),ABS(LOG(((F18/SUM($F18:$S18))/(F$4/SUM($F$4:$S$4)))*4+2,2)))-3)&gt;15,(IF(F18&gt;F$5,ABS(LOG(((F$5/SUM($F18:$S18))/(F$4/SUM($F$4:$S$4)))*4+2,2)),ABS(LOG(((F18/SUM($F18:$S18))/(F$4/SUM($F$4:$S$4)))*4+2,2)))-3)/7,IF(F18&gt;F$5,ABS(LOG(((F$5/SUM($F18:$S18))/(F$4/SUM($F$4:$S$4)))*4+2,2)),ABS(LOG(((F18/SUM($F18:$S18))/(F$4/SUM($F$4:$S$4)))*4+2,2)))-3))</f>
        <v>8.1105151228871541</v>
      </c>
      <c r="V18" s="2">
        <f t="shared" si="15"/>
        <v>2.6436892324701633</v>
      </c>
      <c r="W18" s="2">
        <f t="shared" si="15"/>
        <v>1.5177209434961982</v>
      </c>
      <c r="X18" s="2">
        <f t="shared" si="15"/>
        <v>-0.21243919452706495</v>
      </c>
      <c r="Y18" s="2">
        <f t="shared" si="15"/>
        <v>-1.1088207771517926</v>
      </c>
      <c r="Z18" s="2">
        <f t="shared" si="15"/>
        <v>-0.402038464650186</v>
      </c>
      <c r="AA18" s="2">
        <f t="shared" si="15"/>
        <v>0.97543315863887559</v>
      </c>
      <c r="AB18" s="2">
        <f t="shared" si="15"/>
        <v>-0.29004465148616587</v>
      </c>
      <c r="AC18" s="2">
        <f t="shared" si="15"/>
        <v>-1.2753287105687301</v>
      </c>
      <c r="AD18" s="2">
        <f t="shared" si="15"/>
        <v>-0.99220382932359641</v>
      </c>
      <c r="AE18" s="2">
        <f t="shared" si="15"/>
        <v>-3.2134438527405607E-2</v>
      </c>
      <c r="AF18" s="2">
        <f t="shared" si="15"/>
        <v>-1.9441833857187347</v>
      </c>
      <c r="AG18" s="2">
        <f t="shared" si="15"/>
        <v>2.4363396192891518E-2</v>
      </c>
      <c r="AH18" s="2">
        <f t="shared" si="15"/>
        <v>-1.0977666113105622</v>
      </c>
      <c r="AI18" s="18" t="str">
        <f t="shared" si="5"/>
        <v>NP135</v>
      </c>
      <c r="AJ18" s="2">
        <f t="shared" si="6"/>
        <v>1</v>
      </c>
    </row>
    <row r="19" spans="1:36" ht="9" customHeight="1" x14ac:dyDescent="0.25">
      <c r="A19" s="17">
        <v>11</v>
      </c>
      <c r="B19" s="2">
        <f t="shared" si="2"/>
        <v>1.5377830733280655</v>
      </c>
      <c r="C19" s="4">
        <v>1</v>
      </c>
      <c r="D19" s="5">
        <v>17.7946883966363</v>
      </c>
      <c r="E19" s="60" t="s">
        <v>204</v>
      </c>
      <c r="F19" s="5">
        <v>2.8299999999999999E-4</v>
      </c>
      <c r="G19" s="5">
        <v>0.1045</v>
      </c>
      <c r="H19" s="5">
        <v>0.12239999999999999</v>
      </c>
      <c r="I19" s="5">
        <v>0.82879999999999998</v>
      </c>
      <c r="J19" s="5">
        <v>2.2700000000000001E-2</v>
      </c>
      <c r="K19" s="5">
        <v>6.3500000000000001E-2</v>
      </c>
      <c r="L19" s="5">
        <v>1.7230000000000001</v>
      </c>
      <c r="M19" s="5">
        <v>0.1409</v>
      </c>
      <c r="N19" s="5">
        <v>5.4800000000000001E-2</v>
      </c>
      <c r="O19" s="5">
        <v>0.55920000000000003</v>
      </c>
      <c r="P19" s="5">
        <v>2.3359999999999999</v>
      </c>
      <c r="Q19" s="5">
        <v>4.2399999999999998E-3</v>
      </c>
      <c r="R19" s="5">
        <v>2.86E-2</v>
      </c>
      <c r="S19" s="5">
        <v>1.1739999999999999</v>
      </c>
      <c r="T19" s="18" t="str">
        <f t="shared" si="3"/>
        <v>NP138</v>
      </c>
      <c r="U19" s="2">
        <f t="shared" ref="U19:AH19" si="16">IF(OR(F19=0,F19&lt;0.00001,F19&gt;100000),"",IF((IF(F19&gt;F$5,ABS(LOG(((F$5/SUM($F19:$S19))/(F$4/SUM($F$4:$S$4)))*4+2,2)),ABS(LOG(((F19/SUM($F19:$S19))/(F$4/SUM($F$4:$S$4)))*4+2,2)))-3)&gt;15,(IF(F19&gt;F$5,ABS(LOG(((F$5/SUM($F19:$S19))/(F$4/SUM($F$4:$S$4)))*4+2,2)),ABS(LOG(((F19/SUM($F19:$S19))/(F$4/SUM($F$4:$S$4)))*4+2,2)))-3)/7,IF(F19&gt;F$5,ABS(LOG(((F$5/SUM($F19:$S19))/(F$4/SUM($F$4:$S$4)))*4+2,2)),ABS(LOG(((F19/SUM($F19:$S19))/(F$4/SUM($F$4:$S$4)))*4+2,2)))-3))</f>
        <v>4.4293063984391328</v>
      </c>
      <c r="V19" s="2">
        <f t="shared" si="16"/>
        <v>3.020322095501526</v>
      </c>
      <c r="W19" s="2">
        <f t="shared" si="16"/>
        <v>2.2795364338877713</v>
      </c>
      <c r="X19" s="2">
        <f t="shared" si="16"/>
        <v>-0.19485440701843926</v>
      </c>
      <c r="Y19" s="2">
        <f t="shared" si="16"/>
        <v>-0.56269499596420713</v>
      </c>
      <c r="Z19" s="2">
        <f t="shared" si="16"/>
        <v>6.5409438895740468E-2</v>
      </c>
      <c r="AA19" s="2">
        <f t="shared" si="16"/>
        <v>1.2695665803326888</v>
      </c>
      <c r="AB19" s="2">
        <f t="shared" si="16"/>
        <v>0.38984640301950302</v>
      </c>
      <c r="AC19" s="2">
        <f t="shared" si="16"/>
        <v>1.209025222111209</v>
      </c>
      <c r="AD19" s="2">
        <f t="shared" si="16"/>
        <v>0.3807034587610918</v>
      </c>
      <c r="AE19" s="2">
        <f t="shared" si="16"/>
        <v>-0.29152983589193981</v>
      </c>
      <c r="AF19" s="2">
        <f t="shared" si="16"/>
        <v>-1.8267167752341298</v>
      </c>
      <c r="AG19" s="2">
        <f t="shared" si="16"/>
        <v>-4.7859181000437179E-2</v>
      </c>
      <c r="AH19" s="2">
        <f t="shared" si="16"/>
        <v>-1.2629781132548197</v>
      </c>
      <c r="AI19" s="18" t="str">
        <f t="shared" si="5"/>
        <v>NP138</v>
      </c>
      <c r="AJ19" s="2">
        <f t="shared" si="6"/>
        <v>1</v>
      </c>
    </row>
    <row r="20" spans="1:36" ht="9" customHeight="1" x14ac:dyDescent="0.25">
      <c r="A20" s="17">
        <v>12</v>
      </c>
      <c r="B20" s="2">
        <f t="shared" si="2"/>
        <v>0.69623754609533972</v>
      </c>
      <c r="C20" s="4">
        <v>1</v>
      </c>
      <c r="D20" s="5">
        <v>15.6574764903276</v>
      </c>
      <c r="E20" s="60" t="s">
        <v>205</v>
      </c>
      <c r="F20" s="5">
        <v>1.4599999999999999E-3</v>
      </c>
      <c r="G20" s="5">
        <v>5.5E-2</v>
      </c>
      <c r="H20" s="5">
        <v>9.2299999999999993E-2</v>
      </c>
      <c r="I20" s="5">
        <v>0.44290000000000002</v>
      </c>
      <c r="J20" s="5">
        <v>3.7000000000000002E-3</v>
      </c>
      <c r="K20" s="5">
        <v>3.2300000000000002E-2</v>
      </c>
      <c r="L20" s="5">
        <v>0.88600000000000001</v>
      </c>
      <c r="M20" s="5">
        <v>7.4800000000000005E-2</v>
      </c>
      <c r="N20" s="5">
        <v>1.3100000000000001E-2</v>
      </c>
      <c r="O20" s="5">
        <v>0.65759999999999996</v>
      </c>
      <c r="P20" s="5">
        <v>1.7829999999999999</v>
      </c>
      <c r="Q20" s="5">
        <v>3.5099999999999999E-2</v>
      </c>
      <c r="R20" s="5">
        <v>2.0400000000000001E-2</v>
      </c>
      <c r="S20" s="5">
        <v>1.851</v>
      </c>
      <c r="T20" s="18" t="str">
        <f t="shared" si="3"/>
        <v>NP147</v>
      </c>
      <c r="U20" s="2">
        <f t="shared" ref="U20:AH20" si="17">IF(OR(F20=0,F20&lt;0.00001,F20&gt;100000),"",IF((IF(F20&gt;F$5,ABS(LOG(((F$5/SUM($F20:$S20))/(F$4/SUM($F$4:$S$4)))*4+2,2)),ABS(LOG(((F20/SUM($F20:$S20))/(F$4/SUM($F$4:$S$4)))*4+2,2)))-3)&gt;15,(IF(F20&gt;F$5,ABS(LOG(((F$5/SUM($F20:$S20))/(F$4/SUM($F$4:$S$4)))*4+2,2)),ABS(LOG(((F20/SUM($F20:$S20))/(F$4/SUM($F$4:$S$4)))*4+2,2)))-3)/7,IF(F20&gt;F$5,ABS(LOG(((F$5/SUM($F20:$S20))/(F$4/SUM($F$4:$S$4)))*4+2,2)),ABS(LOG(((F20/SUM($F20:$S20))/(F$4/SUM($F$4:$S$4)))*4+2,2)))-3))</f>
        <v>7.0502702880229116</v>
      </c>
      <c r="V20" s="2">
        <f t="shared" si="17"/>
        <v>2.3877705554243498</v>
      </c>
      <c r="W20" s="2">
        <f t="shared" si="17"/>
        <v>2.1478252833553269</v>
      </c>
      <c r="X20" s="2">
        <f t="shared" si="17"/>
        <v>-0.61859247916481719</v>
      </c>
      <c r="Y20" s="2">
        <f t="shared" si="17"/>
        <v>-1.5828876482988425</v>
      </c>
      <c r="Z20" s="2">
        <f t="shared" si="17"/>
        <v>-0.43874333682727418</v>
      </c>
      <c r="AA20" s="2">
        <f t="shared" si="17"/>
        <v>0.66720077722747817</v>
      </c>
      <c r="AB20" s="2">
        <f t="shared" si="17"/>
        <v>-0.10818692105815453</v>
      </c>
      <c r="AC20" s="2">
        <f t="shared" si="17"/>
        <v>-0.24556200324671584</v>
      </c>
      <c r="AD20" s="2">
        <f t="shared" si="17"/>
        <v>0.79876178770536654</v>
      </c>
      <c r="AE20" s="2">
        <f t="shared" si="17"/>
        <v>-0.37492347849660668</v>
      </c>
      <c r="AF20" s="2">
        <f t="shared" si="17"/>
        <v>-0.81594413999125281</v>
      </c>
      <c r="AG20" s="2">
        <f t="shared" si="17"/>
        <v>-0.20732897093663061</v>
      </c>
      <c r="AH20" s="2">
        <f t="shared" si="17"/>
        <v>-0.81998788537130274</v>
      </c>
      <c r="AI20" s="18" t="str">
        <f t="shared" si="5"/>
        <v>NP147</v>
      </c>
      <c r="AJ20" s="2">
        <f t="shared" si="6"/>
        <v>1</v>
      </c>
    </row>
    <row r="21" spans="1:36" ht="9" customHeight="1" x14ac:dyDescent="0.25">
      <c r="A21" s="17">
        <v>13</v>
      </c>
      <c r="B21" s="2">
        <f t="shared" si="2"/>
        <v>1.3954970674920599</v>
      </c>
      <c r="C21" s="4">
        <v>1</v>
      </c>
      <c r="D21" s="5">
        <v>17.629942909380201</v>
      </c>
      <c r="E21" s="60" t="s">
        <v>206</v>
      </c>
      <c r="F21" s="5">
        <v>2.0200000000000001E-3</v>
      </c>
      <c r="G21" s="5">
        <v>6.1699999999999998E-2</v>
      </c>
      <c r="H21" s="5">
        <v>0.15129999999999999</v>
      </c>
      <c r="I21" s="5">
        <v>0.59179999999999999</v>
      </c>
      <c r="J21" s="5">
        <v>3.9199999999999999E-2</v>
      </c>
      <c r="K21" s="5">
        <v>2.7799999999999998E-2</v>
      </c>
      <c r="L21" s="5">
        <v>1.157</v>
      </c>
      <c r="M21" s="5">
        <v>5.8299999999999998E-2</v>
      </c>
      <c r="N21" s="5">
        <v>1.8599999999999998E-2</v>
      </c>
      <c r="O21" s="5">
        <v>0.46829999999999999</v>
      </c>
      <c r="P21" s="5">
        <v>2.226</v>
      </c>
      <c r="Q21" s="5">
        <v>1.39E-3</v>
      </c>
      <c r="R21" s="5">
        <v>2.8199999999999999E-2</v>
      </c>
      <c r="S21" s="5">
        <v>1.9930000000000001</v>
      </c>
      <c r="T21" s="18" t="str">
        <f t="shared" si="3"/>
        <v>NP148</v>
      </c>
      <c r="U21" s="2">
        <f t="shared" ref="U21:AH21" si="18">IF(OR(F21=0,F21&lt;0.00001,F21&gt;100000),"",IF((IF(F21&gt;F$5,ABS(LOG(((F$5/SUM($F21:$S21))/(F$4/SUM($F$4:$S$4)))*4+2,2)),ABS(LOG(((F21/SUM($F21:$S21))/(F$4/SUM($F$4:$S$4)))*4+2,2)))-3)&gt;15,(IF(F21&gt;F$5,ABS(LOG(((F$5/SUM($F21:$S21))/(F$4/SUM($F$4:$S$4)))*4+2,2)),ABS(LOG(((F21/SUM($F21:$S21))/(F$4/SUM($F$4:$S$4)))*4+2,2)))-3)/7,IF(F21&gt;F$5,ABS(LOG(((F$5/SUM($F21:$S21))/(F$4/SUM($F$4:$S$4)))*4+2,2)),ABS(LOG(((F21/SUM($F21:$S21))/(F$4/SUM($F$4:$S$4)))*4+2,2)))-3))</f>
        <v>7.3200104669971271</v>
      </c>
      <c r="V21" s="2">
        <f t="shared" si="18"/>
        <v>2.3569891525815461</v>
      </c>
      <c r="W21" s="2">
        <f t="shared" si="18"/>
        <v>2.6380175682496496</v>
      </c>
      <c r="X21" s="2">
        <f t="shared" si="18"/>
        <v>-0.4791555814600974</v>
      </c>
      <c r="Y21" s="2">
        <f t="shared" si="18"/>
        <v>3.42067887852191E-2</v>
      </c>
      <c r="Z21" s="2">
        <f t="shared" si="18"/>
        <v>-0.69914815752287707</v>
      </c>
      <c r="AA21" s="2">
        <f t="shared" si="18"/>
        <v>0.82617408855149499</v>
      </c>
      <c r="AB21" s="2">
        <f t="shared" si="18"/>
        <v>-0.49320055767795967</v>
      </c>
      <c r="AC21" s="2">
        <f t="shared" si="18"/>
        <v>-2.2530746588051986E-2</v>
      </c>
      <c r="AD21" s="2">
        <f t="shared" si="18"/>
        <v>0.23222604387519263</v>
      </c>
      <c r="AE21" s="2">
        <f t="shared" si="18"/>
        <v>-0.29138051644394336</v>
      </c>
      <c r="AF21" s="2">
        <f t="shared" si="18"/>
        <v>-1.9379994939437954</v>
      </c>
      <c r="AG21" s="2">
        <f t="shared" si="18"/>
        <v>-1.1003327180350464E-2</v>
      </c>
      <c r="AH21" s="2">
        <f t="shared" si="18"/>
        <v>-0.87041195466999666</v>
      </c>
      <c r="AI21" s="18" t="str">
        <f t="shared" si="5"/>
        <v>NP148</v>
      </c>
      <c r="AJ21" s="2">
        <f t="shared" si="6"/>
        <v>1</v>
      </c>
    </row>
    <row r="22" spans="1:36" ht="9" customHeight="1" x14ac:dyDescent="0.25">
      <c r="A22" s="17">
        <v>14</v>
      </c>
      <c r="B22" s="2">
        <f t="shared" si="2"/>
        <v>1.5546528069763774</v>
      </c>
      <c r="C22" s="4">
        <v>1</v>
      </c>
      <c r="D22" s="5">
        <v>18.586112717876901</v>
      </c>
      <c r="E22" s="60" t="s">
        <v>207</v>
      </c>
      <c r="F22" s="5">
        <v>1.0999999999999999E-2</v>
      </c>
      <c r="G22" s="5">
        <v>0.27389999999999998</v>
      </c>
      <c r="H22" s="5">
        <v>0.20979999999999999</v>
      </c>
      <c r="I22" s="5">
        <v>1.2210000000000001</v>
      </c>
      <c r="J22" s="5">
        <v>3.0800000000000001E-2</v>
      </c>
      <c r="K22" s="5">
        <v>0.1132</v>
      </c>
      <c r="L22" s="5">
        <v>2.7370000000000001</v>
      </c>
      <c r="M22" s="5">
        <v>0.3997</v>
      </c>
      <c r="N22" s="5">
        <v>4.0899999999999999E-3</v>
      </c>
      <c r="O22" s="5">
        <v>0.504</v>
      </c>
      <c r="P22" s="5">
        <v>2.9950000000000001</v>
      </c>
      <c r="Q22" s="5">
        <v>3.7299999999999998E-3</v>
      </c>
      <c r="R22" s="5">
        <v>3.39E-2</v>
      </c>
      <c r="S22" s="5">
        <v>3.262</v>
      </c>
      <c r="T22" s="18" t="str">
        <f t="shared" si="3"/>
        <v>NP156</v>
      </c>
      <c r="U22" s="2">
        <f t="shared" ref="U22:AH22" si="19">IF(OR(F22=0,F22&lt;0.00001,F22&gt;100000),"",IF((IF(F22&gt;F$5,ABS(LOG(((F$5/SUM($F22:$S22))/(F$4/SUM($F$4:$S$4)))*4+2,2)),ABS(LOG(((F22/SUM($F22:$S22))/(F$4/SUM($F$4:$S$4)))*4+2,2)))-3)&gt;15,(IF(F22&gt;F$5,ABS(LOG(((F$5/SUM($F22:$S22))/(F$4/SUM($F$4:$S$4)))*4+2,2)),ABS(LOG(((F22/SUM($F22:$S22))/(F$4/SUM($F$4:$S$4)))*4+2,2)))-3)/7,IF(F22&gt;F$5,ABS(LOG(((F$5/SUM($F22:$S22))/(F$4/SUM($F$4:$S$4)))*4+2,2)),ABS(LOG(((F22/SUM($F22:$S22))/(F$4/SUM($F$4:$S$4)))*4+2,2)))-3))</f>
        <v>8.9736846466177518</v>
      </c>
      <c r="V22" s="2">
        <f t="shared" si="19"/>
        <v>3.6737983185573482</v>
      </c>
      <c r="W22" s="2">
        <f t="shared" si="19"/>
        <v>2.3339905262450236</v>
      </c>
      <c r="X22" s="2">
        <f t="shared" si="19"/>
        <v>-0.30798338583277118</v>
      </c>
      <c r="Y22" s="2">
        <f t="shared" si="19"/>
        <v>-0.73277129710386113</v>
      </c>
      <c r="Z22" s="2">
        <f t="shared" si="19"/>
        <v>0.15296999612797757</v>
      </c>
      <c r="AA22" s="2">
        <f t="shared" si="19"/>
        <v>1.2227018819741948</v>
      </c>
      <c r="AB22" s="2">
        <f t="shared" si="19"/>
        <v>1.0537273341037086</v>
      </c>
      <c r="AC22" s="2">
        <f t="shared" si="19"/>
        <v>-1.5419603599265252</v>
      </c>
      <c r="AD22" s="2">
        <f t="shared" si="19"/>
        <v>-0.27650988252199005</v>
      </c>
      <c r="AE22" s="2">
        <f t="shared" si="19"/>
        <v>-0.53252974196586278</v>
      </c>
      <c r="AF22" s="2">
        <f t="shared" si="19"/>
        <v>-1.9048767306526155</v>
      </c>
      <c r="AG22" s="2">
        <f t="shared" si="19"/>
        <v>-0.38420708412623794</v>
      </c>
      <c r="AH22" s="2">
        <f t="shared" si="19"/>
        <v>-0.912791959149855</v>
      </c>
      <c r="AI22" s="18" t="str">
        <f t="shared" si="5"/>
        <v>NP156</v>
      </c>
      <c r="AJ22" s="2">
        <f t="shared" si="6"/>
        <v>1</v>
      </c>
    </row>
    <row r="23" spans="1:36" ht="9" customHeight="1" x14ac:dyDescent="0.25">
      <c r="A23" s="17">
        <v>15</v>
      </c>
      <c r="B23" s="2">
        <f t="shared" si="2"/>
        <v>1.0337353507238149</v>
      </c>
      <c r="C23" s="4">
        <v>1</v>
      </c>
      <c r="D23" s="5">
        <v>16.182319096949801</v>
      </c>
      <c r="E23" s="60" t="s">
        <v>208</v>
      </c>
      <c r="F23" s="5">
        <v>1.11E-2</v>
      </c>
      <c r="G23" s="5">
        <v>6.4699999999999994E-2</v>
      </c>
      <c r="H23" s="5">
        <v>8.2400000000000001E-2</v>
      </c>
      <c r="I23" s="5">
        <v>0.66500000000000004</v>
      </c>
      <c r="J23" s="5">
        <v>3.9399999999999999E-3</v>
      </c>
      <c r="K23" s="5">
        <v>3.5700000000000003E-2</v>
      </c>
      <c r="L23" s="5">
        <v>0.90820000000000001</v>
      </c>
      <c r="M23" s="5">
        <v>9.7500000000000003E-2</v>
      </c>
      <c r="N23" s="5">
        <v>0.1431</v>
      </c>
      <c r="O23" s="5">
        <v>2.879</v>
      </c>
      <c r="P23" s="5">
        <v>2.5750000000000002</v>
      </c>
      <c r="Q23" s="5">
        <v>1.8500000000000001E-3</v>
      </c>
      <c r="R23" s="5">
        <v>1.77E-2</v>
      </c>
      <c r="S23" s="5">
        <v>1.5760000000000001</v>
      </c>
      <c r="T23" s="18" t="str">
        <f t="shared" si="3"/>
        <v>NP161</v>
      </c>
      <c r="U23" s="2">
        <f t="shared" ref="U23:AH23" si="20">IF(OR(F23=0,F23&lt;0.00001,F23&gt;100000),"",IF((IF(F23&gt;F$5,ABS(LOG(((F$5/SUM($F23:$S23))/(F$4/SUM($F$4:$S$4)))*4+2,2)),ABS(LOG(((F23/SUM($F23:$S23))/(F$4/SUM($F$4:$S$4)))*4+2,2)))-3)&gt;15,(IF(F23&gt;F$5,ABS(LOG(((F$5/SUM($F23:$S23))/(F$4/SUM($F$4:$S$4)))*4+2,2)),ABS(LOG(((F23/SUM($F23:$S23))/(F$4/SUM($F$4:$S$4)))*4+2,2)))-3)/7,IF(F23&gt;F$5,ABS(LOG(((F$5/SUM($F23:$S23))/(F$4/SUM($F$4:$S$4)))*4+2,2)),ABS(LOG(((F23/SUM($F23:$S23))/(F$4/SUM($F$4:$S$4)))*4+2,2)))-3))</f>
        <v>9.367476183455766</v>
      </c>
      <c r="V23" s="2">
        <f t="shared" si="20"/>
        <v>2.0351481551216573</v>
      </c>
      <c r="W23" s="2">
        <f t="shared" si="20"/>
        <v>1.4333665383300094</v>
      </c>
      <c r="X23" s="2">
        <f t="shared" si="20"/>
        <v>-0.63135002039011479</v>
      </c>
      <c r="Y23" s="2">
        <f t="shared" si="20"/>
        <v>-1.6962262733478148</v>
      </c>
      <c r="Z23" s="2">
        <f t="shared" si="20"/>
        <v>-0.72753990074314734</v>
      </c>
      <c r="AA23" s="2">
        <f t="shared" si="20"/>
        <v>0.20213217976412778</v>
      </c>
      <c r="AB23" s="2">
        <f t="shared" si="20"/>
        <v>-0.2688619009761144</v>
      </c>
      <c r="AC23" s="2">
        <f t="shared" si="20"/>
        <v>2.1718848076886301</v>
      </c>
      <c r="AD23" s="2">
        <f t="shared" si="20"/>
        <v>2.1799562192193935</v>
      </c>
      <c r="AE23" s="2">
        <f t="shared" si="20"/>
        <v>-0.42642139227839237</v>
      </c>
      <c r="AF23" s="2">
        <f t="shared" si="20"/>
        <v>-1.9378526656761734</v>
      </c>
      <c r="AG23" s="2">
        <f t="shared" si="20"/>
        <v>-0.73466238350670121</v>
      </c>
      <c r="AH23" s="2">
        <f t="shared" si="20"/>
        <v>-1.2280898907414426</v>
      </c>
      <c r="AI23" s="18" t="str">
        <f t="shared" si="5"/>
        <v>NP161</v>
      </c>
      <c r="AJ23" s="2">
        <f t="shared" si="6"/>
        <v>1</v>
      </c>
    </row>
    <row r="24" spans="1:36" ht="9" customHeight="1" x14ac:dyDescent="0.25">
      <c r="A24" s="17">
        <v>16</v>
      </c>
      <c r="B24" s="2">
        <f t="shared" si="2"/>
        <v>0.18954649868629708</v>
      </c>
      <c r="C24" s="4">
        <v>1</v>
      </c>
      <c r="D24" s="5">
        <v>18.345644681293901</v>
      </c>
      <c r="E24" s="60" t="s">
        <v>209</v>
      </c>
      <c r="F24" s="5">
        <v>9.7800000000000005E-3</v>
      </c>
      <c r="G24" s="5">
        <v>0.50960000000000005</v>
      </c>
      <c r="H24" s="5">
        <v>0.17580000000000001</v>
      </c>
      <c r="I24" s="5">
        <v>0.74080000000000001</v>
      </c>
      <c r="J24" s="5">
        <v>3.11</v>
      </c>
      <c r="K24" s="5">
        <v>0.33479999999999999</v>
      </c>
      <c r="L24" s="5">
        <v>2.3809999999999998</v>
      </c>
      <c r="M24" s="5">
        <v>0.71179999999999999</v>
      </c>
      <c r="N24" s="5">
        <v>5.2709999999999999</v>
      </c>
      <c r="O24" s="5">
        <v>68.2</v>
      </c>
      <c r="P24" s="5">
        <v>1.522</v>
      </c>
      <c r="Q24" s="5">
        <v>4.7300000000000002E-2</v>
      </c>
      <c r="R24" s="5">
        <v>2.58E-2</v>
      </c>
      <c r="S24" s="5">
        <v>9.9350000000000005</v>
      </c>
      <c r="T24" s="18" t="str">
        <f t="shared" si="3"/>
        <v>NP178</v>
      </c>
      <c r="U24" s="2">
        <f t="shared" ref="U24:AH24" si="21">IF(OR(F24=0,F24&lt;0.00001,F24&gt;100000),"",IF((IF(F24&gt;F$5,ABS(LOG(((F$5/SUM($F24:$S24))/(F$4/SUM($F$4:$S$4)))*4+2,2)),ABS(LOG(((F24/SUM($F24:$S24))/(F$4/SUM($F$4:$S$4)))*4+2,2)))-3)&gt;15,(IF(F24&gt;F$5,ABS(LOG(((F$5/SUM($F24:$S24))/(F$4/SUM($F$4:$S$4)))*4+2,2)),ABS(LOG(((F24/SUM($F24:$S24))/(F$4/SUM($F$4:$S$4)))*4+2,2)))-3)/7,IF(F24&gt;F$5,ABS(LOG(((F$5/SUM($F24:$S24))/(F$4/SUM($F$4:$S$4)))*4+2,2)),ABS(LOG(((F24/SUM($F24:$S24))/(F$4/SUM($F$4:$S$4)))*4+2,2)))-3))</f>
        <v>5.8315586884308992</v>
      </c>
      <c r="V24" s="2">
        <f t="shared" si="21"/>
        <v>1.6800070832378777</v>
      </c>
      <c r="W24" s="2">
        <f t="shared" si="21"/>
        <v>-0.39672399959992877</v>
      </c>
      <c r="X24" s="2">
        <f t="shared" si="21"/>
        <v>-1.7712920145839266</v>
      </c>
      <c r="Y24" s="2">
        <f t="shared" si="21"/>
        <v>0.76495811705643435</v>
      </c>
      <c r="Z24" s="2">
        <f t="shared" si="21"/>
        <v>-0.802163859507667</v>
      </c>
      <c r="AA24" s="2">
        <f t="shared" si="21"/>
        <v>-1.0587268866431347</v>
      </c>
      <c r="AB24" s="2">
        <f t="shared" si="21"/>
        <v>-0.59367976748536844</v>
      </c>
      <c r="AC24" s="2">
        <f t="shared" si="21"/>
        <v>1.6547294252022287</v>
      </c>
      <c r="AD24" s="2">
        <f t="shared" si="21"/>
        <v>2.9062370649780291</v>
      </c>
      <c r="AE24" s="2">
        <f t="shared" si="21"/>
        <v>-1.8444435482967421</v>
      </c>
      <c r="AF24" s="2">
        <f t="shared" si="21"/>
        <v>-1.8498503307675993</v>
      </c>
      <c r="AG24" s="2">
        <f t="shared" si="21"/>
        <v>-1.737655218792947</v>
      </c>
      <c r="AH24" s="2">
        <f t="shared" si="21"/>
        <v>-1.4792641602158223</v>
      </c>
      <c r="AI24" s="18" t="str">
        <f t="shared" si="5"/>
        <v>NP178</v>
      </c>
      <c r="AJ24" s="2">
        <f t="shared" si="6"/>
        <v>1</v>
      </c>
    </row>
    <row r="25" spans="1:36" ht="9" customHeight="1" x14ac:dyDescent="0.25">
      <c r="A25" s="17">
        <v>17</v>
      </c>
      <c r="B25" s="2">
        <f t="shared" si="2"/>
        <v>0.92581151399741346</v>
      </c>
      <c r="C25" s="4">
        <v>1</v>
      </c>
      <c r="D25" s="5">
        <v>16.678472375777002</v>
      </c>
      <c r="E25" s="60" t="s">
        <v>210</v>
      </c>
      <c r="F25" s="5">
        <v>4.7800000000000004E-3</v>
      </c>
      <c r="G25" s="5">
        <v>0.20039999999999999</v>
      </c>
      <c r="H25" s="5">
        <v>0.1215</v>
      </c>
      <c r="I25" s="5">
        <v>1.327</v>
      </c>
      <c r="J25" s="5">
        <v>7.6499999999999997E-3</v>
      </c>
      <c r="K25" s="5">
        <v>8.8400000000000006E-2</v>
      </c>
      <c r="L25" s="5">
        <v>2.7810000000000001</v>
      </c>
      <c r="M25" s="5">
        <v>0.26269999999999999</v>
      </c>
      <c r="N25" s="5">
        <v>3.7000000000000002E-3</v>
      </c>
      <c r="O25" s="5">
        <v>0.16919999999999999</v>
      </c>
      <c r="P25" s="5">
        <v>3.0680000000000001</v>
      </c>
      <c r="Q25" s="5">
        <v>9.5200000000000007E-3</v>
      </c>
      <c r="R25" s="5">
        <v>2.7799999999999998E-2</v>
      </c>
      <c r="S25" s="5">
        <v>1.633</v>
      </c>
      <c r="T25" s="18" t="str">
        <f t="shared" si="3"/>
        <v>NP179</v>
      </c>
      <c r="U25" s="2">
        <f t="shared" ref="U25:AH25" si="22">IF(OR(F25=0,F25&lt;0.00001,F25&gt;100000),"",IF((IF(F25&gt;F$5,ABS(LOG(((F$5/SUM($F25:$S25))/(F$4/SUM($F$4:$S$4)))*4+2,2)),ABS(LOG(((F25/SUM($F25:$S25))/(F$4/SUM($F$4:$S$4)))*4+2,2)))-3)&gt;15,(IF(F25&gt;F$5,ABS(LOG(((F$5/SUM($F25:$S25))/(F$4/SUM($F$4:$S$4)))*4+2,2)),ABS(LOG(((F25/SUM($F25:$S25))/(F$4/SUM($F$4:$S$4)))*4+2,2)))-3)/7,IF(F25&gt;F$5,ABS(LOG(((F$5/SUM($F25:$S25))/(F$4/SUM($F$4:$S$4)))*4+2,2)),ABS(LOG(((F25/SUM($F25:$S25))/(F$4/SUM($F$4:$S$4)))*4+2,2)))-3))</f>
        <v>8.0538351526134946</v>
      </c>
      <c r="V25" s="2">
        <f t="shared" si="22"/>
        <v>3.508467132537116</v>
      </c>
      <c r="W25" s="2">
        <f t="shared" si="22"/>
        <v>1.8576154139279426</v>
      </c>
      <c r="X25" s="2">
        <f t="shared" si="22"/>
        <v>-1.8846443231523402E-2</v>
      </c>
      <c r="Y25" s="2">
        <f t="shared" si="22"/>
        <v>-1.4891551801452843</v>
      </c>
      <c r="Z25" s="2">
        <f t="shared" si="22"/>
        <v>9.5311127552787145E-2</v>
      </c>
      <c r="AA25" s="2">
        <f t="shared" si="22"/>
        <v>1.4978929559772522</v>
      </c>
      <c r="AB25" s="2">
        <f t="shared" si="22"/>
        <v>0.77319230463169886</v>
      </c>
      <c r="AC25" s="2">
        <f t="shared" si="22"/>
        <v>-1.5032827969823719</v>
      </c>
      <c r="AD25" s="2">
        <f t="shared" si="22"/>
        <v>-1.0441335945894936</v>
      </c>
      <c r="AE25" s="2">
        <f t="shared" si="22"/>
        <v>-0.32252123365756269</v>
      </c>
      <c r="AF25" s="2">
        <f t="shared" si="22"/>
        <v>-1.7232079967219702</v>
      </c>
      <c r="AG25" s="2">
        <f t="shared" si="22"/>
        <v>-0.38708192588987167</v>
      </c>
      <c r="AH25" s="2">
        <f t="shared" si="22"/>
        <v>-1.2476712766012337</v>
      </c>
      <c r="AI25" s="18" t="str">
        <f t="shared" si="5"/>
        <v>NP179</v>
      </c>
      <c r="AJ25" s="2">
        <f t="shared" si="6"/>
        <v>1</v>
      </c>
    </row>
    <row r="26" spans="1:36" ht="9" customHeight="1" x14ac:dyDescent="0.25">
      <c r="A26" s="17">
        <v>18</v>
      </c>
      <c r="B26" s="2">
        <f t="shared" si="2"/>
        <v>0.37528813732608868</v>
      </c>
      <c r="C26" s="4">
        <v>1</v>
      </c>
      <c r="D26" s="5">
        <v>16.846408166559399</v>
      </c>
      <c r="E26" s="60" t="s">
        <v>211</v>
      </c>
      <c r="F26" s="5">
        <v>5.1200000000000004E-3</v>
      </c>
      <c r="G26" s="5">
        <v>0.1328</v>
      </c>
      <c r="H26" s="5">
        <v>0.1196</v>
      </c>
      <c r="I26" s="5">
        <v>0.65249999999999997</v>
      </c>
      <c r="J26" s="5">
        <v>3.6200000000000003E-2</v>
      </c>
      <c r="K26" s="5">
        <v>4.3900000000000002E-2</v>
      </c>
      <c r="L26" s="5">
        <v>2.198</v>
      </c>
      <c r="M26" s="5">
        <v>0.1198</v>
      </c>
      <c r="N26" s="5">
        <v>3.8100000000000002E-2</v>
      </c>
      <c r="O26" s="5">
        <v>6.9550000000000001</v>
      </c>
      <c r="P26" s="5">
        <v>3.1970000000000001</v>
      </c>
      <c r="Q26" s="5">
        <v>1.95E-2</v>
      </c>
      <c r="R26" s="5">
        <v>2.5899999999999999E-2</v>
      </c>
      <c r="S26" s="5">
        <v>2.04</v>
      </c>
      <c r="T26" s="18" t="str">
        <f t="shared" si="3"/>
        <v>NP192</v>
      </c>
      <c r="U26" s="2">
        <f t="shared" ref="U26:AH26" si="23">IF(OR(F26=0,F26&lt;0.00001,F26&gt;100000),"",IF((IF(F26&gt;F$5,ABS(LOG(((F$5/SUM($F26:$S26))/(F$4/SUM($F$4:$S$4)))*4+2,2)),ABS(LOG(((F26/SUM($F26:$S26))/(F$4/SUM($F$4:$S$4)))*4+2,2)))-3)&gt;15,(IF(F26&gt;F$5,ABS(LOG(((F$5/SUM($F26:$S26))/(F$4/SUM($F$4:$S$4)))*4+2,2)),ABS(LOG(((F26/SUM($F26:$S26))/(F$4/SUM($F$4:$S$4)))*4+2,2)))-3)/7,IF(F26&gt;F$5,ABS(LOG(((F$5/SUM($F26:$S26))/(F$4/SUM($F$4:$S$4)))*4+2,2)),ABS(LOG(((F26/SUM($F26:$S26))/(F$4/SUM($F$4:$S$4)))*4+2,2)))-3))</f>
        <v>7.4703818507752917</v>
      </c>
      <c r="V26" s="2">
        <f t="shared" si="23"/>
        <v>2.2759892844811995</v>
      </c>
      <c r="W26" s="2">
        <f t="shared" si="23"/>
        <v>1.2131088937195482</v>
      </c>
      <c r="X26" s="2">
        <f t="shared" si="23"/>
        <v>-1.0719149216003656</v>
      </c>
      <c r="Y26" s="2">
        <f t="shared" si="23"/>
        <v>-0.82873659617671969</v>
      </c>
      <c r="Z26" s="2">
        <f t="shared" si="23"/>
        <v>-0.99117061223257519</v>
      </c>
      <c r="AA26" s="2">
        <f t="shared" si="23"/>
        <v>0.60129381907149648</v>
      </c>
      <c r="AB26" s="2">
        <f t="shared" si="23"/>
        <v>-0.58995172224670922</v>
      </c>
      <c r="AC26" s="2">
        <f t="shared" si="23"/>
        <v>-0.13780203091241638</v>
      </c>
      <c r="AD26" s="2">
        <f t="shared" si="23"/>
        <v>2.6470845681869548</v>
      </c>
      <c r="AE26" s="2">
        <f t="shared" si="23"/>
        <v>-0.72093653107350519</v>
      </c>
      <c r="AF26" s="2">
        <f t="shared" si="23"/>
        <v>-1.6554135039907785</v>
      </c>
      <c r="AG26" s="2">
        <f t="shared" si="23"/>
        <v>-0.86614617328144039</v>
      </c>
      <c r="AH26" s="2">
        <f t="shared" si="23"/>
        <v>-1.384088605940915</v>
      </c>
      <c r="AI26" s="18" t="str">
        <f t="shared" si="5"/>
        <v>NP192</v>
      </c>
      <c r="AJ26" s="2">
        <f t="shared" si="6"/>
        <v>1</v>
      </c>
    </row>
    <row r="27" spans="1:36" ht="9" customHeight="1" x14ac:dyDescent="0.25">
      <c r="A27" s="17">
        <v>19</v>
      </c>
      <c r="B27" s="2">
        <f t="shared" si="2"/>
        <v>4.0626794604868879</v>
      </c>
      <c r="C27" s="4">
        <v>2</v>
      </c>
      <c r="D27" s="5">
        <v>17.5707659284929</v>
      </c>
      <c r="E27" s="61" t="s">
        <v>212</v>
      </c>
      <c r="F27" s="5">
        <v>1.66E-2</v>
      </c>
      <c r="G27" s="5">
        <v>0.66239999999999999</v>
      </c>
      <c r="H27" s="5">
        <v>0.54139999999999999</v>
      </c>
      <c r="I27" s="5">
        <v>0.91690000000000005</v>
      </c>
      <c r="J27" s="5">
        <v>2.4590000000000001</v>
      </c>
      <c r="K27" s="5">
        <v>0.52529999999999999</v>
      </c>
      <c r="L27" s="5">
        <v>4.327</v>
      </c>
      <c r="M27" s="5">
        <v>0.36919999999999997</v>
      </c>
      <c r="N27" s="5">
        <v>0.49030000000000001</v>
      </c>
      <c r="O27" s="5">
        <v>288.5</v>
      </c>
      <c r="P27" s="5">
        <v>1.905</v>
      </c>
      <c r="Q27" s="5">
        <v>1.9400000000000001E-3</v>
      </c>
      <c r="R27" s="5">
        <v>1.55E-2</v>
      </c>
      <c r="S27" s="5">
        <v>3.254</v>
      </c>
      <c r="T27" s="18" t="str">
        <f t="shared" si="3"/>
        <v>NP016</v>
      </c>
      <c r="U27" s="2">
        <f t="shared" ref="U27:AH27" si="24">IF(OR(F27=0,F27&lt;0.00001,F27&gt;100000),"",IF((IF(F27&gt;F$5,ABS(LOG(((F$5/SUM($F27:$S27))/(F$4/SUM($F$4:$S$4)))*4+2,2)),ABS(LOG(((F27/SUM($F27:$S27))/(F$4/SUM($F$4:$S$4)))*4+2,2)))-3)&gt;15,(IF(F27&gt;F$5,ABS(LOG(((F$5/SUM($F27:$S27))/(F$4/SUM($F$4:$S$4)))*4+2,2)),ABS(LOG(((F27/SUM($F27:$S27))/(F$4/SUM($F$4:$S$4)))*4+2,2)))-3)/7,IF(F27&gt;F$5,ABS(LOG(((F$5/SUM($F27:$S27))/(F$4/SUM($F$4:$S$4)))*4+2,2)),ABS(LOG(((F27/SUM($F27:$S27))/(F$4/SUM($F$4:$S$4)))*4+2,2)))-3))</f>
        <v>4.8916019914795861</v>
      </c>
      <c r="V27" s="2">
        <f t="shared" si="24"/>
        <v>0.5104692446525303</v>
      </c>
      <c r="W27" s="2">
        <f t="shared" si="24"/>
        <v>-0.4540650729923903</v>
      </c>
      <c r="X27" s="2">
        <f t="shared" si="24"/>
        <v>-1.9091047379016066</v>
      </c>
      <c r="Y27" s="2">
        <f t="shared" si="24"/>
        <v>-0.52849092450204571</v>
      </c>
      <c r="Z27" s="2">
        <f t="shared" si="24"/>
        <v>-1.4414076103417102</v>
      </c>
      <c r="AA27" s="2">
        <f t="shared" si="24"/>
        <v>-1.4040328826100097</v>
      </c>
      <c r="AB27" s="2">
        <f t="shared" si="24"/>
        <v>-1.6644549056572466</v>
      </c>
      <c r="AC27" s="2">
        <f t="shared" si="24"/>
        <v>-0.54649841305244617</v>
      </c>
      <c r="AD27" s="2">
        <f t="shared" si="24"/>
        <v>1.3024054293925484</v>
      </c>
      <c r="AE27" s="2">
        <f t="shared" si="24"/>
        <v>-1.938452733735327</v>
      </c>
      <c r="AF27" s="2">
        <f t="shared" si="24"/>
        <v>-1.9980163030707827</v>
      </c>
      <c r="AG27" s="2">
        <f t="shared" si="24"/>
        <v>-1.9480788508534956</v>
      </c>
      <c r="AH27" s="2">
        <f t="shared" si="24"/>
        <v>-1.9385070408376994</v>
      </c>
      <c r="AI27" s="18" t="str">
        <f t="shared" si="5"/>
        <v>NP016</v>
      </c>
      <c r="AJ27" s="2">
        <f t="shared" si="6"/>
        <v>1</v>
      </c>
    </row>
    <row r="28" spans="1:36" ht="9" customHeight="1" x14ac:dyDescent="0.25">
      <c r="A28" s="17">
        <v>20</v>
      </c>
      <c r="B28" s="2">
        <f t="shared" si="2"/>
        <v>4.8251790069525615</v>
      </c>
      <c r="C28" s="4">
        <v>2</v>
      </c>
      <c r="D28" s="5">
        <v>16.839609592222899</v>
      </c>
      <c r="E28" s="61" t="s">
        <v>213</v>
      </c>
      <c r="F28" s="5">
        <v>2.2499999999999999E-2</v>
      </c>
      <c r="G28" s="5">
        <v>0.31019999999999998</v>
      </c>
      <c r="H28" s="5">
        <v>0.46400000000000002</v>
      </c>
      <c r="I28" s="5">
        <v>1.0289999999999999</v>
      </c>
      <c r="J28" s="5">
        <v>0.27610000000000001</v>
      </c>
      <c r="K28" s="5">
        <v>0.23280000000000001</v>
      </c>
      <c r="L28" s="5">
        <v>5.8689999999999998</v>
      </c>
      <c r="M28" s="5">
        <v>0.33310000000000001</v>
      </c>
      <c r="N28" s="5">
        <v>2.92E-2</v>
      </c>
      <c r="O28" s="5">
        <v>5.1150000000000002</v>
      </c>
      <c r="P28" s="5">
        <v>4.22</v>
      </c>
      <c r="Q28" s="5">
        <v>1.24E-2</v>
      </c>
      <c r="R28" s="5">
        <v>3.15E-2</v>
      </c>
      <c r="S28" s="5">
        <v>1.853</v>
      </c>
      <c r="T28" s="18" t="str">
        <f t="shared" si="3"/>
        <v>NP020</v>
      </c>
      <c r="U28" s="2">
        <f t="shared" ref="U28:AH28" si="25">IF(OR(F28=0,F28&lt;0.00001,F28&gt;100000),"",IF((IF(F28&gt;F$5,ABS(LOG(((F$5/SUM($F28:$S28))/(F$4/SUM($F$4:$S$4)))*4+2,2)),ABS(LOG(((F28/SUM($F28:$S28))/(F$4/SUM($F$4:$S$4)))*4+2,2)))-3)&gt;15,(IF(F28&gt;F$5,ABS(LOG(((F$5/SUM($F28:$S28))/(F$4/SUM($F$4:$S$4)))*4+2,2)),ABS(LOG(((F28/SUM($F28:$S28))/(F$4/SUM($F$4:$S$4)))*4+2,2)))-3)/7,IF(F28&gt;F$5,ABS(LOG(((F$5/SUM($F28:$S28))/(F$4/SUM($F$4:$S$4)))*4+2,2)),ABS(LOG(((F28/SUM($F28:$S28))/(F$4/SUM($F$4:$S$4)))*4+2,2)))-3))</f>
        <v>9.2593163495808621</v>
      </c>
      <c r="V28" s="2">
        <f t="shared" si="25"/>
        <v>3.1202324072432317</v>
      </c>
      <c r="W28" s="2">
        <f t="shared" si="25"/>
        <v>2.7150725842482784</v>
      </c>
      <c r="X28" s="2">
        <f t="shared" si="25"/>
        <v>-0.91553277850594394</v>
      </c>
      <c r="Y28" s="2">
        <f t="shared" si="25"/>
        <v>1.0903280276223635</v>
      </c>
      <c r="Z28" s="2">
        <f t="shared" si="25"/>
        <v>0.38553106779200741</v>
      </c>
      <c r="AA28" s="2">
        <f t="shared" si="25"/>
        <v>1.5425479988806341</v>
      </c>
      <c r="AB28" s="2">
        <f t="shared" si="25"/>
        <v>0.2102315274687836</v>
      </c>
      <c r="AC28" s="2">
        <f t="shared" si="25"/>
        <v>-0.62707245914278076</v>
      </c>
      <c r="AD28" s="2">
        <f t="shared" si="25"/>
        <v>1.8997292876675189</v>
      </c>
      <c r="AE28" s="2">
        <f t="shared" si="25"/>
        <v>-0.73385791901590602</v>
      </c>
      <c r="AF28" s="2">
        <f t="shared" si="25"/>
        <v>-1.8172602257283996</v>
      </c>
      <c r="AG28" s="2">
        <f t="shared" si="25"/>
        <v>-0.90005753260159516</v>
      </c>
      <c r="AH28" s="2">
        <f t="shared" si="25"/>
        <v>-1.534555325034382</v>
      </c>
      <c r="AI28" s="18" t="str">
        <f t="shared" si="5"/>
        <v>NP020</v>
      </c>
      <c r="AJ28" s="2">
        <f t="shared" si="6"/>
        <v>1</v>
      </c>
    </row>
    <row r="29" spans="1:36" ht="9" customHeight="1" x14ac:dyDescent="0.25">
      <c r="A29" s="17">
        <v>21</v>
      </c>
      <c r="B29" s="2">
        <f t="shared" si="2"/>
        <v>2.8713440934461421</v>
      </c>
      <c r="C29" s="4">
        <v>2</v>
      </c>
      <c r="D29" s="5">
        <v>16.536647369575</v>
      </c>
      <c r="E29" s="61" t="s">
        <v>214</v>
      </c>
      <c r="F29" s="5">
        <v>4.3200000000000001E-3</v>
      </c>
      <c r="G29" s="5">
        <v>0.11459999999999999</v>
      </c>
      <c r="H29" s="5">
        <v>0.15279999999999999</v>
      </c>
      <c r="I29" s="5">
        <v>0.64019999999999999</v>
      </c>
      <c r="J29" s="5">
        <v>2.06E-2</v>
      </c>
      <c r="K29" s="5">
        <v>4.7899999999999998E-2</v>
      </c>
      <c r="L29" s="5">
        <v>1.464</v>
      </c>
      <c r="M29" s="5">
        <v>0.1613</v>
      </c>
      <c r="N29" s="5">
        <v>3.09E-2</v>
      </c>
      <c r="O29" s="5">
        <v>0.94699999999999995</v>
      </c>
      <c r="P29" s="5">
        <v>1.728</v>
      </c>
      <c r="Q29" s="5">
        <v>3.9100000000000003E-3</v>
      </c>
      <c r="R29" s="5">
        <v>2.1000000000000001E-2</v>
      </c>
      <c r="S29" s="5">
        <v>2.2869999999999999</v>
      </c>
      <c r="T29" s="18" t="str">
        <f t="shared" si="3"/>
        <v>NP021</v>
      </c>
      <c r="U29" s="2">
        <f t="shared" ref="U29:AH29" si="26">IF(OR(F29=0,F29&lt;0.00001,F29&gt;100000),"",IF((IF(F29&gt;F$5,ABS(LOG(((F$5/SUM($F29:$S29))/(F$4/SUM($F$4:$S$4)))*4+2,2)),ABS(LOG(((F29/SUM($F29:$S29))/(F$4/SUM($F$4:$S$4)))*4+2,2)))-3)&gt;15,(IF(F29&gt;F$5,ABS(LOG(((F$5/SUM($F29:$S29))/(F$4/SUM($F$4:$S$4)))*4+2,2)),ABS(LOG(((F29/SUM($F29:$S29))/(F$4/SUM($F$4:$S$4)))*4+2,2)))-3)/7,IF(F29&gt;F$5,ABS(LOG(((F$5/SUM($F29:$S29))/(F$4/SUM($F$4:$S$4)))*4+2,2)),ABS(LOG(((F29/SUM($F29:$S29))/(F$4/SUM($F$4:$S$4)))*4+2,2)))-3))</f>
        <v>8.2558953105650481</v>
      </c>
      <c r="V29" s="2">
        <f t="shared" si="26"/>
        <v>3.0622036702052942</v>
      </c>
      <c r="W29" s="2">
        <f t="shared" si="26"/>
        <v>2.4986720361607615</v>
      </c>
      <c r="X29" s="2">
        <f t="shared" si="26"/>
        <v>-0.50915138658889436</v>
      </c>
      <c r="Y29" s="2">
        <f t="shared" si="26"/>
        <v>-0.70341587898500713</v>
      </c>
      <c r="Z29" s="2">
        <f t="shared" si="26"/>
        <v>-0.29612074823472589</v>
      </c>
      <c r="AA29" s="2">
        <f t="shared" si="26"/>
        <v>0.98195066793653929</v>
      </c>
      <c r="AB29" s="2">
        <f t="shared" si="26"/>
        <v>0.47552781436601066</v>
      </c>
      <c r="AC29" s="2">
        <f t="shared" si="26"/>
        <v>0.42476014120108863</v>
      </c>
      <c r="AD29" s="2">
        <f t="shared" si="26"/>
        <v>0.94401512083745232</v>
      </c>
      <c r="AE29" s="2">
        <f t="shared" si="26"/>
        <v>-0.63462579314047796</v>
      </c>
      <c r="AF29" s="2">
        <f t="shared" si="26"/>
        <v>-1.848688923034072</v>
      </c>
      <c r="AG29" s="2">
        <f t="shared" si="26"/>
        <v>-0.42485122719164359</v>
      </c>
      <c r="AH29" s="2">
        <f t="shared" si="26"/>
        <v>-0.84921483347139226</v>
      </c>
      <c r="AI29" s="18" t="str">
        <f t="shared" si="5"/>
        <v>NP021</v>
      </c>
      <c r="AJ29" s="2">
        <f t="shared" si="6"/>
        <v>1</v>
      </c>
    </row>
    <row r="30" spans="1:36" ht="9" customHeight="1" x14ac:dyDescent="0.25">
      <c r="A30" s="17">
        <v>22</v>
      </c>
      <c r="B30" s="2">
        <f t="shared" si="2"/>
        <v>4.8263827523859346</v>
      </c>
      <c r="C30" s="4">
        <v>2</v>
      </c>
      <c r="D30" s="5">
        <v>14.323940900312399</v>
      </c>
      <c r="E30" s="61" t="s">
        <v>215</v>
      </c>
      <c r="F30" s="5">
        <v>6.5300000000000002E-3</v>
      </c>
      <c r="G30" s="5">
        <v>0.1658</v>
      </c>
      <c r="H30" s="5">
        <v>8.6900000000000005E-2</v>
      </c>
      <c r="I30" s="5">
        <v>0.53879999999999995</v>
      </c>
      <c r="J30" s="5">
        <v>0.4637</v>
      </c>
      <c r="K30" s="5">
        <v>0.15870000000000001</v>
      </c>
      <c r="L30" s="5">
        <v>2.93</v>
      </c>
      <c r="M30" s="5">
        <v>0.24679999999999999</v>
      </c>
      <c r="N30" s="5">
        <v>2.6160000000000001</v>
      </c>
      <c r="O30" s="5">
        <v>4.4779999999999998</v>
      </c>
      <c r="P30" s="5">
        <v>0.88900000000000001</v>
      </c>
      <c r="Q30" s="5">
        <v>3.9E-2</v>
      </c>
      <c r="R30" s="5">
        <v>2.63E-3</v>
      </c>
      <c r="S30" s="5">
        <v>1.5269999999999999</v>
      </c>
      <c r="T30" s="18" t="str">
        <f t="shared" si="3"/>
        <v>NP027</v>
      </c>
      <c r="U30" s="2">
        <f t="shared" ref="U30:AH30" si="27">IF(OR(F30=0,F30&lt;0.00001,F30&gt;100000),"",IF((IF(F30&gt;F$5,ABS(LOG(((F$5/SUM($F30:$S30))/(F$4/SUM($F$4:$S$4)))*4+2,2)),ABS(LOG(((F30/SUM($F30:$S30))/(F$4/SUM($F$4:$S$4)))*4+2,2)))-3)&gt;15,(IF(F30&gt;F$5,ABS(LOG(((F$5/SUM($F30:$S30))/(F$4/SUM($F$4:$S$4)))*4+2,2)),ABS(LOG(((F30/SUM($F30:$S30))/(F$4/SUM($F$4:$S$4)))*4+2,2)))-3)/7,IF(F30&gt;F$5,ABS(LOG(((F$5/SUM($F30:$S30))/(F$4/SUM($F$4:$S$4)))*4+2,2)),ABS(LOG(((F30/SUM($F30:$S30))/(F$4/SUM($F$4:$S$4)))*4+2,2)))-3))</f>
        <v>7.9600610380650387</v>
      </c>
      <c r="V30" s="2">
        <f t="shared" si="27"/>
        <v>2.7150470992788902</v>
      </c>
      <c r="W30" s="2">
        <f t="shared" si="27"/>
        <v>0.92996271901337613</v>
      </c>
      <c r="X30" s="2">
        <f t="shared" si="27"/>
        <v>-1.1352508955830043</v>
      </c>
      <c r="Y30" s="2">
        <f t="shared" si="27"/>
        <v>2.2222358513384028</v>
      </c>
      <c r="Z30" s="2">
        <f t="shared" si="27"/>
        <v>0.33068705929994335</v>
      </c>
      <c r="AA30" s="2">
        <f t="shared" si="27"/>
        <v>1.077451335731741</v>
      </c>
      <c r="AB30" s="2">
        <f t="shared" si="27"/>
        <v>0.25118467556251645</v>
      </c>
      <c r="AC30" s="2">
        <f t="shared" si="27"/>
        <v>4.2703412027696563</v>
      </c>
      <c r="AD30" s="2">
        <f t="shared" si="27"/>
        <v>2.1746405752712246</v>
      </c>
      <c r="AE30" s="2">
        <f t="shared" si="27"/>
        <v>-1.4769537374271646</v>
      </c>
      <c r="AF30" s="2">
        <f t="shared" si="27"/>
        <v>-1.3270934820939531</v>
      </c>
      <c r="AG30" s="2">
        <f t="shared" si="27"/>
        <v>-1.8191056616292287</v>
      </c>
      <c r="AH30" s="2">
        <f t="shared" si="27"/>
        <v>-1.4749066961246788</v>
      </c>
      <c r="AI30" s="18" t="str">
        <f t="shared" si="5"/>
        <v>NP027</v>
      </c>
      <c r="AJ30" s="2">
        <f t="shared" si="6"/>
        <v>1</v>
      </c>
    </row>
    <row r="31" spans="1:36" ht="9" customHeight="1" x14ac:dyDescent="0.25">
      <c r="A31" s="17">
        <v>23</v>
      </c>
      <c r="B31" s="2">
        <f t="shared" si="2"/>
        <v>4.7382021277533202</v>
      </c>
      <c r="C31" s="4">
        <v>2</v>
      </c>
      <c r="D31" s="5">
        <v>16.2862437423735</v>
      </c>
      <c r="E31" s="61" t="s">
        <v>216</v>
      </c>
      <c r="F31" s="5">
        <v>3.2099999999999997E-2</v>
      </c>
      <c r="G31" s="5">
        <v>0.35010000000000002</v>
      </c>
      <c r="H31" s="5">
        <v>1.0549999999999999</v>
      </c>
      <c r="I31" s="5">
        <v>1.26</v>
      </c>
      <c r="J31" s="5">
        <v>0.41220000000000001</v>
      </c>
      <c r="K31" s="5">
        <v>0.65149999999999997</v>
      </c>
      <c r="L31" s="5">
        <v>10.9</v>
      </c>
      <c r="M31" s="5">
        <v>1.163</v>
      </c>
      <c r="N31" s="5">
        <v>0.16220000000000001</v>
      </c>
      <c r="O31" s="5">
        <v>7.5339999999999998</v>
      </c>
      <c r="P31" s="5">
        <v>1.2150000000000001</v>
      </c>
      <c r="Q31" s="5">
        <v>1.41E-2</v>
      </c>
      <c r="R31" s="5">
        <v>1.1299999999999999E-2</v>
      </c>
      <c r="S31" s="5">
        <v>9.0820000000000007</v>
      </c>
      <c r="T31" s="18" t="str">
        <f t="shared" si="3"/>
        <v>NP028</v>
      </c>
      <c r="U31" s="2">
        <f t="shared" ref="U31:AH31" si="28">IF(OR(F31=0,F31&lt;0.00001,F31&gt;100000),"",IF((IF(F31&gt;F$5,ABS(LOG(((F$5/SUM($F31:$S31))/(F$4/SUM($F$4:$S$4)))*4+2,2)),ABS(LOG(((F31/SUM($F31:$S31))/(F$4/SUM($F$4:$S$4)))*4+2,2)))-3)&gt;15,(IF(F31&gt;F$5,ABS(LOG(((F$5/SUM($F31:$S31))/(F$4/SUM($F$4:$S$4)))*4+2,2)),ABS(LOG(((F31/SUM($F31:$S31))/(F$4/SUM($F$4:$S$4)))*4+2,2)))-3)/7,IF(F31&gt;F$5,ABS(LOG(((F$5/SUM($F31:$S31))/(F$4/SUM($F$4:$S$4)))*4+2,2)),ABS(LOG(((F31/SUM($F31:$S31))/(F$4/SUM($F$4:$S$4)))*4+2,2)))-3))</f>
        <v>8.9985852562510846</v>
      </c>
      <c r="V31" s="2">
        <f t="shared" si="28"/>
        <v>2.5424932260591095</v>
      </c>
      <c r="W31" s="2">
        <f t="shared" si="28"/>
        <v>3.0379737757819676</v>
      </c>
      <c r="X31" s="2">
        <f t="shared" si="28"/>
        <v>-1.1498347497437287</v>
      </c>
      <c r="Y31" s="2">
        <f t="shared" si="28"/>
        <v>0.91934004637724431</v>
      </c>
      <c r="Z31" s="2">
        <f t="shared" si="28"/>
        <v>0.39152828719776123</v>
      </c>
      <c r="AA31" s="2">
        <f t="shared" si="28"/>
        <v>1.5382678201323765</v>
      </c>
      <c r="AB31" s="2">
        <f t="shared" si="28"/>
        <v>1.0719542701054126</v>
      </c>
      <c r="AC31" s="2">
        <f t="shared" si="28"/>
        <v>0.62448288414823416</v>
      </c>
      <c r="AD31" s="2">
        <f t="shared" si="28"/>
        <v>1.7003511004419494</v>
      </c>
      <c r="AE31" s="2">
        <f t="shared" si="28"/>
        <v>-1.6784296339511968</v>
      </c>
      <c r="AF31" s="2">
        <f t="shared" si="28"/>
        <v>-1.8759011519088513</v>
      </c>
      <c r="AG31" s="2">
        <f t="shared" si="28"/>
        <v>-1.6897031675006848</v>
      </c>
      <c r="AH31" s="2">
        <f t="shared" si="28"/>
        <v>-0.93534305374503512</v>
      </c>
      <c r="AI31" s="18" t="str">
        <f t="shared" si="5"/>
        <v>NP028</v>
      </c>
      <c r="AJ31" s="2">
        <f t="shared" si="6"/>
        <v>1</v>
      </c>
    </row>
    <row r="32" spans="1:36" ht="9" customHeight="1" x14ac:dyDescent="0.25">
      <c r="A32" s="17">
        <v>24</v>
      </c>
      <c r="B32" s="2">
        <f t="shared" si="2"/>
        <v>4.8333592950087807</v>
      </c>
      <c r="C32" s="4">
        <v>2</v>
      </c>
      <c r="D32" s="5">
        <v>18.372093765490298</v>
      </c>
      <c r="E32" s="61" t="s">
        <v>217</v>
      </c>
      <c r="F32" s="5">
        <v>4.0600000000000002E-3</v>
      </c>
      <c r="G32" s="5">
        <v>4.87E-2</v>
      </c>
      <c r="H32" s="5">
        <v>4.5600000000000002E-2</v>
      </c>
      <c r="I32" s="5">
        <v>1.3839999999999999</v>
      </c>
      <c r="J32" s="5">
        <v>6.8900000000000003E-2</v>
      </c>
      <c r="K32" s="5">
        <v>6.6000000000000003E-2</v>
      </c>
      <c r="L32" s="5">
        <v>0.44840000000000002</v>
      </c>
      <c r="M32" s="5">
        <v>0.10589999999999999</v>
      </c>
      <c r="N32" s="5">
        <v>5.7399999999999997E-4</v>
      </c>
      <c r="O32" s="5">
        <v>0.59060000000000001</v>
      </c>
      <c r="P32" s="5">
        <v>0.93330000000000002</v>
      </c>
      <c r="Q32" s="5">
        <v>2.9600000000000001E-2</v>
      </c>
      <c r="R32" s="5">
        <v>8.8099999999999998E-2</v>
      </c>
      <c r="S32" s="5">
        <v>0.90129999999999999</v>
      </c>
      <c r="T32" s="18" t="str">
        <f t="shared" si="3"/>
        <v>NP030</v>
      </c>
      <c r="U32" s="2">
        <f t="shared" ref="U32:AH32" si="29">IF(OR(F32=0,F32&lt;0.00001,F32&gt;100000),"",IF((IF(F32&gt;F$5,ABS(LOG(((F$5/SUM($F32:$S32))/(F$4/SUM($F$4:$S$4)))*4+2,2)),ABS(LOG(((F32/SUM($F32:$S32))/(F$4/SUM($F$4:$S$4)))*4+2,2)))-3)&gt;15,(IF(F32&gt;F$5,ABS(LOG(((F$5/SUM($F32:$S32))/(F$4/SUM($F$4:$S$4)))*4+2,2)),ABS(LOG(((F32/SUM($F32:$S32))/(F$4/SUM($F$4:$S$4)))*4+2,2)))-3)/7,IF(F32&gt;F$5,ABS(LOG(((F$5/SUM($F32:$S32))/(F$4/SUM($F$4:$S$4)))*4+2,2)),ABS(LOG(((F32/SUM($F32:$S32))/(F$4/SUM($F$4:$S$4)))*4+2,2)))-3))</f>
        <v>8.859131258070148</v>
      </c>
      <c r="V32" s="2">
        <f t="shared" si="29"/>
        <v>2.5403137058754428</v>
      </c>
      <c r="W32" s="2">
        <f t="shared" si="29"/>
        <v>1.5141923226654077</v>
      </c>
      <c r="X32" s="2">
        <f t="shared" si="29"/>
        <v>0.87351689390368703</v>
      </c>
      <c r="Y32" s="2">
        <f t="shared" si="29"/>
        <v>1.149962294524661</v>
      </c>
      <c r="Z32" s="2">
        <f t="shared" si="29"/>
        <v>0.59212760599517544</v>
      </c>
      <c r="AA32" s="2">
        <f t="shared" si="29"/>
        <v>0.14315345084850994</v>
      </c>
      <c r="AB32" s="2">
        <f t="shared" si="29"/>
        <v>0.5465601164437035</v>
      </c>
      <c r="AC32" s="2">
        <f t="shared" si="29"/>
        <v>-1.8221026664603919</v>
      </c>
      <c r="AD32" s="2">
        <f t="shared" si="29"/>
        <v>0.95446830993335041</v>
      </c>
      <c r="AE32" s="2">
        <f t="shared" si="29"/>
        <v>-0.75106984171028301</v>
      </c>
      <c r="AF32" s="2">
        <f t="shared" si="29"/>
        <v>-0.7651963851628425</v>
      </c>
      <c r="AG32" s="2">
        <f t="shared" si="29"/>
        <v>1.3427287508456152</v>
      </c>
      <c r="AH32" s="2">
        <f t="shared" si="29"/>
        <v>-1.1700669819371547</v>
      </c>
      <c r="AI32" s="18" t="str">
        <f t="shared" si="5"/>
        <v>NP030</v>
      </c>
      <c r="AJ32" s="2">
        <f t="shared" si="6"/>
        <v>1</v>
      </c>
    </row>
    <row r="33" spans="1:36" ht="9" customHeight="1" x14ac:dyDescent="0.25">
      <c r="A33" s="17">
        <v>25</v>
      </c>
      <c r="B33" s="2">
        <f t="shared" si="2"/>
        <v>5.915218696322979E-2</v>
      </c>
      <c r="C33" s="4">
        <v>2</v>
      </c>
      <c r="D33" s="5">
        <v>21.883063381611802</v>
      </c>
      <c r="E33" s="61" t="s">
        <v>218</v>
      </c>
      <c r="F33" s="5"/>
      <c r="G33" s="5">
        <v>1.84E-2</v>
      </c>
      <c r="H33" s="5">
        <v>8.7400000000000005E-2</v>
      </c>
      <c r="I33" s="5">
        <v>0.62180000000000002</v>
      </c>
      <c r="J33" s="5"/>
      <c r="K33" s="5">
        <v>1.72E-2</v>
      </c>
      <c r="L33" s="5">
        <v>3.5099999999999999E-2</v>
      </c>
      <c r="M33" s="5">
        <v>3.4200000000000001E-2</v>
      </c>
      <c r="N33" s="5">
        <v>5.9700000000000003E-2</v>
      </c>
      <c r="O33" s="5">
        <v>0.75960000000000005</v>
      </c>
      <c r="P33" s="5">
        <v>0.30520000000000003</v>
      </c>
      <c r="Q33" s="5"/>
      <c r="R33" s="5">
        <v>9.6699999999999994E-2</v>
      </c>
      <c r="S33" s="5">
        <v>2.8359999999999999</v>
      </c>
      <c r="T33" s="18" t="str">
        <f t="shared" si="3"/>
        <v>NP032</v>
      </c>
      <c r="U33" s="2" t="str">
        <f t="shared" ref="U33:AH33" si="30">IF(OR(F33=0,F33&lt;0.00001,F33&gt;100000),"",IF((IF(F33&gt;F$5,ABS(LOG(((F$5/SUM($F33:$S33))/(F$4/SUM($F$4:$S$4)))*4+2,2)),ABS(LOG(((F33/SUM($F33:$S33))/(F$4/SUM($F$4:$S$4)))*4+2,2)))-3)&gt;15,(IF(F33&gt;F$5,ABS(LOG(((F$5/SUM($F33:$S33))/(F$4/SUM($F$4:$S$4)))*4+2,2)),ABS(LOG(((F33/SUM($F33:$S33))/(F$4/SUM($F$4:$S$4)))*4+2,2)))-3)/7,IF(F33&gt;F$5,ABS(LOG(((F$5/SUM($F33:$S33))/(F$4/SUM($F$4:$S$4)))*4+2,2)),ABS(LOG(((F33/SUM($F33:$S33))/(F$4/SUM($F$4:$S$4)))*4+2,2)))-3))</f>
        <v/>
      </c>
      <c r="V33" s="2">
        <f t="shared" si="30"/>
        <v>1.1927790740196871</v>
      </c>
      <c r="W33" s="2">
        <f t="shared" si="30"/>
        <v>2.3463401638370422</v>
      </c>
      <c r="X33" s="2">
        <f t="shared" si="30"/>
        <v>-9.2324161478400502E-2</v>
      </c>
      <c r="Y33" s="2" t="str">
        <f t="shared" si="30"/>
        <v/>
      </c>
      <c r="Z33" s="2">
        <f t="shared" si="30"/>
        <v>-0.81809228034028436</v>
      </c>
      <c r="AA33" s="2">
        <f t="shared" si="30"/>
        <v>-1.6678171153843515</v>
      </c>
      <c r="AB33" s="2">
        <f t="shared" si="30"/>
        <v>-0.67020636749413898</v>
      </c>
      <c r="AC33" s="2">
        <f t="shared" si="30"/>
        <v>1.8289760896959706</v>
      </c>
      <c r="AD33" s="2">
        <f t="shared" si="30"/>
        <v>1.2334027982386422</v>
      </c>
      <c r="AE33" s="2">
        <f t="shared" si="30"/>
        <v>-1.4782057999736893</v>
      </c>
      <c r="AF33" s="2" t="str">
        <f t="shared" si="30"/>
        <v/>
      </c>
      <c r="AG33" s="2">
        <f t="shared" si="30"/>
        <v>1.3003953564265505</v>
      </c>
      <c r="AH33" s="2">
        <f t="shared" si="30"/>
        <v>-0.24798420824945211</v>
      </c>
      <c r="AI33" s="18" t="str">
        <f t="shared" si="5"/>
        <v>NP032</v>
      </c>
      <c r="AJ33" s="2">
        <f t="shared" si="6"/>
        <v>1</v>
      </c>
    </row>
    <row r="34" spans="1:36" ht="9" customHeight="1" x14ac:dyDescent="0.25">
      <c r="A34" s="17">
        <v>26</v>
      </c>
      <c r="B34" s="2">
        <f t="shared" si="2"/>
        <v>5.0333119043473697</v>
      </c>
      <c r="C34" s="4">
        <v>2</v>
      </c>
      <c r="D34" s="5">
        <v>14.9167873090047</v>
      </c>
      <c r="E34" s="61" t="s">
        <v>219</v>
      </c>
      <c r="F34" s="5">
        <v>3.44E-2</v>
      </c>
      <c r="G34" s="5">
        <v>7.6499999999999999E-2</v>
      </c>
      <c r="H34" s="5">
        <v>0.15490000000000001</v>
      </c>
      <c r="I34" s="5">
        <v>0.39510000000000001</v>
      </c>
      <c r="J34" s="5">
        <v>6.1199999999999997E-2</v>
      </c>
      <c r="K34" s="5">
        <v>0.111</v>
      </c>
      <c r="L34" s="5">
        <v>1.9870000000000001</v>
      </c>
      <c r="M34" s="5">
        <v>8.8300000000000003E-2</v>
      </c>
      <c r="N34" s="5">
        <v>1.7600000000000001E-2</v>
      </c>
      <c r="O34" s="5">
        <v>1.784</v>
      </c>
      <c r="P34" s="5">
        <v>1.802</v>
      </c>
      <c r="Q34" s="5">
        <v>5.7999999999999996E-3</v>
      </c>
      <c r="R34" s="5">
        <v>8.2500000000000004E-3</v>
      </c>
      <c r="S34" s="5">
        <v>1.6830000000000001</v>
      </c>
      <c r="T34" s="18" t="str">
        <f t="shared" si="3"/>
        <v>NP041</v>
      </c>
      <c r="U34" s="2">
        <f t="shared" ref="U34:AH34" si="31">IF(OR(F34=0,F34&lt;0.00001,F34&gt;100000),"",IF((IF(F34&gt;F$5,ABS(LOG(((F$5/SUM($F34:$S34))/(F$4/SUM($F$4:$S$4)))*4+2,2)),ABS(LOG(((F34/SUM($F34:$S34))/(F$4/SUM($F$4:$S$4)))*4+2,2)))-3)&gt;15,(IF(F34&gt;F$5,ABS(LOG(((F$5/SUM($F34:$S34))/(F$4/SUM($F$4:$S$4)))*4+2,2)),ABS(LOG(((F34/SUM($F34:$S34))/(F$4/SUM($F$4:$S$4)))*4+2,2)))-3)/7,IF(F34&gt;F$5,ABS(LOG(((F$5/SUM($F34:$S34))/(F$4/SUM($F$4:$S$4)))*4+2,2)),ABS(LOG(((F34/SUM($F34:$S34))/(F$4/SUM($F$4:$S$4)))*4+2,2)))-3))</f>
        <v>11.141423861033596</v>
      </c>
      <c r="V34" s="2">
        <f t="shared" si="31"/>
        <v>2.3986066688034091</v>
      </c>
      <c r="W34" s="2">
        <f t="shared" si="31"/>
        <v>2.4155729116765468</v>
      </c>
      <c r="X34" s="2">
        <f t="shared" si="31"/>
        <v>-0.9730727610115828</v>
      </c>
      <c r="Y34" s="2">
        <f t="shared" si="31"/>
        <v>0.32721290216192012</v>
      </c>
      <c r="Z34" s="2">
        <f t="shared" si="31"/>
        <v>0.5506023480772777</v>
      </c>
      <c r="AA34" s="2">
        <f t="shared" si="31"/>
        <v>1.2776380101352052</v>
      </c>
      <c r="AB34" s="2">
        <f t="shared" si="31"/>
        <v>-0.26921373825039208</v>
      </c>
      <c r="AC34" s="2">
        <f t="shared" si="31"/>
        <v>-0.27264259596325502</v>
      </c>
      <c r="AD34" s="2">
        <f t="shared" si="31"/>
        <v>1.6683029257540074</v>
      </c>
      <c r="AE34" s="2">
        <f t="shared" si="31"/>
        <v>-0.66275435944135852</v>
      </c>
      <c r="AF34" s="2">
        <f t="shared" si="31"/>
        <v>-1.7954465929675274</v>
      </c>
      <c r="AG34" s="2">
        <f t="shared" si="31"/>
        <v>-1.2157034691116348</v>
      </c>
      <c r="AH34" s="2">
        <f t="shared" si="31"/>
        <v>-1.1250086961439947</v>
      </c>
      <c r="AI34" s="18" t="str">
        <f t="shared" si="5"/>
        <v>NP041</v>
      </c>
      <c r="AJ34" s="2">
        <f t="shared" si="6"/>
        <v>1</v>
      </c>
    </row>
    <row r="35" spans="1:36" ht="9" customHeight="1" x14ac:dyDescent="0.25">
      <c r="A35" s="17">
        <v>27</v>
      </c>
      <c r="B35" s="2">
        <f t="shared" si="2"/>
        <v>6.3901489074072115</v>
      </c>
      <c r="C35" s="4">
        <v>2</v>
      </c>
      <c r="D35" s="5">
        <v>15.162930351908599</v>
      </c>
      <c r="E35" s="61" t="s">
        <v>220</v>
      </c>
      <c r="F35" s="5">
        <v>2.2499999999999999E-2</v>
      </c>
      <c r="G35" s="5">
        <v>0.45269999999999999</v>
      </c>
      <c r="H35" s="5">
        <v>0.29299999999999998</v>
      </c>
      <c r="I35" s="5">
        <v>0.85509999999999997</v>
      </c>
      <c r="J35" s="5">
        <v>1.016</v>
      </c>
      <c r="K35" s="5">
        <v>0.3856</v>
      </c>
      <c r="L35" s="5">
        <v>7.9039999999999999</v>
      </c>
      <c r="M35" s="5">
        <v>0.49170000000000003</v>
      </c>
      <c r="N35" s="5">
        <v>1.2350000000000001</v>
      </c>
      <c r="O35" s="5">
        <v>2.4750000000000001</v>
      </c>
      <c r="P35" s="5">
        <v>0.87029999999999996</v>
      </c>
      <c r="Q35" s="5">
        <v>0.17860000000000001</v>
      </c>
      <c r="R35" s="5">
        <v>5.1599999999999997E-3</v>
      </c>
      <c r="S35" s="5">
        <v>2.4260000000000002</v>
      </c>
      <c r="T35" s="18" t="str">
        <f t="shared" si="3"/>
        <v>NP056</v>
      </c>
      <c r="U35" s="2">
        <f t="shared" ref="U35:AH35" si="32">IF(OR(F35=0,F35&lt;0.00001,F35&gt;100000),"",IF((IF(F35&gt;F$5,ABS(LOG(((F$5/SUM($F35:$S35))/(F$4/SUM($F$4:$S$4)))*4+2,2)),ABS(LOG(((F35/SUM($F35:$S35))/(F$4/SUM($F$4:$S$4)))*4+2,2)))-3)&gt;15,(IF(F35&gt;F$5,ABS(LOG(((F$5/SUM($F35:$S35))/(F$4/SUM($F$4:$S$4)))*4+2,2)),ABS(LOG(((F35/SUM($F35:$S35))/(F$4/SUM($F$4:$S$4)))*4+2,2)))-3)/7,IF(F35&gt;F$5,ABS(LOG(((F$5/SUM($F35:$S35))/(F$4/SUM($F$4:$S$4)))*4+2,2)),ABS(LOG(((F35/SUM($F35:$S35))/(F$4/SUM($F$4:$S$4)))*4+2,2)))-3))</f>
        <v>9.3484919604176007</v>
      </c>
      <c r="V35" s="2">
        <f t="shared" si="32"/>
        <v>3.7399628329853032</v>
      </c>
      <c r="W35" s="2">
        <f t="shared" si="32"/>
        <v>2.1676539210997925</v>
      </c>
      <c r="X35" s="2">
        <f t="shared" si="32"/>
        <v>-1.0067867869165881</v>
      </c>
      <c r="Y35" s="2">
        <f t="shared" si="32"/>
        <v>2.9050583110177284</v>
      </c>
      <c r="Z35" s="2">
        <f t="shared" si="32"/>
        <v>1.078122190297587</v>
      </c>
      <c r="AA35" s="2">
        <f t="shared" si="32"/>
        <v>2.0233443044271873</v>
      </c>
      <c r="AB35" s="2">
        <f t="shared" si="32"/>
        <v>0.74334929646860859</v>
      </c>
      <c r="AC35" s="2">
        <f t="shared" si="32"/>
        <v>3.8807796890359674</v>
      </c>
      <c r="AD35" s="2">
        <f t="shared" si="32"/>
        <v>1.0299962752413263</v>
      </c>
      <c r="AE35" s="2">
        <f t="shared" si="32"/>
        <v>-1.593753909905042</v>
      </c>
      <c r="AF35" s="2">
        <f t="shared" si="32"/>
        <v>-0.88998633618770251</v>
      </c>
      <c r="AG35" s="2">
        <f t="shared" si="32"/>
        <v>-1.737857900976969</v>
      </c>
      <c r="AH35" s="2">
        <f t="shared" si="32"/>
        <v>-1.3862077286978751</v>
      </c>
      <c r="AI35" s="18" t="str">
        <f t="shared" si="5"/>
        <v>NP056</v>
      </c>
      <c r="AJ35" s="2">
        <f t="shared" si="6"/>
        <v>1</v>
      </c>
    </row>
    <row r="36" spans="1:36" ht="9" customHeight="1" x14ac:dyDescent="0.25">
      <c r="A36" s="17">
        <v>28</v>
      </c>
      <c r="B36" s="2">
        <f t="shared" si="2"/>
        <v>2.5473217157302597</v>
      </c>
      <c r="C36" s="4">
        <v>2</v>
      </c>
      <c r="D36" s="5">
        <v>16.5684578678616</v>
      </c>
      <c r="E36" s="61" t="s">
        <v>221</v>
      </c>
      <c r="F36" s="5">
        <v>1.5900000000000001E-2</v>
      </c>
      <c r="G36" s="5">
        <v>0.45090000000000002</v>
      </c>
      <c r="H36" s="5">
        <v>0.5232</v>
      </c>
      <c r="I36" s="5">
        <v>1.629</v>
      </c>
      <c r="J36" s="5">
        <v>0.109</v>
      </c>
      <c r="K36" s="5">
        <v>0.52780000000000005</v>
      </c>
      <c r="L36" s="5">
        <v>5.5220000000000002</v>
      </c>
      <c r="M36" s="5">
        <v>0.60560000000000003</v>
      </c>
      <c r="N36" s="5">
        <v>3.56E-2</v>
      </c>
      <c r="O36" s="5">
        <v>13.67</v>
      </c>
      <c r="P36" s="5">
        <v>0.97450000000000003</v>
      </c>
      <c r="Q36" s="5">
        <v>6.7799999999999996E-3</v>
      </c>
      <c r="R36" s="5">
        <v>7.9299999999999995E-3</v>
      </c>
      <c r="S36" s="5">
        <v>2.9430000000000001</v>
      </c>
      <c r="T36" s="18" t="str">
        <f t="shared" si="3"/>
        <v>NP059</v>
      </c>
      <c r="U36" s="2">
        <f t="shared" ref="U36:AH36" si="33">IF(OR(F36=0,F36&lt;0.00001,F36&gt;100000),"",IF((IF(F36&gt;F$5,ABS(LOG(((F$5/SUM($F36:$S36))/(F$4/SUM($F$4:$S$4)))*4+2,2)),ABS(LOG(((F36/SUM($F36:$S36))/(F$4/SUM($F$4:$S$4)))*4+2,2)))-3)&gt;15,(IF(F36&gt;F$5,ABS(LOG(((F$5/SUM($F36:$S36))/(F$4/SUM($F$4:$S$4)))*4+2,2)),ABS(LOG(((F36/SUM($F36:$S36))/(F$4/SUM($F$4:$S$4)))*4+2,2)))-3)/7,IF(F36&gt;F$5,ABS(LOG(((F$5/SUM($F36:$S36))/(F$4/SUM($F$4:$S$4)))*4+2,2)),ABS(LOG(((F36/SUM($F36:$S36))/(F$4/SUM($F$4:$S$4)))*4+2,2)))-3))</f>
        <v>8.3102140291845785</v>
      </c>
      <c r="V36" s="2">
        <f t="shared" si="33"/>
        <v>3.2085551640040606</v>
      </c>
      <c r="W36" s="2">
        <f t="shared" si="33"/>
        <v>2.4510704315274694</v>
      </c>
      <c r="X36" s="2">
        <f t="shared" si="33"/>
        <v>-0.79851240147647973</v>
      </c>
      <c r="Y36" s="2">
        <f t="shared" si="33"/>
        <v>-0.33358106924210418</v>
      </c>
      <c r="Z36" s="2">
        <f t="shared" si="33"/>
        <v>0.65976090732147963</v>
      </c>
      <c r="AA36" s="2">
        <f t="shared" si="33"/>
        <v>1.0606129976537959</v>
      </c>
      <c r="AB36" s="2">
        <f t="shared" si="33"/>
        <v>0.54399982323988949</v>
      </c>
      <c r="AC36" s="2">
        <f t="shared" si="33"/>
        <v>-0.72484475759110056</v>
      </c>
      <c r="AD36" s="2">
        <f t="shared" si="33"/>
        <v>2.8210966420657861</v>
      </c>
      <c r="AE36" s="2">
        <f t="shared" si="33"/>
        <v>-1.6771242401685433</v>
      </c>
      <c r="AF36" s="2">
        <f t="shared" si="33"/>
        <v>-1.9239922175313082</v>
      </c>
      <c r="AG36" s="2">
        <f t="shared" si="33"/>
        <v>-1.723908862989568</v>
      </c>
      <c r="AH36" s="2">
        <f t="shared" si="33"/>
        <v>-1.4708725734333692</v>
      </c>
      <c r="AI36" s="18" t="str">
        <f t="shared" si="5"/>
        <v>NP059</v>
      </c>
      <c r="AJ36" s="2">
        <f t="shared" si="6"/>
        <v>1</v>
      </c>
    </row>
    <row r="37" spans="1:36" ht="9" customHeight="1" x14ac:dyDescent="0.25">
      <c r="A37" s="17">
        <v>29</v>
      </c>
      <c r="B37" s="2">
        <f t="shared" si="2"/>
        <v>0.7349460567407724</v>
      </c>
      <c r="C37" s="4">
        <v>2</v>
      </c>
      <c r="D37" s="5">
        <v>17.701546506589299</v>
      </c>
      <c r="E37" s="61" t="s">
        <v>222</v>
      </c>
      <c r="F37" s="5">
        <v>1.6000000000000001E-3</v>
      </c>
      <c r="G37" s="5">
        <v>0.28939999999999999</v>
      </c>
      <c r="H37" s="5">
        <v>0.31480000000000002</v>
      </c>
      <c r="I37" s="5">
        <v>1.006</v>
      </c>
      <c r="J37" s="5">
        <v>0.4889</v>
      </c>
      <c r="K37" s="5">
        <v>0.28239999999999998</v>
      </c>
      <c r="L37" s="5">
        <v>5.9870000000000001</v>
      </c>
      <c r="M37" s="5">
        <v>0.41260000000000002</v>
      </c>
      <c r="N37" s="5">
        <v>5.4800000000000001E-2</v>
      </c>
      <c r="O37" s="5">
        <v>18.149999999999999</v>
      </c>
      <c r="P37" s="5">
        <v>1.762</v>
      </c>
      <c r="Q37" s="5">
        <v>6.7699999999999996E-2</v>
      </c>
      <c r="R37" s="5">
        <v>1.32E-2</v>
      </c>
      <c r="S37" s="5">
        <v>1.097</v>
      </c>
      <c r="T37" s="18" t="str">
        <f t="shared" si="3"/>
        <v>NP065</v>
      </c>
      <c r="U37" s="2">
        <f t="shared" ref="U37:AH37" si="34">IF(OR(F37=0,F37&lt;0.00001,F37&gt;100000),"",IF((IF(F37&gt;F$5,ABS(LOG(((F$5/SUM($F37:$S37))/(F$4/SUM($F$4:$S$4)))*4+2,2)),ABS(LOG(((F37/SUM($F37:$S37))/(F$4/SUM($F$4:$S$4)))*4+2,2)))-3)&gt;15,(IF(F37&gt;F$5,ABS(LOG(((F$5/SUM($F37:$S37))/(F$4/SUM($F$4:$S$4)))*4+2,2)),ABS(LOG(((F37/SUM($F37:$S37))/(F$4/SUM($F$4:$S$4)))*4+2,2)))-3)/7,IF(F37&gt;F$5,ABS(LOG(((F$5/SUM($F37:$S37))/(F$4/SUM($F$4:$S$4)))*4+2,2)),ABS(LOG(((F37/SUM($F37:$S37))/(F$4/SUM($F$4:$S$4)))*4+2,2)))-3))</f>
        <v>4.8612819373251979</v>
      </c>
      <c r="V37" s="2">
        <f t="shared" si="34"/>
        <v>2.4494746417936586</v>
      </c>
      <c r="W37" s="2">
        <f t="shared" si="34"/>
        <v>1.6251845386195365</v>
      </c>
      <c r="X37" s="2">
        <f t="shared" si="34"/>
        <v>-1.2136267991784637</v>
      </c>
      <c r="Y37" s="2">
        <f t="shared" si="34"/>
        <v>1.2935500173941925</v>
      </c>
      <c r="Z37" s="2">
        <f t="shared" si="34"/>
        <v>0.13446185841147651</v>
      </c>
      <c r="AA37" s="2">
        <f t="shared" si="34"/>
        <v>1.033598911300067</v>
      </c>
      <c r="AB37" s="2">
        <f t="shared" si="34"/>
        <v>-9.98377343943746E-3</v>
      </c>
      <c r="AC37" s="2">
        <f t="shared" si="34"/>
        <v>-0.42763154521587055</v>
      </c>
      <c r="AD37" s="2">
        <f t="shared" si="34"/>
        <v>3.07419014422993</v>
      </c>
      <c r="AE37" s="2">
        <f t="shared" si="34"/>
        <v>-1.5048450162180562</v>
      </c>
      <c r="AF37" s="2">
        <f t="shared" si="34"/>
        <v>-1.4268988529551532</v>
      </c>
      <c r="AG37" s="2">
        <f t="shared" si="34"/>
        <v>-1.6027657746416208</v>
      </c>
      <c r="AH37" s="2">
        <f t="shared" si="34"/>
        <v>-1.7994812989033706</v>
      </c>
      <c r="AI37" s="18" t="str">
        <f t="shared" si="5"/>
        <v>NP065</v>
      </c>
      <c r="AJ37" s="2">
        <f t="shared" si="6"/>
        <v>1</v>
      </c>
    </row>
    <row r="38" spans="1:36" ht="9" customHeight="1" x14ac:dyDescent="0.25">
      <c r="A38" s="17">
        <v>30</v>
      </c>
      <c r="B38" s="2">
        <f t="shared" si="2"/>
        <v>7.0758997602274603</v>
      </c>
      <c r="C38" s="4">
        <v>2</v>
      </c>
      <c r="D38" s="5">
        <v>18.572399660675099</v>
      </c>
      <c r="E38" s="61" t="s">
        <v>223</v>
      </c>
      <c r="F38" s="5"/>
      <c r="G38" s="5">
        <v>8.4999999999999995E-4</v>
      </c>
      <c r="H38" s="5">
        <v>2.23E-2</v>
      </c>
      <c r="I38" s="5">
        <v>0.49519999999999997</v>
      </c>
      <c r="J38" s="5">
        <v>2.0550000000000002</v>
      </c>
      <c r="K38" s="5">
        <v>1.3899999999999999E-2</v>
      </c>
      <c r="L38" s="5">
        <v>6.1100000000000002E-2</v>
      </c>
      <c r="M38" s="5">
        <v>1.3599999999999999E-2</v>
      </c>
      <c r="N38" s="5">
        <v>3.8800000000000001E-2</v>
      </c>
      <c r="O38" s="5">
        <v>51</v>
      </c>
      <c r="P38" s="5">
        <v>0.81279999999999997</v>
      </c>
      <c r="Q38" s="5">
        <v>2.6700000000000002E-2</v>
      </c>
      <c r="R38" s="5">
        <v>3.6900000000000002E-2</v>
      </c>
      <c r="S38" s="5">
        <v>2.2480000000000002</v>
      </c>
      <c r="T38" s="18" t="str">
        <f t="shared" si="3"/>
        <v>NP066</v>
      </c>
      <c r="U38" s="2" t="str">
        <f t="shared" ref="U38:AH38" si="35">IF(OR(F38=0,F38&lt;0.00001,F38&gt;100000),"",IF((IF(F38&gt;F$5,ABS(LOG(((F$5/SUM($F38:$S38))/(F$4/SUM($F$4:$S$4)))*4+2,2)),ABS(LOG(((F38/SUM($F38:$S38))/(F$4/SUM($F$4:$S$4)))*4+2,2)))-3)&gt;15,(IF(F38&gt;F$5,ABS(LOG(((F$5/SUM($F38:$S38))/(F$4/SUM($F$4:$S$4)))*4+2,2)),ABS(LOG(((F38/SUM($F38:$S38))/(F$4/SUM($F$4:$S$4)))*4+2,2)))-3)/7,IF(F38&gt;F$5,ABS(LOG(((F$5/SUM($F38:$S38))/(F$4/SUM($F$4:$S$4)))*4+2,2)),ABS(LOG(((F38/SUM($F38:$S38))/(F$4/SUM($F$4:$S$4)))*4+2,2)))-3))</f>
        <v/>
      </c>
      <c r="V38" s="2">
        <f t="shared" si="35"/>
        <v>-1.9542078123726765</v>
      </c>
      <c r="W38" s="2">
        <f t="shared" si="35"/>
        <v>-1.4910218075295685</v>
      </c>
      <c r="X38" s="2">
        <f t="shared" si="35"/>
        <v>-1.7516063515364237</v>
      </c>
      <c r="Y38" s="2">
        <f t="shared" si="35"/>
        <v>1.3902887398247481</v>
      </c>
      <c r="Z38" s="2">
        <f t="shared" si="35"/>
        <v>-1.8784585476272289</v>
      </c>
      <c r="AA38" s="2">
        <f t="shared" si="35"/>
        <v>-1.9453090762803578</v>
      </c>
      <c r="AB38" s="2">
        <f t="shared" si="35"/>
        <v>-1.9274143155527432</v>
      </c>
      <c r="AC38" s="2">
        <f t="shared" si="35"/>
        <v>-1.204187301320083</v>
      </c>
      <c r="AD38" s="2">
        <f t="shared" si="35"/>
        <v>3.597716717767014</v>
      </c>
      <c r="AE38" s="2">
        <f t="shared" si="35"/>
        <v>-1.8631802037983436</v>
      </c>
      <c r="AF38" s="2">
        <f t="shared" si="35"/>
        <v>-1.8607893065957768</v>
      </c>
      <c r="AG38" s="2">
        <f t="shared" si="35"/>
        <v>-1.4474516847719974</v>
      </c>
      <c r="AH38" s="2">
        <f t="shared" si="35"/>
        <v>-1.7847227010007742</v>
      </c>
      <c r="AI38" s="18" t="str">
        <f t="shared" si="5"/>
        <v>NP066</v>
      </c>
      <c r="AJ38" s="2">
        <f t="shared" si="6"/>
        <v>1</v>
      </c>
    </row>
    <row r="39" spans="1:36" ht="9" customHeight="1" x14ac:dyDescent="0.25">
      <c r="A39" s="17">
        <v>31</v>
      </c>
      <c r="B39" s="2">
        <f t="shared" si="2"/>
        <v>5.7606320943428138</v>
      </c>
      <c r="C39" s="4">
        <v>2</v>
      </c>
      <c r="D39" s="5">
        <v>17.7091991165458</v>
      </c>
      <c r="E39" s="61" t="s">
        <v>224</v>
      </c>
      <c r="F39" s="5">
        <v>1.34E-2</v>
      </c>
      <c r="G39" s="5">
        <v>4.9700000000000001E-2</v>
      </c>
      <c r="H39" s="5">
        <v>5.2299999999999999E-2</v>
      </c>
      <c r="I39" s="5">
        <v>0.54339999999999999</v>
      </c>
      <c r="J39" s="5">
        <v>2.8980000000000001</v>
      </c>
      <c r="K39" s="5">
        <v>4.9700000000000001E-2</v>
      </c>
      <c r="L39" s="5">
        <v>0.42809999999999998</v>
      </c>
      <c r="M39" s="5">
        <v>4.8399999999999999E-2</v>
      </c>
      <c r="N39" s="5">
        <v>2.6599999999999999E-2</v>
      </c>
      <c r="O39" s="5">
        <v>101</v>
      </c>
      <c r="P39" s="5">
        <v>0.78639999999999999</v>
      </c>
      <c r="Q39" s="5">
        <v>9.8200000000000006E-3</v>
      </c>
      <c r="R39" s="5">
        <v>2.7799999999999998E-2</v>
      </c>
      <c r="S39" s="5">
        <v>4.7919999999999998</v>
      </c>
      <c r="T39" s="18" t="str">
        <f t="shared" si="3"/>
        <v>NP070</v>
      </c>
      <c r="U39" s="2">
        <f t="shared" ref="U39:AH39" si="36">IF(OR(F39=0,F39&lt;0.00001,F39&gt;100000),"",IF((IF(F39&gt;F$5,ABS(LOG(((F$5/SUM($F39:$S39))/(F$4/SUM($F$4:$S$4)))*4+2,2)),ABS(LOG(((F39/SUM($F39:$S39))/(F$4/SUM($F$4:$S$4)))*4+2,2)))-3)&gt;15,(IF(F39&gt;F$5,ABS(LOG(((F$5/SUM($F39:$S39))/(F$4/SUM($F$4:$S$4)))*4+2,2)),ABS(LOG(((F39/SUM($F39:$S39))/(F$4/SUM($F$4:$S$4)))*4+2,2)))-3)/7,IF(F39&gt;F$5,ABS(LOG(((F$5/SUM($F39:$S39))/(F$4/SUM($F$4:$S$4)))*4+2,2)),ABS(LOG(((F39/SUM($F39:$S39))/(F$4/SUM($F$4:$S$4)))*4+2,2)))-3))</f>
        <v>6.0329773440757748</v>
      </c>
      <c r="V39" s="2">
        <f t="shared" si="36"/>
        <v>-1.0234624584437173</v>
      </c>
      <c r="W39" s="2">
        <f t="shared" si="36"/>
        <v>-1.4062335499456431</v>
      </c>
      <c r="X39" s="2">
        <f t="shared" si="36"/>
        <v>-1.8548983970383772</v>
      </c>
      <c r="Y39" s="2">
        <f t="shared" si="36"/>
        <v>0.55284262942236806</v>
      </c>
      <c r="Z39" s="2">
        <f t="shared" si="36"/>
        <v>-1.7842722933085402</v>
      </c>
      <c r="AA39" s="2">
        <f t="shared" si="36"/>
        <v>-1.8123213331690993</v>
      </c>
      <c r="AB39" s="2">
        <f t="shared" si="36"/>
        <v>-1.8700676181701896</v>
      </c>
      <c r="AC39" s="2">
        <f t="shared" si="36"/>
        <v>-1.6677538923063604</v>
      </c>
      <c r="AD39" s="2">
        <f t="shared" si="36"/>
        <v>2.663314235414834</v>
      </c>
      <c r="AE39" s="2">
        <f t="shared" si="36"/>
        <v>-1.9304422007426369</v>
      </c>
      <c r="AF39" s="2">
        <f t="shared" si="36"/>
        <v>-1.9726745275049957</v>
      </c>
      <c r="AG39" s="2">
        <f t="shared" si="36"/>
        <v>-1.7606794700012116</v>
      </c>
      <c r="AH39" s="2">
        <f t="shared" si="36"/>
        <v>-1.766047643724588</v>
      </c>
      <c r="AI39" s="18" t="str">
        <f t="shared" si="5"/>
        <v>NP070</v>
      </c>
      <c r="AJ39" s="2">
        <f t="shared" si="6"/>
        <v>1</v>
      </c>
    </row>
    <row r="40" spans="1:36" ht="9" customHeight="1" x14ac:dyDescent="0.25">
      <c r="A40" s="17">
        <v>32</v>
      </c>
      <c r="B40" s="2">
        <f t="shared" si="2"/>
        <v>0.42592501425607349</v>
      </c>
      <c r="C40" s="4">
        <v>2</v>
      </c>
      <c r="D40" s="5">
        <v>16.008631625423501</v>
      </c>
      <c r="E40" s="61" t="s">
        <v>225</v>
      </c>
      <c r="F40" s="5">
        <v>1.14E-2</v>
      </c>
      <c r="G40" s="5">
        <v>6.4699999999999994E-2</v>
      </c>
      <c r="H40" s="5">
        <v>0.1134</v>
      </c>
      <c r="I40" s="5">
        <v>0.42859999999999998</v>
      </c>
      <c r="J40" s="5">
        <v>8.3000000000000004E-2</v>
      </c>
      <c r="K40" s="5">
        <v>5.4699999999999999E-2</v>
      </c>
      <c r="L40" s="5">
        <v>1.3180000000000001</v>
      </c>
      <c r="M40" s="5">
        <v>8.3599999999999994E-2</v>
      </c>
      <c r="N40" s="5">
        <v>0.122</v>
      </c>
      <c r="O40" s="5">
        <v>16.850000000000001</v>
      </c>
      <c r="P40" s="5">
        <v>2.0739999999999998</v>
      </c>
      <c r="Q40" s="5">
        <v>5.2599999999999999E-3</v>
      </c>
      <c r="R40" s="5">
        <v>1.0800000000000001E-2</v>
      </c>
      <c r="S40" s="5">
        <v>2.4710000000000001</v>
      </c>
      <c r="T40" s="18" t="str">
        <f t="shared" si="3"/>
        <v>NP081</v>
      </c>
      <c r="U40" s="2">
        <f t="shared" ref="U40:AH40" si="37">IF(OR(F40=0,F40&lt;0.00001,F40&gt;100000),"",IF((IF(F40&gt;F$5,ABS(LOG(((F$5/SUM($F40:$S40))/(F$4/SUM($F$4:$S$4)))*4+2,2)),ABS(LOG(((F40/SUM($F40:$S40))/(F$4/SUM($F$4:$S$4)))*4+2,2)))-3)&gt;15,(IF(F40&gt;F$5,ABS(LOG(((F$5/SUM($F40:$S40))/(F$4/SUM($F$4:$S$4)))*4+2,2)),ABS(LOG(((F40/SUM($F40:$S40))/(F$4/SUM($F$4:$S$4)))*4+2,2)))-3)/7,IF(F40&gt;F$5,ABS(LOG(((F$5/SUM($F40:$S40))/(F$4/SUM($F$4:$S$4)))*4+2,2)),ABS(LOG(((F40/SUM($F40:$S40))/(F$4/SUM($F$4:$S$4)))*4+2,2)))-3))</f>
        <v>8.0202603176430536</v>
      </c>
      <c r="V40" s="2">
        <f t="shared" si="37"/>
        <v>0.78411963087372927</v>
      </c>
      <c r="W40" s="2">
        <f t="shared" si="37"/>
        <v>0.62295545914871076</v>
      </c>
      <c r="X40" s="2">
        <f t="shared" si="37"/>
        <v>-1.5248561845065944</v>
      </c>
      <c r="Y40" s="2">
        <f t="shared" si="37"/>
        <v>-0.46972994073319807</v>
      </c>
      <c r="Z40" s="2">
        <f t="shared" si="37"/>
        <v>-1.1284069601707085</v>
      </c>
      <c r="AA40" s="2">
        <f t="shared" si="37"/>
        <v>-0.41545862247006315</v>
      </c>
      <c r="AB40" s="2">
        <f t="shared" si="37"/>
        <v>-1.183752530331069</v>
      </c>
      <c r="AC40" s="2">
        <f t="shared" si="37"/>
        <v>0.71181162371214013</v>
      </c>
      <c r="AD40" s="2">
        <f t="shared" si="37"/>
        <v>3.2978067910614008</v>
      </c>
      <c r="AE40" s="2">
        <f t="shared" si="37"/>
        <v>-1.3139545703979685</v>
      </c>
      <c r="AF40" s="2">
        <f t="shared" si="37"/>
        <v>-1.9325405606531749</v>
      </c>
      <c r="AG40" s="2">
        <f t="shared" si="37"/>
        <v>-1.5911513698587985</v>
      </c>
      <c r="AH40" s="2">
        <f t="shared" si="37"/>
        <v>-1.4897474321737625</v>
      </c>
      <c r="AI40" s="18" t="str">
        <f t="shared" si="5"/>
        <v>NP081</v>
      </c>
      <c r="AJ40" s="2">
        <f t="shared" si="6"/>
        <v>1</v>
      </c>
    </row>
    <row r="41" spans="1:36" ht="9" customHeight="1" x14ac:dyDescent="0.25">
      <c r="A41" s="17">
        <v>33</v>
      </c>
      <c r="B41" s="2">
        <f t="shared" si="2"/>
        <v>4.6023057417104454</v>
      </c>
      <c r="C41" s="4">
        <v>2</v>
      </c>
      <c r="D41" s="5">
        <v>14.902145422872101</v>
      </c>
      <c r="E41" s="61" t="s">
        <v>226</v>
      </c>
      <c r="F41" s="5">
        <v>1.8800000000000001E-2</v>
      </c>
      <c r="G41" s="5">
        <v>9.6699999999999994E-2</v>
      </c>
      <c r="H41" s="5">
        <v>0.2359</v>
      </c>
      <c r="I41" s="5">
        <v>0.54510000000000003</v>
      </c>
      <c r="J41" s="5">
        <v>5.8099999999999999E-2</v>
      </c>
      <c r="K41" s="5">
        <v>0.23169999999999999</v>
      </c>
      <c r="L41" s="5">
        <v>3.29</v>
      </c>
      <c r="M41" s="5">
        <v>0.30159999999999998</v>
      </c>
      <c r="N41" s="5">
        <v>6.8799999999999998E-3</v>
      </c>
      <c r="O41" s="5">
        <v>2.3849999999999998</v>
      </c>
      <c r="P41" s="5">
        <v>1.385</v>
      </c>
      <c r="Q41" s="5">
        <v>7.3699999999999998E-3</v>
      </c>
      <c r="R41" s="5">
        <v>5.2300000000000003E-3</v>
      </c>
      <c r="S41" s="5">
        <v>2.1019999999999999</v>
      </c>
      <c r="T41" s="18" t="str">
        <f t="shared" si="3"/>
        <v>NP090</v>
      </c>
      <c r="U41" s="2">
        <f t="shared" ref="U41:AH41" si="38">IF(OR(F41=0,F41&lt;0.00001,F41&gt;100000),"",IF((IF(F41&gt;F$5,ABS(LOG(((F$5/SUM($F41:$S41))/(F$4/SUM($F$4:$S$4)))*4+2,2)),ABS(LOG(((F41/SUM($F41:$S41))/(F$4/SUM($F$4:$S$4)))*4+2,2)))-3)&gt;15,(IF(F41&gt;F$5,ABS(LOG(((F$5/SUM($F41:$S41))/(F$4/SUM($F$4:$S$4)))*4+2,2)),ABS(LOG(((F41/SUM($F41:$S41))/(F$4/SUM($F$4:$S$4)))*4+2,2)))-3)/7,IF(F41&gt;F$5,ABS(LOG(((F$5/SUM($F41:$S41))/(F$4/SUM($F$4:$S$4)))*4+2,2)),ABS(LOG(((F41/SUM($F41:$S41))/(F$4/SUM($F$4:$S$4)))*4+2,2)))-3))</f>
        <v>9.8917788275241456</v>
      </c>
      <c r="V41" s="2">
        <f t="shared" si="38"/>
        <v>2.3604018540917719</v>
      </c>
      <c r="W41" s="2">
        <f t="shared" si="38"/>
        <v>2.6342797756978404</v>
      </c>
      <c r="X41" s="2">
        <f t="shared" si="38"/>
        <v>-0.92857765885669874</v>
      </c>
      <c r="Y41" s="2">
        <f t="shared" si="38"/>
        <v>-2.3591736057815726E-2</v>
      </c>
      <c r="Z41" s="2">
        <f t="shared" si="38"/>
        <v>1.1380634425218306</v>
      </c>
      <c r="AA41" s="2">
        <f t="shared" si="38"/>
        <v>1.5945938372568627</v>
      </c>
      <c r="AB41" s="2">
        <f t="shared" si="38"/>
        <v>0.82671023395931442</v>
      </c>
      <c r="AC41" s="2">
        <f t="shared" si="38"/>
        <v>-1.238600830289023</v>
      </c>
      <c r="AD41" s="2">
        <f t="shared" si="38"/>
        <v>1.7058285865705836</v>
      </c>
      <c r="AE41" s="2">
        <f t="shared" si="38"/>
        <v>-1.0718658163733052</v>
      </c>
      <c r="AF41" s="2">
        <f t="shared" si="38"/>
        <v>-1.7997111321430121</v>
      </c>
      <c r="AG41" s="2">
        <f t="shared" si="38"/>
        <v>-1.5646039997772119</v>
      </c>
      <c r="AH41" s="2">
        <f t="shared" si="38"/>
        <v>-1.1508556001464176</v>
      </c>
      <c r="AI41" s="18" t="str">
        <f t="shared" si="5"/>
        <v>NP090</v>
      </c>
      <c r="AJ41" s="2">
        <f t="shared" si="6"/>
        <v>1</v>
      </c>
    </row>
    <row r="42" spans="1:36" ht="9" customHeight="1" x14ac:dyDescent="0.25">
      <c r="A42" s="17">
        <v>34</v>
      </c>
      <c r="B42" s="2">
        <f t="shared" si="2"/>
        <v>3.5598795800797007</v>
      </c>
      <c r="C42" s="4">
        <v>2</v>
      </c>
      <c r="D42" s="5">
        <v>17.1616284509455</v>
      </c>
      <c r="E42" s="61" t="s">
        <v>227</v>
      </c>
      <c r="F42" s="5">
        <v>7.4200000000000002E-2</v>
      </c>
      <c r="G42" s="5">
        <v>0.25700000000000001</v>
      </c>
      <c r="H42" s="5">
        <v>0.18029999999999999</v>
      </c>
      <c r="I42" s="5">
        <v>1.212</v>
      </c>
      <c r="J42" s="5">
        <v>3.9740000000000002</v>
      </c>
      <c r="K42" s="5">
        <v>0.35589999999999999</v>
      </c>
      <c r="L42" s="5">
        <v>3.9089999999999998</v>
      </c>
      <c r="M42" s="5">
        <v>0.53900000000000003</v>
      </c>
      <c r="N42" s="5">
        <v>0.54890000000000005</v>
      </c>
      <c r="O42" s="5">
        <v>218.4</v>
      </c>
      <c r="P42" s="5">
        <v>1.046</v>
      </c>
      <c r="Q42" s="5">
        <v>2.1000000000000001E-2</v>
      </c>
      <c r="R42" s="5">
        <v>6.1599999999999997E-3</v>
      </c>
      <c r="S42" s="5">
        <v>2.5529999999999999</v>
      </c>
      <c r="T42" s="18" t="str">
        <f t="shared" si="3"/>
        <v>NP092</v>
      </c>
      <c r="U42" s="2">
        <f t="shared" ref="U42:AH42" si="39">IF(OR(F42=0,F42&lt;0.00001,F42&gt;100000),"",IF((IF(F42&gt;F$5,ABS(LOG(((F$5/SUM($F42:$S42))/(F$4/SUM($F$4:$S$4)))*4+2,2)),ABS(LOG(((F42/SUM($F42:$S42))/(F$4/SUM($F$4:$S$4)))*4+2,2)))-3)&gt;15,(IF(F42&gt;F$5,ABS(LOG(((F$5/SUM($F42:$S42))/(F$4/SUM($F$4:$S$4)))*4+2,2)),ABS(LOG(((F42/SUM($F42:$S42))/(F$4/SUM($F$4:$S$4)))*4+2,2)))-3)/7,IF(F42&gt;F$5,ABS(LOG(((F$5/SUM($F42:$S42))/(F$4/SUM($F$4:$S$4)))*4+2,2)),ABS(LOG(((F42/SUM($F42:$S42))/(F$4/SUM($F$4:$S$4)))*4+2,2)))-3))</f>
        <v>6.5353052374748817</v>
      </c>
      <c r="V42" s="2">
        <f t="shared" si="39"/>
        <v>-0.24412994563844981</v>
      </c>
      <c r="W42" s="2">
        <f t="shared" si="39"/>
        <v>-1.1250812458032089</v>
      </c>
      <c r="X42" s="2">
        <f t="shared" si="39"/>
        <v>-1.846697487969861</v>
      </c>
      <c r="Y42" s="2">
        <f t="shared" si="39"/>
        <v>-0.2720586427740499</v>
      </c>
      <c r="Z42" s="2">
        <f t="shared" si="39"/>
        <v>-1.3689510939472675</v>
      </c>
      <c r="AA42" s="2">
        <f t="shared" si="39"/>
        <v>-1.3195406013258999</v>
      </c>
      <c r="AB42" s="2">
        <f t="shared" si="39"/>
        <v>-1.4163987493890515</v>
      </c>
      <c r="AC42" s="2">
        <f t="shared" si="39"/>
        <v>-0.1767743483841917</v>
      </c>
      <c r="AD42" s="2">
        <f t="shared" si="39"/>
        <v>1.651079249352323</v>
      </c>
      <c r="AE42" s="2">
        <f t="shared" si="39"/>
        <v>-1.9556591293675225</v>
      </c>
      <c r="AF42" s="2">
        <f t="shared" si="39"/>
        <v>-1.9722437905550072</v>
      </c>
      <c r="AG42" s="2">
        <f t="shared" si="39"/>
        <v>-1.9728548290643724</v>
      </c>
      <c r="AH42" s="2">
        <f t="shared" si="39"/>
        <v>-1.9371073981656539</v>
      </c>
      <c r="AI42" s="18" t="str">
        <f t="shared" si="5"/>
        <v>NP092</v>
      </c>
      <c r="AJ42" s="2">
        <f t="shared" si="6"/>
        <v>1</v>
      </c>
    </row>
    <row r="43" spans="1:36" ht="9" customHeight="1" x14ac:dyDescent="0.25">
      <c r="A43" s="17">
        <v>35</v>
      </c>
      <c r="B43" s="2">
        <f t="shared" si="2"/>
        <v>4.5956893740206128</v>
      </c>
      <c r="C43" s="4">
        <v>2</v>
      </c>
      <c r="D43" s="5">
        <v>16.404079324172798</v>
      </c>
      <c r="E43" s="61" t="s">
        <v>228</v>
      </c>
      <c r="F43" s="5">
        <v>1.3899999999999999E-2</v>
      </c>
      <c r="G43" s="5">
        <v>0.27200000000000002</v>
      </c>
      <c r="H43" s="5">
        <v>0.2228</v>
      </c>
      <c r="I43" s="5">
        <v>0.71740000000000004</v>
      </c>
      <c r="J43" s="5">
        <v>1.222</v>
      </c>
      <c r="K43" s="5">
        <v>0.29699999999999999</v>
      </c>
      <c r="L43" s="5">
        <v>5.0069999999999997</v>
      </c>
      <c r="M43" s="5">
        <v>0.32679999999999998</v>
      </c>
      <c r="N43" s="5">
        <v>1.502</v>
      </c>
      <c r="O43" s="5">
        <v>13.64</v>
      </c>
      <c r="P43" s="5">
        <v>2.0939999999999999</v>
      </c>
      <c r="Q43" s="5">
        <v>6.6699999999999995E-2</v>
      </c>
      <c r="R43" s="5">
        <v>8.2400000000000008E-3</v>
      </c>
      <c r="S43" s="5">
        <v>3.1030000000000002</v>
      </c>
      <c r="T43" s="18" t="str">
        <f t="shared" si="3"/>
        <v>NP099</v>
      </c>
      <c r="U43" s="2">
        <f t="shared" ref="U43:AH43" si="40">IF(OR(F43=0,F43&lt;0.00001,F43&gt;100000),"",IF((IF(F43&gt;F$5,ABS(LOG(((F$5/SUM($F43:$S43))/(F$4/SUM($F$4:$S$4)))*4+2,2)),ABS(LOG(((F43/SUM($F43:$S43))/(F$4/SUM($F$4:$S$4)))*4+2,2)))-3)&gt;15,(IF(F43&gt;F$5,ABS(LOG(((F$5/SUM($F43:$S43))/(F$4/SUM($F$4:$S$4)))*4+2,2)),ABS(LOG(((F43/SUM($F43:$S43))/(F$4/SUM($F$4:$S$4)))*4+2,2)))-3)/7,IF(F43&gt;F$5,ABS(LOG(((F$5/SUM($F43:$S43))/(F$4/SUM($F$4:$S$4)))*4+2,2)),ABS(LOG(((F43/SUM($F43:$S43))/(F$4/SUM($F$4:$S$4)))*4+2,2)))-3))</f>
        <v>8.0399992636186521</v>
      </c>
      <c r="V43" s="2">
        <f t="shared" si="40"/>
        <v>2.4317400288545521</v>
      </c>
      <c r="W43" s="2">
        <f t="shared" si="40"/>
        <v>1.2371717588724414</v>
      </c>
      <c r="X43" s="2">
        <f t="shared" si="40"/>
        <v>-1.3744080961793228</v>
      </c>
      <c r="Y43" s="2">
        <f t="shared" si="40"/>
        <v>2.3159321279296226</v>
      </c>
      <c r="Z43" s="2">
        <f t="shared" si="40"/>
        <v>0.24658322084997009</v>
      </c>
      <c r="AA43" s="2">
        <f t="shared" si="40"/>
        <v>0.87076152440843391</v>
      </c>
      <c r="AB43" s="2">
        <f t="shared" si="40"/>
        <v>-0.20388535446024258</v>
      </c>
      <c r="AC43" s="2">
        <f t="shared" si="40"/>
        <v>3.2792521810081725</v>
      </c>
      <c r="AD43" s="2">
        <f t="shared" si="40"/>
        <v>2.744314896376193</v>
      </c>
      <c r="AE43" s="2">
        <f t="shared" si="40"/>
        <v>-1.4043755568544791</v>
      </c>
      <c r="AF43" s="2">
        <f t="shared" si="40"/>
        <v>-1.4105174932644269</v>
      </c>
      <c r="AG43" s="2">
        <f t="shared" si="40"/>
        <v>-1.7275762205357781</v>
      </c>
      <c r="AH43" s="2">
        <f t="shared" si="40"/>
        <v>-1.4709127908254178</v>
      </c>
      <c r="AI43" s="18" t="str">
        <f t="shared" si="5"/>
        <v>NP099</v>
      </c>
      <c r="AJ43" s="2">
        <f t="shared" si="6"/>
        <v>1</v>
      </c>
    </row>
    <row r="44" spans="1:36" ht="9" customHeight="1" x14ac:dyDescent="0.25">
      <c r="A44" s="17">
        <v>36</v>
      </c>
      <c r="B44" s="2">
        <f t="shared" si="2"/>
        <v>5.0152409916172909</v>
      </c>
      <c r="C44" s="4">
        <v>2</v>
      </c>
      <c r="D44" s="5">
        <v>16.579506208001799</v>
      </c>
      <c r="E44" s="61" t="s">
        <v>229</v>
      </c>
      <c r="F44" s="5">
        <v>1.9199999999999998E-2</v>
      </c>
      <c r="G44" s="5">
        <v>0.18509999999999999</v>
      </c>
      <c r="H44" s="5">
        <v>0.1905</v>
      </c>
      <c r="I44" s="5">
        <v>0.85060000000000002</v>
      </c>
      <c r="J44" s="5">
        <v>0.19869999999999999</v>
      </c>
      <c r="K44" s="5">
        <v>0.1696</v>
      </c>
      <c r="L44" s="5">
        <v>3.97</v>
      </c>
      <c r="M44" s="5">
        <v>0.23</v>
      </c>
      <c r="N44" s="5">
        <v>0.1636</v>
      </c>
      <c r="O44" s="5">
        <v>4.51</v>
      </c>
      <c r="P44" s="5">
        <v>2.698</v>
      </c>
      <c r="Q44" s="5">
        <v>1.8200000000000001E-2</v>
      </c>
      <c r="R44" s="5">
        <v>1.6199999999999999E-2</v>
      </c>
      <c r="S44" s="5">
        <v>2.2989999999999999</v>
      </c>
      <c r="T44" s="18" t="str">
        <f t="shared" si="3"/>
        <v>NP107</v>
      </c>
      <c r="U44" s="2">
        <f t="shared" ref="U44:AH44" si="41">IF(OR(F44=0,F44&lt;0.00001,F44&gt;100000),"",IF((IF(F44&gt;F$5,ABS(LOG(((F$5/SUM($F44:$S44))/(F$4/SUM($F$4:$S$4)))*4+2,2)),ABS(LOG(((F44/SUM($F44:$S44))/(F$4/SUM($F$4:$S$4)))*4+2,2)))-3)&gt;15,(IF(F44&gt;F$5,ABS(LOG(((F$5/SUM($F44:$S44))/(F$4/SUM($F$4:$S$4)))*4+2,2)),ABS(LOG(((F44/SUM($F44:$S44))/(F$4/SUM($F$4:$S$4)))*4+2,2)))-3)/7,IF(F44&gt;F$5,ABS(LOG(((F$5/SUM($F44:$S44))/(F$4/SUM($F$4:$S$4)))*4+2,2)),ABS(LOG(((F44/SUM($F44:$S44))/(F$4/SUM($F$4:$S$4)))*4+2,2)))-3))</f>
        <v>9.3817821557934664</v>
      </c>
      <c r="V44" s="2">
        <f t="shared" si="41"/>
        <v>2.7396219568010824</v>
      </c>
      <c r="W44" s="2">
        <f t="shared" si="41"/>
        <v>1.8311694013329962</v>
      </c>
      <c r="X44" s="2">
        <f t="shared" si="41"/>
        <v>-0.87452573803891775</v>
      </c>
      <c r="Y44" s="2">
        <f t="shared" si="41"/>
        <v>0.98209233406709195</v>
      </c>
      <c r="Z44" s="2">
        <f t="shared" si="41"/>
        <v>0.30072937711753811</v>
      </c>
      <c r="AA44" s="2">
        <f t="shared" si="41"/>
        <v>1.3494343727041285</v>
      </c>
      <c r="AB44" s="2">
        <f t="shared" si="41"/>
        <v>6.8799327033594704E-2</v>
      </c>
      <c r="AC44" s="2">
        <f t="shared" si="41"/>
        <v>1.628122202071915</v>
      </c>
      <c r="AD44" s="2">
        <f t="shared" si="41"/>
        <v>2.0586868765069477</v>
      </c>
      <c r="AE44" s="2">
        <f t="shared" si="41"/>
        <v>-0.85651972355862593</v>
      </c>
      <c r="AF44" s="2">
        <f t="shared" si="41"/>
        <v>-1.6747847949277264</v>
      </c>
      <c r="AG44" s="2">
        <f t="shared" si="41"/>
        <v>-1.192465225896459</v>
      </c>
      <c r="AH44" s="2">
        <f t="shared" si="41"/>
        <v>-1.3195508976590906</v>
      </c>
      <c r="AI44" s="18" t="str">
        <f t="shared" si="5"/>
        <v>NP107</v>
      </c>
      <c r="AJ44" s="2">
        <f t="shared" si="6"/>
        <v>1</v>
      </c>
    </row>
    <row r="45" spans="1:36" ht="9" customHeight="1" x14ac:dyDescent="0.25">
      <c r="A45" s="17">
        <v>37</v>
      </c>
      <c r="B45" s="2">
        <f t="shared" si="2"/>
        <v>5.4077503710497377</v>
      </c>
      <c r="C45" s="4">
        <v>2</v>
      </c>
      <c r="D45" s="5">
        <v>17.7811331685715</v>
      </c>
      <c r="E45" s="61" t="s">
        <v>230</v>
      </c>
      <c r="F45" s="5">
        <v>5.8299999999999998E-2</v>
      </c>
      <c r="G45" s="5">
        <v>0.40760000000000002</v>
      </c>
      <c r="H45" s="5">
        <v>0.25530000000000003</v>
      </c>
      <c r="I45" s="5">
        <v>0.65959999999999996</v>
      </c>
      <c r="J45" s="5">
        <v>0.6623</v>
      </c>
      <c r="K45" s="5">
        <v>0.22650000000000001</v>
      </c>
      <c r="L45" s="5">
        <v>3.1669999999999998</v>
      </c>
      <c r="M45" s="5">
        <v>0.51370000000000005</v>
      </c>
      <c r="N45" s="5">
        <v>0.61280000000000001</v>
      </c>
      <c r="O45" s="5">
        <v>11.98</v>
      </c>
      <c r="P45" s="5">
        <v>2.2799999999999998</v>
      </c>
      <c r="Q45" s="5">
        <v>5.1000000000000004E-3</v>
      </c>
      <c r="R45" s="5">
        <v>1.7100000000000001E-2</v>
      </c>
      <c r="S45" s="5">
        <v>3.9350000000000001</v>
      </c>
      <c r="T45" s="18" t="str">
        <f t="shared" si="3"/>
        <v>NP109</v>
      </c>
      <c r="U45" s="2">
        <f t="shared" ref="U45:AH45" si="42">IF(OR(F45=0,F45&lt;0.00001,F45&gt;100000),"",IF((IF(F45&gt;F$5,ABS(LOG(((F$5/SUM($F45:$S45))/(F$4/SUM($F$4:$S$4)))*4+2,2)),ABS(LOG(((F45/SUM($F45:$S45))/(F$4/SUM($F$4:$S$4)))*4+2,2)))-3)&gt;15,(IF(F45&gt;F$5,ABS(LOG(((F$5/SUM($F45:$S45))/(F$4/SUM($F$4:$S$4)))*4+2,2)),ABS(LOG(((F45/SUM($F45:$S45))/(F$4/SUM($F$4:$S$4)))*4+2,2)))-3)/7,IF(F45&gt;F$5,ABS(LOG(((F$5/SUM($F45:$S45))/(F$4/SUM($F$4:$S$4)))*4+2,2)),ABS(LOG(((F45/SUM($F45:$S45))/(F$4/SUM($F$4:$S$4)))*4+2,2)))-3))</f>
        <v>9.765363633352651</v>
      </c>
      <c r="V45" s="2">
        <f t="shared" si="42"/>
        <v>3.188365568445235</v>
      </c>
      <c r="W45" s="2">
        <f t="shared" si="42"/>
        <v>1.5976678730388354</v>
      </c>
      <c r="X45" s="2">
        <f t="shared" si="42"/>
        <v>-1.3456718402045589</v>
      </c>
      <c r="Y45" s="2">
        <f t="shared" si="42"/>
        <v>1.9454016410548212</v>
      </c>
      <c r="Z45" s="2">
        <f t="shared" si="42"/>
        <v>9.9102123003141696E-2</v>
      </c>
      <c r="AA45" s="2">
        <f t="shared" si="42"/>
        <v>0.483466747421049</v>
      </c>
      <c r="AB45" s="2">
        <f t="shared" si="42"/>
        <v>0.45139055881020429</v>
      </c>
      <c r="AC45" s="2">
        <f t="shared" si="42"/>
        <v>2.7896370882887656</v>
      </c>
      <c r="AD45" s="2">
        <f t="shared" si="42"/>
        <v>2.7579780112818337</v>
      </c>
      <c r="AE45" s="2">
        <f t="shared" si="42"/>
        <v>-1.2863874353944289</v>
      </c>
      <c r="AF45" s="2">
        <f t="shared" si="42"/>
        <v>-1.9373637836224784</v>
      </c>
      <c r="AG45" s="2">
        <f t="shared" si="42"/>
        <v>-1.4189605537805086</v>
      </c>
      <c r="AH45" s="2">
        <f t="shared" si="42"/>
        <v>-1.2810631094141931</v>
      </c>
      <c r="AI45" s="18" t="str">
        <f t="shared" si="5"/>
        <v>NP109</v>
      </c>
      <c r="AJ45" s="2">
        <f t="shared" si="6"/>
        <v>1</v>
      </c>
    </row>
    <row r="46" spans="1:36" ht="9" customHeight="1" x14ac:dyDescent="0.25">
      <c r="A46" s="17">
        <v>38</v>
      </c>
      <c r="B46" s="2">
        <f t="shared" si="2"/>
        <v>2.8349909268294327</v>
      </c>
      <c r="C46" s="4">
        <v>2</v>
      </c>
      <c r="D46" s="5">
        <v>17.223068999329499</v>
      </c>
      <c r="E46" s="61" t="s">
        <v>231</v>
      </c>
      <c r="F46" s="5">
        <v>2.14E-3</v>
      </c>
      <c r="G46" s="5">
        <v>5.6399999999999999E-2</v>
      </c>
      <c r="H46" s="5">
        <v>0.1195</v>
      </c>
      <c r="I46" s="5">
        <v>0.68600000000000005</v>
      </c>
      <c r="J46" s="5">
        <v>5.2699999999999997E-2</v>
      </c>
      <c r="K46" s="5">
        <v>3.3300000000000003E-2</v>
      </c>
      <c r="L46" s="5">
        <v>0.87190000000000001</v>
      </c>
      <c r="M46" s="5">
        <v>8.4400000000000003E-2</v>
      </c>
      <c r="N46" s="5">
        <v>2.8899999999999999E-2</v>
      </c>
      <c r="O46" s="5">
        <v>2.2480000000000002</v>
      </c>
      <c r="P46" s="5">
        <v>1.234</v>
      </c>
      <c r="Q46" s="5">
        <v>1.2899999999999999E-3</v>
      </c>
      <c r="R46" s="5">
        <v>2.18E-2</v>
      </c>
      <c r="S46" s="5">
        <v>1.0620000000000001</v>
      </c>
      <c r="T46" s="18" t="str">
        <f t="shared" si="3"/>
        <v>NP115</v>
      </c>
      <c r="U46" s="2">
        <f t="shared" ref="U46:AH46" si="43">IF(OR(F46=0,F46&lt;0.00001,F46&gt;100000),"",IF((IF(F46&gt;F$5,ABS(LOG(((F$5/SUM($F46:$S46))/(F$4/SUM($F$4:$S$4)))*4+2,2)),ABS(LOG(((F46/SUM($F46:$S46))/(F$4/SUM($F$4:$S$4)))*4+2,2)))-3)&gt;15,(IF(F46&gt;F$5,ABS(LOG(((F$5/SUM($F46:$S46))/(F$4/SUM($F$4:$S$4)))*4+2,2)),ABS(LOG(((F46/SUM($F46:$S46))/(F$4/SUM($F$4:$S$4)))*4+2,2)))-3)/7,IF(F46&gt;F$5,ABS(LOG(((F$5/SUM($F46:$S46))/(F$4/SUM($F$4:$S$4)))*4+2,2)),ABS(LOG(((F46/SUM($F46:$S46))/(F$4/SUM($F$4:$S$4)))*4+2,2)))-3))</f>
        <v>7.4728285925636051</v>
      </c>
      <c r="V46" s="2">
        <f t="shared" si="43"/>
        <v>2.3001793810949183</v>
      </c>
      <c r="W46" s="2">
        <f t="shared" si="43"/>
        <v>2.3793112717490876</v>
      </c>
      <c r="X46" s="2">
        <f t="shared" si="43"/>
        <v>-0.28868307943461646</v>
      </c>
      <c r="Y46" s="2">
        <f t="shared" si="43"/>
        <v>0.42451481839496585</v>
      </c>
      <c r="Z46" s="2">
        <f t="shared" si="43"/>
        <v>-0.4939900212725532</v>
      </c>
      <c r="AA46" s="2">
        <f t="shared" si="43"/>
        <v>0.54060248141052192</v>
      </c>
      <c r="AB46" s="2">
        <f t="shared" si="43"/>
        <v>-7.4576815702451338E-2</v>
      </c>
      <c r="AC46" s="2">
        <f t="shared" si="43"/>
        <v>0.53387248955988653</v>
      </c>
      <c r="AD46" s="2">
        <f t="shared" si="43"/>
        <v>2.29531493187908</v>
      </c>
      <c r="AE46" s="2">
        <f t="shared" si="43"/>
        <v>-0.78595138640725537</v>
      </c>
      <c r="AF46" s="2">
        <f t="shared" si="43"/>
        <v>-1.9395748458919804</v>
      </c>
      <c r="AG46" s="2">
        <f t="shared" si="43"/>
        <v>-0.23046690408040815</v>
      </c>
      <c r="AH46" s="2">
        <f t="shared" si="43"/>
        <v>-1.2649988989958845</v>
      </c>
      <c r="AI46" s="18" t="str">
        <f t="shared" si="5"/>
        <v>NP115</v>
      </c>
      <c r="AJ46" s="2">
        <f t="shared" si="6"/>
        <v>1</v>
      </c>
    </row>
    <row r="47" spans="1:36" ht="9" customHeight="1" x14ac:dyDescent="0.25">
      <c r="A47" s="17">
        <v>39</v>
      </c>
      <c r="B47" s="2">
        <f t="shared" si="2"/>
        <v>4.847778431426323</v>
      </c>
      <c r="C47" s="4">
        <v>2</v>
      </c>
      <c r="D47" s="5">
        <v>17.749509756409601</v>
      </c>
      <c r="E47" s="61" t="s">
        <v>232</v>
      </c>
      <c r="F47" s="5">
        <v>4.3400000000000001E-3</v>
      </c>
      <c r="G47" s="5">
        <v>0.1212</v>
      </c>
      <c r="H47" s="5">
        <v>0.104</v>
      </c>
      <c r="I47" s="5">
        <v>0.87370000000000003</v>
      </c>
      <c r="J47" s="5">
        <v>0.27789999999999998</v>
      </c>
      <c r="K47" s="5">
        <v>0.1459</v>
      </c>
      <c r="L47" s="5">
        <v>2.2050000000000001</v>
      </c>
      <c r="M47" s="5">
        <v>0.17319999999999999</v>
      </c>
      <c r="N47" s="5">
        <v>2.7799999999999998E-2</v>
      </c>
      <c r="O47" s="5">
        <v>0.375</v>
      </c>
      <c r="P47" s="5">
        <v>1.8420000000000001</v>
      </c>
      <c r="Q47" s="5">
        <v>3.6499999999999998E-4</v>
      </c>
      <c r="R47" s="5">
        <v>1.5900000000000001E-2</v>
      </c>
      <c r="S47" s="5">
        <v>1.3460000000000001</v>
      </c>
      <c r="T47" s="18" t="str">
        <f t="shared" si="3"/>
        <v>NP137</v>
      </c>
      <c r="U47" s="2">
        <f t="shared" ref="U47:AH47" si="44">IF(OR(F47=0,F47&lt;0.00001,F47&gt;100000),"",IF((IF(F47&gt;F$5,ABS(LOG(((F$5/SUM($F47:$S47))/(F$4/SUM($F$4:$S$4)))*4+2,2)),ABS(LOG(((F47/SUM($F47:$S47))/(F$4/SUM($F$4:$S$4)))*4+2,2)))-3)&gt;15,(IF(F47&gt;F$5,ABS(LOG(((F$5/SUM($F47:$S47))/(F$4/SUM($F$4:$S$4)))*4+2,2)),ABS(LOG(((F47/SUM($F47:$S47))/(F$4/SUM($F$4:$S$4)))*4+2,2)))-3)/7,IF(F47&gt;F$5,ABS(LOG(((F$5/SUM($F47:$S47))/(F$4/SUM($F$4:$S$4)))*4+2,2)),ABS(LOG(((F47/SUM($F47:$S47))/(F$4/SUM($F$4:$S$4)))*4+2,2)))-3))</f>
        <v>8.2837400088177606</v>
      </c>
      <c r="V47" s="2">
        <f t="shared" si="44"/>
        <v>3.1612396739530064</v>
      </c>
      <c r="W47" s="2">
        <f t="shared" si="44"/>
        <v>1.9931123492422529</v>
      </c>
      <c r="X47" s="2">
        <f t="shared" si="44"/>
        <v>-0.18956320986659225</v>
      </c>
      <c r="Y47" s="2">
        <f t="shared" si="44"/>
        <v>2.3881242117401769</v>
      </c>
      <c r="Z47" s="2">
        <f t="shared" si="44"/>
        <v>0.99616956510514676</v>
      </c>
      <c r="AA47" s="2">
        <f t="shared" si="44"/>
        <v>1.5294593550401157</v>
      </c>
      <c r="AB47" s="2">
        <f t="shared" si="44"/>
        <v>0.5779174561694238</v>
      </c>
      <c r="AC47" s="2">
        <f t="shared" si="44"/>
        <v>0.31882161715775625</v>
      </c>
      <c r="AD47" s="2">
        <f t="shared" si="44"/>
        <v>-0.11614925375986296</v>
      </c>
      <c r="AE47" s="2">
        <f t="shared" si="44"/>
        <v>-0.5642049467537853</v>
      </c>
      <c r="AF47" s="2">
        <f t="shared" si="44"/>
        <v>-1.9849658623407627</v>
      </c>
      <c r="AG47" s="2">
        <f t="shared" si="44"/>
        <v>-0.66595857995229268</v>
      </c>
      <c r="AH47" s="2">
        <f t="shared" si="44"/>
        <v>-1.210177523317741</v>
      </c>
      <c r="AI47" s="18" t="str">
        <f t="shared" si="5"/>
        <v>NP137</v>
      </c>
      <c r="AJ47" s="2">
        <f t="shared" si="6"/>
        <v>1</v>
      </c>
    </row>
    <row r="48" spans="1:36" ht="9" customHeight="1" x14ac:dyDescent="0.25">
      <c r="A48" s="17">
        <v>40</v>
      </c>
      <c r="B48" s="2">
        <f t="shared" si="2"/>
        <v>4.6618616408832567</v>
      </c>
      <c r="C48" s="4">
        <v>2</v>
      </c>
      <c r="D48" s="5">
        <v>17.085812967696899</v>
      </c>
      <c r="E48" s="61" t="s">
        <v>233</v>
      </c>
      <c r="F48" s="5">
        <v>1.7100000000000001E-2</v>
      </c>
      <c r="G48" s="5">
        <v>0.16750000000000001</v>
      </c>
      <c r="H48" s="5">
        <v>0.1759</v>
      </c>
      <c r="I48" s="5">
        <v>0.54920000000000002</v>
      </c>
      <c r="J48" s="5">
        <v>0.28270000000000001</v>
      </c>
      <c r="K48" s="5">
        <v>0.18459999999999999</v>
      </c>
      <c r="L48" s="5">
        <v>2.4500000000000002</v>
      </c>
      <c r="M48" s="5">
        <v>0.215</v>
      </c>
      <c r="N48" s="5">
        <v>0.18149999999999999</v>
      </c>
      <c r="O48" s="5">
        <v>3.9710000000000001</v>
      </c>
      <c r="P48" s="5">
        <v>1.351</v>
      </c>
      <c r="Q48" s="5">
        <v>7.9500000000000001E-2</v>
      </c>
      <c r="R48" s="5">
        <v>1.5599999999999999E-2</v>
      </c>
      <c r="S48" s="5">
        <v>7.6059999999999999</v>
      </c>
      <c r="T48" s="18" t="str">
        <f t="shared" si="3"/>
        <v>NP145</v>
      </c>
      <c r="U48" s="2">
        <f t="shared" ref="U48:AH48" si="45">IF(OR(F48=0,F48&lt;0.00001,F48&gt;100000),"",IF((IF(F48&gt;F$5,ABS(LOG(((F$5/SUM($F48:$S48))/(F$4/SUM($F$4:$S$4)))*4+2,2)),ABS(LOG(((F48/SUM($F48:$S48))/(F$4/SUM($F$4:$S$4)))*4+2,2)))-3)&gt;15,(IF(F48&gt;F$5,ABS(LOG(((F$5/SUM($F48:$S48))/(F$4/SUM($F$4:$S$4)))*4+2,2)),ABS(LOG(((F48/SUM($F48:$S48))/(F$4/SUM($F$4:$S$4)))*4+2,2)))-3)/7,IF(F48&gt;F$5,ABS(LOG(((F$5/SUM($F48:$S48))/(F$4/SUM($F$4:$S$4)))*4+2,2)),ABS(LOG(((F48/SUM($F48:$S48))/(F$4/SUM($F$4:$S$4)))*4+2,2)))-3))</f>
        <v>9.0625018814211238</v>
      </c>
      <c r="V48" s="2">
        <f t="shared" si="45"/>
        <v>2.4554402662464634</v>
      </c>
      <c r="W48" s="2">
        <f t="shared" si="45"/>
        <v>1.5843194710547328</v>
      </c>
      <c r="X48" s="2">
        <f t="shared" si="45"/>
        <v>-1.2459194667472888</v>
      </c>
      <c r="Y48" s="2">
        <f t="shared" si="45"/>
        <v>1.2979397698134028</v>
      </c>
      <c r="Z48" s="2">
        <f t="shared" si="45"/>
        <v>0.27683878895667213</v>
      </c>
      <c r="AA48" s="2">
        <f t="shared" si="45"/>
        <v>0.60989339534907261</v>
      </c>
      <c r="AB48" s="2">
        <f t="shared" si="45"/>
        <v>-0.11727062540658695</v>
      </c>
      <c r="AC48" s="2">
        <f t="shared" si="45"/>
        <v>1.625817692817292</v>
      </c>
      <c r="AD48" s="2">
        <f t="shared" si="45"/>
        <v>1.7452797031319678</v>
      </c>
      <c r="AE48" s="2">
        <f t="shared" si="45"/>
        <v>-1.3725773242024855</v>
      </c>
      <c r="AF48" s="2">
        <f t="shared" si="45"/>
        <v>-1.004456443092608</v>
      </c>
      <c r="AG48" s="2">
        <f t="shared" si="45"/>
        <v>-1.2774873142443404</v>
      </c>
      <c r="AH48" s="2">
        <f t="shared" si="45"/>
        <v>-0.51766012721458088</v>
      </c>
      <c r="AI48" s="18" t="str">
        <f t="shared" si="5"/>
        <v>NP145</v>
      </c>
      <c r="AJ48" s="2">
        <f t="shared" si="6"/>
        <v>1</v>
      </c>
    </row>
    <row r="49" spans="1:36" ht="9" customHeight="1" x14ac:dyDescent="0.25">
      <c r="A49" s="17">
        <v>41</v>
      </c>
      <c r="B49" s="2">
        <f t="shared" si="2"/>
        <v>0.34352903284341152</v>
      </c>
      <c r="C49" s="4">
        <v>2</v>
      </c>
      <c r="D49" s="5">
        <v>17.884807977233901</v>
      </c>
      <c r="E49" s="61" t="s">
        <v>234</v>
      </c>
      <c r="F49" s="5">
        <v>2.2499999999999999E-2</v>
      </c>
      <c r="G49" s="5">
        <v>1.105</v>
      </c>
      <c r="H49" s="5">
        <v>0.4163</v>
      </c>
      <c r="I49" s="5">
        <v>1.4750000000000001</v>
      </c>
      <c r="J49" s="5">
        <v>3.93</v>
      </c>
      <c r="K49" s="5">
        <v>0.54420000000000002</v>
      </c>
      <c r="L49" s="5">
        <v>7.4870000000000001</v>
      </c>
      <c r="M49" s="5">
        <v>0.5696</v>
      </c>
      <c r="N49" s="5">
        <v>0.2467</v>
      </c>
      <c r="O49" s="5">
        <v>57.49</v>
      </c>
      <c r="P49" s="5">
        <v>0.60809999999999997</v>
      </c>
      <c r="Q49" s="5">
        <v>2.0200000000000001E-3</v>
      </c>
      <c r="R49" s="5">
        <v>1.84E-2</v>
      </c>
      <c r="S49" s="5">
        <v>2.34</v>
      </c>
      <c r="T49" s="18" t="str">
        <f t="shared" si="3"/>
        <v>NP149</v>
      </c>
      <c r="U49" s="2">
        <f t="shared" ref="U49:AH49" si="46">IF(OR(F49=0,F49&lt;0.00001,F49&gt;100000),"",IF((IF(F49&gt;F$5,ABS(LOG(((F$5/SUM($F49:$S49))/(F$4/SUM($F$4:$S$4)))*4+2,2)),ABS(LOG(((F49/SUM($F49:$S49))/(F$4/SUM($F$4:$S$4)))*4+2,2)))-3)&gt;15,(IF(F49&gt;F$5,ABS(LOG(((F$5/SUM($F49:$S49))/(F$4/SUM($F$4:$S$4)))*4+2,2)),ABS(LOG(((F49/SUM($F49:$S49))/(F$4/SUM($F$4:$S$4)))*4+2,2)))-3)/7,IF(F49&gt;F$5,ABS(LOG(((F$5/SUM($F49:$S49))/(F$4/SUM($F$4:$S$4)))*4+2,2)),ABS(LOG(((F49/SUM($F49:$S49))/(F$4/SUM($F$4:$S$4)))*4+2,2)))-3))</f>
        <v>7.3155053182497785</v>
      </c>
      <c r="V49" s="2">
        <f t="shared" si="46"/>
        <v>2.8715306758859036</v>
      </c>
      <c r="W49" s="2">
        <f t="shared" si="46"/>
        <v>0.78349018018239258</v>
      </c>
      <c r="X49" s="2">
        <f t="shared" si="46"/>
        <v>-1.4971232638136516</v>
      </c>
      <c r="Y49" s="2">
        <f t="shared" si="46"/>
        <v>1.0122847904166088</v>
      </c>
      <c r="Z49" s="2">
        <f t="shared" si="46"/>
        <v>-0.47147372791679043</v>
      </c>
      <c r="AA49" s="2">
        <f t="shared" si="46"/>
        <v>0.17889949274784156</v>
      </c>
      <c r="AB49" s="2">
        <f t="shared" si="46"/>
        <v>-0.61569205920102021</v>
      </c>
      <c r="AC49" s="2">
        <f t="shared" si="46"/>
        <v>0.16592948569805532</v>
      </c>
      <c r="AD49" s="2">
        <f t="shared" si="46"/>
        <v>3.1835683336797471</v>
      </c>
      <c r="AE49" s="2">
        <f t="shared" si="46"/>
        <v>-1.9221254244611989</v>
      </c>
      <c r="AF49" s="2">
        <f t="shared" si="46"/>
        <v>-1.9917838091131659</v>
      </c>
      <c r="AG49" s="2">
        <f t="shared" si="46"/>
        <v>-1.7692907022603985</v>
      </c>
      <c r="AH49" s="2">
        <f t="shared" si="46"/>
        <v>-1.8302919618651892</v>
      </c>
      <c r="AI49" s="18" t="str">
        <f t="shared" si="5"/>
        <v>NP149</v>
      </c>
      <c r="AJ49" s="2">
        <f t="shared" si="6"/>
        <v>1</v>
      </c>
    </row>
    <row r="50" spans="1:36" ht="9" customHeight="1" x14ac:dyDescent="0.25">
      <c r="A50" s="17">
        <v>42</v>
      </c>
      <c r="B50" s="2">
        <f t="shared" si="2"/>
        <v>3.7891112227999741</v>
      </c>
      <c r="C50" s="4">
        <v>2</v>
      </c>
      <c r="D50" s="5">
        <v>17.5142878505062</v>
      </c>
      <c r="E50" s="61" t="s">
        <v>235</v>
      </c>
      <c r="F50" s="5">
        <v>4.5100000000000001E-4</v>
      </c>
      <c r="G50" s="5">
        <v>0.14030000000000001</v>
      </c>
      <c r="H50" s="5">
        <v>0.18709999999999999</v>
      </c>
      <c r="I50" s="5">
        <v>0.81440000000000001</v>
      </c>
      <c r="J50" s="5">
        <v>0.21279999999999999</v>
      </c>
      <c r="K50" s="5">
        <v>0.21970000000000001</v>
      </c>
      <c r="L50" s="5">
        <v>2.4390000000000001</v>
      </c>
      <c r="M50" s="5">
        <v>0.1908</v>
      </c>
      <c r="N50" s="5">
        <v>0.10009999999999999</v>
      </c>
      <c r="O50" s="5">
        <v>2.7240000000000002</v>
      </c>
      <c r="P50" s="5">
        <v>1.3069999999999999</v>
      </c>
      <c r="Q50" s="5">
        <v>2.4E-2</v>
      </c>
      <c r="R50" s="5">
        <v>1.77E-2</v>
      </c>
      <c r="S50" s="5">
        <v>3.544</v>
      </c>
      <c r="T50" s="18" t="str">
        <f t="shared" si="3"/>
        <v>NP150</v>
      </c>
      <c r="U50" s="2">
        <f t="shared" ref="U50:AH50" si="47">IF(OR(F50=0,F50&lt;0.00001,F50&gt;100000),"",IF((IF(F50&gt;F$5,ABS(LOG(((F$5/SUM($F50:$S50))/(F$4/SUM($F$4:$S$4)))*4+2,2)),ABS(LOG(((F50/SUM($F50:$S50))/(F$4/SUM($F$4:$S$4)))*4+2,2)))-3)&gt;15,(IF(F50&gt;F$5,ABS(LOG(((F$5/SUM($F50:$S50))/(F$4/SUM($F$4:$S$4)))*4+2,2)),ABS(LOG(((F50/SUM($F50:$S50))/(F$4/SUM($F$4:$S$4)))*4+2,2)))-3)/7,IF(F50&gt;F$5,ABS(LOG(((F$5/SUM($F50:$S50))/(F$4/SUM($F$4:$S$4)))*4+2,2)),ABS(LOG(((F50/SUM($F50:$S50))/(F$4/SUM($F$4:$S$4)))*4+2,2)))-3))</f>
        <v>4.3674465743492519</v>
      </c>
      <c r="V50" s="2">
        <f t="shared" si="47"/>
        <v>2.7210202622148607</v>
      </c>
      <c r="W50" s="2">
        <f t="shared" si="47"/>
        <v>2.1633955945979428</v>
      </c>
      <c r="X50" s="2">
        <f t="shared" si="47"/>
        <v>-0.69381947207581174</v>
      </c>
      <c r="Y50" s="2">
        <f t="shared" si="47"/>
        <v>1.4088931458474834</v>
      </c>
      <c r="Z50" s="2">
        <f t="shared" si="47"/>
        <v>0.93020803489587722</v>
      </c>
      <c r="AA50" s="2">
        <f t="shared" si="47"/>
        <v>1.0620595317304957</v>
      </c>
      <c r="AB50" s="2">
        <f t="shared" si="47"/>
        <v>0.15401899707771616</v>
      </c>
      <c r="AC50" s="2">
        <f t="shared" si="47"/>
        <v>1.329360477211452</v>
      </c>
      <c r="AD50" s="2">
        <f t="shared" si="47"/>
        <v>1.7350922992860358</v>
      </c>
      <c r="AE50" s="2">
        <f t="shared" si="47"/>
        <v>-1.1823800047663655</v>
      </c>
      <c r="AF50" s="2">
        <f t="shared" si="47"/>
        <v>-1.4799095345961759</v>
      </c>
      <c r="AG50" s="2">
        <f t="shared" si="47"/>
        <v>-0.95244227411196114</v>
      </c>
      <c r="AH50" s="2">
        <f t="shared" si="47"/>
        <v>-0.85639707295092693</v>
      </c>
      <c r="AI50" s="18" t="str">
        <f t="shared" si="5"/>
        <v>NP150</v>
      </c>
      <c r="AJ50" s="2">
        <f t="shared" si="6"/>
        <v>1</v>
      </c>
    </row>
    <row r="51" spans="1:36" ht="9" customHeight="1" x14ac:dyDescent="0.25">
      <c r="A51" s="17">
        <v>43</v>
      </c>
      <c r="B51" s="2">
        <f t="shared" si="2"/>
        <v>0.68485710058072635</v>
      </c>
      <c r="C51" s="4">
        <v>2</v>
      </c>
      <c r="D51" s="5">
        <v>18.2108738837297</v>
      </c>
      <c r="E51" s="61" t="s">
        <v>236</v>
      </c>
      <c r="F51" s="5">
        <v>2.2899999999999999E-3</v>
      </c>
      <c r="G51" s="5">
        <v>0.36709999999999998</v>
      </c>
      <c r="H51" s="5">
        <v>0.2571</v>
      </c>
      <c r="I51" s="5">
        <v>0.62409999999999999</v>
      </c>
      <c r="J51" s="5">
        <v>0.17169999999999999</v>
      </c>
      <c r="K51" s="5">
        <v>0.35010000000000002</v>
      </c>
      <c r="L51" s="5">
        <v>6.0209999999999999</v>
      </c>
      <c r="M51" s="5">
        <v>0.39240000000000003</v>
      </c>
      <c r="N51" s="5">
        <v>0.13519999999999999</v>
      </c>
      <c r="O51" s="5">
        <v>14.57</v>
      </c>
      <c r="P51" s="5">
        <v>2.4820000000000002</v>
      </c>
      <c r="Q51" s="5">
        <v>5.7299999999999999E-3</v>
      </c>
      <c r="R51" s="5">
        <v>1.9800000000000002E-2</v>
      </c>
      <c r="S51" s="5">
        <v>7.3710000000000004</v>
      </c>
      <c r="T51" s="18" t="str">
        <f t="shared" si="3"/>
        <v>NP154</v>
      </c>
      <c r="U51" s="2">
        <f t="shared" ref="U51:AH51" si="48">IF(OR(F51=0,F51&lt;0.00001,F51&gt;100000),"",IF((IF(F51&gt;F$5,ABS(LOG(((F$5/SUM($F51:$S51))/(F$4/SUM($F$4:$S$4)))*4+2,2)),ABS(LOG(((F51/SUM($F51:$S51))/(F$4/SUM($F$4:$S$4)))*4+2,2)))-3)&gt;15,(IF(F51&gt;F$5,ABS(LOG(((F$5/SUM($F51:$S51))/(F$4/SUM($F$4:$S$4)))*4+2,2)),ABS(LOG(((F51/SUM($F51:$S51))/(F$4/SUM($F$4:$S$4)))*4+2,2)))-3)/7,IF(F51&gt;F$5,ABS(LOG(((F$5/SUM($F51:$S51))/(F$4/SUM($F$4:$S$4)))*4+2,2)),ABS(LOG(((F51/SUM($F51:$S51))/(F$4/SUM($F$4:$S$4)))*4+2,2)))-3))</f>
        <v>5.2447515937266829</v>
      </c>
      <c r="V51" s="2">
        <f t="shared" si="48"/>
        <v>2.6526342768938189</v>
      </c>
      <c r="W51" s="2">
        <f t="shared" si="48"/>
        <v>1.2414860646593153</v>
      </c>
      <c r="X51" s="2">
        <f t="shared" si="48"/>
        <v>-1.5036772112048884</v>
      </c>
      <c r="Y51" s="2">
        <f t="shared" si="48"/>
        <v>-6.485690406923128E-2</v>
      </c>
      <c r="Z51" s="2">
        <f t="shared" si="48"/>
        <v>0.27471375590204294</v>
      </c>
      <c r="AA51" s="2">
        <f t="shared" si="48"/>
        <v>0.92643942529930046</v>
      </c>
      <c r="AB51" s="2">
        <f t="shared" si="48"/>
        <v>-0.15934998119864119</v>
      </c>
      <c r="AC51" s="2">
        <f t="shared" si="48"/>
        <v>0.44562092057253944</v>
      </c>
      <c r="AD51" s="2">
        <f t="shared" si="48"/>
        <v>2.6418388489553726</v>
      </c>
      <c r="AE51" s="2">
        <f t="shared" si="48"/>
        <v>-1.3895194002673552</v>
      </c>
      <c r="AF51" s="2">
        <f t="shared" si="48"/>
        <v>-1.9466115035617475</v>
      </c>
      <c r="AG51" s="2">
        <f t="shared" si="48"/>
        <v>-1.479720391222668</v>
      </c>
      <c r="AH51" s="2">
        <f t="shared" si="48"/>
        <v>-1.0626420734991604</v>
      </c>
      <c r="AI51" s="18" t="str">
        <f t="shared" si="5"/>
        <v>NP154</v>
      </c>
      <c r="AJ51" s="2">
        <f t="shared" si="6"/>
        <v>1</v>
      </c>
    </row>
    <row r="52" spans="1:36" ht="9" customHeight="1" x14ac:dyDescent="0.25">
      <c r="A52" s="17">
        <v>44</v>
      </c>
      <c r="B52" s="2">
        <f t="shared" si="2"/>
        <v>5.1797162663764711</v>
      </c>
      <c r="C52" s="4">
        <v>2</v>
      </c>
      <c r="D52" s="5">
        <v>17.146776295275</v>
      </c>
      <c r="E52" s="61" t="s">
        <v>237</v>
      </c>
      <c r="F52" s="5">
        <v>1.9400000000000001E-2</v>
      </c>
      <c r="G52" s="5">
        <v>4.9399999999999999E-2</v>
      </c>
      <c r="H52" s="5">
        <v>7.2999999999999995E-2</v>
      </c>
      <c r="I52" s="5">
        <v>0.61839999999999995</v>
      </c>
      <c r="J52" s="5">
        <v>0.1129</v>
      </c>
      <c r="K52" s="5">
        <v>7.1800000000000003E-2</v>
      </c>
      <c r="L52" s="5">
        <v>0.65180000000000005</v>
      </c>
      <c r="M52" s="5">
        <v>0.1231</v>
      </c>
      <c r="N52" s="5">
        <v>0.1027</v>
      </c>
      <c r="O52" s="5">
        <v>3.1760000000000002</v>
      </c>
      <c r="P52" s="5">
        <v>1.3140000000000001</v>
      </c>
      <c r="Q52" s="5">
        <v>6.7600000000000003E-5</v>
      </c>
      <c r="R52" s="5">
        <v>2.23E-2</v>
      </c>
      <c r="S52" s="5">
        <v>1.522</v>
      </c>
      <c r="T52" s="18" t="str">
        <f t="shared" si="3"/>
        <v>NP158</v>
      </c>
      <c r="U52" s="2">
        <f t="shared" ref="U52:AH52" si="49">IF(OR(F52=0,F52&lt;0.00001,F52&gt;100000),"",IF((IF(F52&gt;F$5,ABS(LOG(((F$5/SUM($F52:$S52))/(F$4/SUM($F$4:$S$4)))*4+2,2)),ABS(LOG(((F52/SUM($F52:$S52))/(F$4/SUM($F$4:$S$4)))*4+2,2)))-3)&gt;15,(IF(F52&gt;F$5,ABS(LOG(((F$5/SUM($F52:$S52))/(F$4/SUM($F$4:$S$4)))*4+2,2)),ABS(LOG(((F52/SUM($F52:$S52))/(F$4/SUM($F$4:$S$4)))*4+2,2)))-3)/7,IF(F52&gt;F$5,ABS(LOG(((F$5/SUM($F52:$S52))/(F$4/SUM($F$4:$S$4)))*4+2,2)),ABS(LOG(((F52/SUM($F52:$S52))/(F$4/SUM($F$4:$S$4)))*4+2,2)))-3))</f>
        <v>10.378444276236074</v>
      </c>
      <c r="V52" s="2">
        <f t="shared" si="49"/>
        <v>1.8635269336121425</v>
      </c>
      <c r="W52" s="2">
        <f t="shared" si="49"/>
        <v>1.4615233441405691</v>
      </c>
      <c r="X52" s="2">
        <f t="shared" si="49"/>
        <v>-0.56867089174655172</v>
      </c>
      <c r="Y52" s="2">
        <f t="shared" si="49"/>
        <v>1.1284944338614258</v>
      </c>
      <c r="Z52" s="2">
        <f t="shared" si="49"/>
        <v>9.8881500239502707E-2</v>
      </c>
      <c r="AA52" s="2">
        <f t="shared" si="49"/>
        <v>-6.8670032537485604E-3</v>
      </c>
      <c r="AB52" s="2">
        <f t="shared" si="49"/>
        <v>0.13026716755069279</v>
      </c>
      <c r="AC52" s="2">
        <f t="shared" si="49"/>
        <v>1.9156114095978838</v>
      </c>
      <c r="AD52" s="2">
        <f t="shared" si="49"/>
        <v>2.5102114916512743</v>
      </c>
      <c r="AE52" s="2">
        <f t="shared" si="49"/>
        <v>-0.8868704500068052</v>
      </c>
      <c r="AF52" s="2">
        <f t="shared" si="49"/>
        <v>-1.9973262643905807</v>
      </c>
      <c r="AG52" s="2">
        <f t="shared" si="49"/>
        <v>-0.39603307720202441</v>
      </c>
      <c r="AH52" s="2">
        <f t="shared" si="49"/>
        <v>-1.1616352703983415</v>
      </c>
      <c r="AI52" s="18" t="str">
        <f t="shared" si="5"/>
        <v>NP158</v>
      </c>
      <c r="AJ52" s="2">
        <f t="shared" si="6"/>
        <v>1</v>
      </c>
    </row>
    <row r="53" spans="1:36" ht="9" customHeight="1" x14ac:dyDescent="0.25">
      <c r="A53" s="17">
        <v>45</v>
      </c>
      <c r="B53" s="2">
        <f t="shared" si="2"/>
        <v>1.9649565454866478</v>
      </c>
      <c r="C53" s="4">
        <v>2</v>
      </c>
      <c r="D53" s="5">
        <v>16.575521519590499</v>
      </c>
      <c r="E53" s="61" t="s">
        <v>238</v>
      </c>
      <c r="F53" s="5">
        <v>2.0500000000000002E-3</v>
      </c>
      <c r="G53" s="5">
        <v>0.17069999999999999</v>
      </c>
      <c r="H53" s="5">
        <v>0.1178</v>
      </c>
      <c r="I53" s="5">
        <v>0.72809999999999997</v>
      </c>
      <c r="J53" s="5">
        <v>3.286</v>
      </c>
      <c r="K53" s="5">
        <v>0.17810000000000001</v>
      </c>
      <c r="L53" s="5">
        <v>2.7909999999999999</v>
      </c>
      <c r="M53" s="5">
        <v>0.21859999999999999</v>
      </c>
      <c r="N53" s="5">
        <v>1.073</v>
      </c>
      <c r="O53" s="5">
        <v>112</v>
      </c>
      <c r="P53" s="5">
        <v>1.131</v>
      </c>
      <c r="Q53" s="5">
        <v>0.11890000000000001</v>
      </c>
      <c r="R53" s="5">
        <v>8.77E-3</v>
      </c>
      <c r="S53" s="5">
        <v>1.694</v>
      </c>
      <c r="T53" s="18" t="str">
        <f t="shared" si="3"/>
        <v>NP160</v>
      </c>
      <c r="U53" s="2">
        <f t="shared" ref="U53:AH53" si="50">IF(OR(F53=0,F53&lt;0.00001,F53&gt;100000),"",IF((IF(F53&gt;F$5,ABS(LOG(((F$5/SUM($F53:$S53))/(F$4/SUM($F$4:$S$4)))*4+2,2)),ABS(LOG(((F53/SUM($F53:$S53))/(F$4/SUM($F$4:$S$4)))*4+2,2)))-3)&gt;15,(IF(F53&gt;F$5,ABS(LOG(((F$5/SUM($F53:$S53))/(F$4/SUM($F$4:$S$4)))*4+2,2)),ABS(LOG(((F53/SUM($F53:$S53))/(F$4/SUM($F$4:$S$4)))*4+2,2)))-3)/7,IF(F53&gt;F$5,ABS(LOG(((F$5/SUM($F53:$S53))/(F$4/SUM($F$4:$S$4)))*4+2,2)),ABS(LOG(((F53/SUM($F53:$S53))/(F$4/SUM($F$4:$S$4)))*4+2,2)))-3))</f>
        <v>3.20095415906738</v>
      </c>
      <c r="V53" s="2">
        <f t="shared" si="50"/>
        <v>-7.3905151168176531E-3</v>
      </c>
      <c r="W53" s="2">
        <f t="shared" si="50"/>
        <v>-0.97987327560088211</v>
      </c>
      <c r="X53" s="2">
        <f t="shared" si="50"/>
        <v>-1.8273978441237733</v>
      </c>
      <c r="Y53" s="2">
        <f t="shared" si="50"/>
        <v>0.42323925270028484</v>
      </c>
      <c r="Z53" s="2">
        <f t="shared" si="50"/>
        <v>-1.3977128625410749</v>
      </c>
      <c r="AA53" s="2">
        <f t="shared" si="50"/>
        <v>-1.1424596262844271</v>
      </c>
      <c r="AB53" s="2">
        <f t="shared" si="50"/>
        <v>-1.5336961339508342</v>
      </c>
      <c r="AC53" s="2">
        <f t="shared" si="50"/>
        <v>1.2820660499122898</v>
      </c>
      <c r="AD53" s="2">
        <f t="shared" si="50"/>
        <v>2.5121446343930387</v>
      </c>
      <c r="AE53" s="2">
        <f t="shared" si="50"/>
        <v>-1.9109324874794498</v>
      </c>
      <c r="AF53" s="2">
        <f t="shared" si="50"/>
        <v>-1.7678923716453245</v>
      </c>
      <c r="AG53" s="2">
        <f t="shared" si="50"/>
        <v>-1.9282007297142261</v>
      </c>
      <c r="AH53" s="2">
        <f t="shared" si="50"/>
        <v>-1.9216770911197543</v>
      </c>
      <c r="AI53" s="18" t="str">
        <f t="shared" si="5"/>
        <v>NP160</v>
      </c>
      <c r="AJ53" s="2">
        <f t="shared" si="6"/>
        <v>1</v>
      </c>
    </row>
    <row r="54" spans="1:36" ht="9" customHeight="1" x14ac:dyDescent="0.25">
      <c r="A54" s="17">
        <v>46</v>
      </c>
      <c r="B54" s="2">
        <f t="shared" si="2"/>
        <v>0.15042366994195319</v>
      </c>
      <c r="C54" s="4">
        <v>2</v>
      </c>
      <c r="D54" s="5">
        <v>16.3237836660618</v>
      </c>
      <c r="E54" s="61" t="s">
        <v>239</v>
      </c>
      <c r="F54" s="5">
        <v>1.1900000000000001E-4</v>
      </c>
      <c r="G54" s="5">
        <v>1.2200000000000001E-2</v>
      </c>
      <c r="H54" s="5">
        <v>3.3599999999999998E-2</v>
      </c>
      <c r="I54" s="5">
        <v>0.24160000000000001</v>
      </c>
      <c r="J54" s="5">
        <v>7.6600000000000001E-2</v>
      </c>
      <c r="K54" s="5">
        <v>1.7999999999999999E-2</v>
      </c>
      <c r="L54" s="5">
        <v>0.2555</v>
      </c>
      <c r="M54" s="5">
        <v>1.0500000000000001E-2</v>
      </c>
      <c r="N54" s="5">
        <v>3.2300000000000002E-2</v>
      </c>
      <c r="O54" s="5">
        <v>2.4510000000000001</v>
      </c>
      <c r="P54" s="5">
        <v>0.81200000000000006</v>
      </c>
      <c r="Q54" s="5"/>
      <c r="R54" s="5">
        <v>1.43E-2</v>
      </c>
      <c r="S54" s="5">
        <v>1.911</v>
      </c>
      <c r="T54" s="18" t="str">
        <f t="shared" si="3"/>
        <v>NP166</v>
      </c>
      <c r="U54" s="2">
        <f t="shared" ref="U54:AH54" si="51">IF(OR(F54=0,F54&lt;0.00001,F54&gt;100000),"",IF((IF(F54&gt;F$5,ABS(LOG(((F$5/SUM($F54:$S54))/(F$4/SUM($F$4:$S$4)))*4+2,2)),ABS(LOG(((F54/SUM($F54:$S54))/(F$4/SUM($F$4:$S$4)))*4+2,2)))-3)&gt;15,(IF(F54&gt;F$5,ABS(LOG(((F$5/SUM($F54:$S54))/(F$4/SUM($F$4:$S$4)))*4+2,2)),ABS(LOG(((F54/SUM($F54:$S54))/(F$4/SUM($F$4:$S$4)))*4+2,2)))-3)/7,IF(F54&gt;F$5,ABS(LOG(((F$5/SUM($F54:$S54))/(F$4/SUM($F$4:$S$4)))*4+2,2)),ABS(LOG(((F54/SUM($F54:$S54))/(F$4/SUM($F$4:$S$4)))*4+2,2)))-3))</f>
        <v>3.4827594663097203</v>
      </c>
      <c r="V54" s="2">
        <f t="shared" si="51"/>
        <v>0.45468554979423992</v>
      </c>
      <c r="W54" s="2">
        <f t="shared" si="51"/>
        <v>0.84234463708823437</v>
      </c>
      <c r="X54" s="2">
        <f t="shared" si="51"/>
        <v>-1.0834696039913514</v>
      </c>
      <c r="Y54" s="2">
        <f t="shared" si="51"/>
        <v>1.0063286223458041</v>
      </c>
      <c r="Z54" s="2">
        <f t="shared" si="51"/>
        <v>-0.92815808061859206</v>
      </c>
      <c r="AA54" s="2">
        <f t="shared" si="51"/>
        <v>-0.64138336617337277</v>
      </c>
      <c r="AB54" s="2">
        <f t="shared" si="51"/>
        <v>-1.5293429717463081</v>
      </c>
      <c r="AC54" s="2">
        <f t="shared" si="51"/>
        <v>0.79349119461811624</v>
      </c>
      <c r="AD54" s="2">
        <f t="shared" si="51"/>
        <v>2.555246109110735</v>
      </c>
      <c r="AE54" s="2">
        <f t="shared" si="51"/>
        <v>-1.0274711695841525</v>
      </c>
      <c r="AF54" s="2" t="str">
        <f t="shared" si="51"/>
        <v/>
      </c>
      <c r="AG54" s="2">
        <f t="shared" si="51"/>
        <v>-0.53997095399681472</v>
      </c>
      <c r="AH54" s="2">
        <f t="shared" si="51"/>
        <v>-0.78300632262105241</v>
      </c>
      <c r="AI54" s="18" t="str">
        <f t="shared" si="5"/>
        <v>NP166</v>
      </c>
      <c r="AJ54" s="2">
        <f t="shared" si="6"/>
        <v>1</v>
      </c>
    </row>
    <row r="55" spans="1:36" ht="9" customHeight="1" x14ac:dyDescent="0.25">
      <c r="A55" s="17">
        <v>47</v>
      </c>
      <c r="B55" s="2">
        <f t="shared" si="2"/>
        <v>5.1077500000036116</v>
      </c>
      <c r="C55" s="4">
        <v>2</v>
      </c>
      <c r="D55" s="5">
        <v>17.3157323554288</v>
      </c>
      <c r="E55" s="61" t="s">
        <v>240</v>
      </c>
      <c r="F55" s="5">
        <v>2.8400000000000002E-2</v>
      </c>
      <c r="G55" s="5">
        <v>0.4214</v>
      </c>
      <c r="H55" s="5">
        <v>0.36930000000000002</v>
      </c>
      <c r="I55" s="5">
        <v>1.2470000000000001</v>
      </c>
      <c r="J55" s="5">
        <v>0.62890000000000001</v>
      </c>
      <c r="K55" s="5">
        <v>0.33900000000000002</v>
      </c>
      <c r="L55" s="5">
        <v>9.0090000000000003</v>
      </c>
      <c r="M55" s="5">
        <v>0.63439999999999996</v>
      </c>
      <c r="N55" s="5">
        <v>6.83E-2</v>
      </c>
      <c r="O55" s="5">
        <v>2.0710000000000002</v>
      </c>
      <c r="P55" s="5">
        <v>6.2119999999999997</v>
      </c>
      <c r="Q55" s="5">
        <v>5.53E-4</v>
      </c>
      <c r="R55" s="5">
        <v>3.7499999999999999E-2</v>
      </c>
      <c r="S55" s="5">
        <v>1.657</v>
      </c>
      <c r="T55" s="18" t="str">
        <f t="shared" si="3"/>
        <v>NP172</v>
      </c>
      <c r="U55" s="2">
        <f t="shared" ref="U55:AH55" si="52">IF(OR(F55=0,F55&lt;0.00001,F55&gt;100000),"",IF((IF(F55&gt;F$5,ABS(LOG(((F$5/SUM($F55:$S55))/(F$4/SUM($F$4:$S$4)))*4+2,2)),ABS(LOG(((F55/SUM($F55:$S55))/(F$4/SUM($F$4:$S$4)))*4+2,2)))-3)&gt;15,(IF(F55&gt;F$5,ABS(LOG(((F$5/SUM($F55:$S55))/(F$4/SUM($F$4:$S$4)))*4+2,2)),ABS(LOG(((F55/SUM($F55:$S55))/(F$4/SUM($F$4:$S$4)))*4+2,2)))-3)/7,IF(F55&gt;F$5,ABS(LOG(((F$5/SUM($F55:$S55))/(F$4/SUM($F$4:$S$4)))*4+2,2)),ABS(LOG(((F55/SUM($F55:$S55))/(F$4/SUM($F$4:$S$4)))*4+2,2)))-3))</f>
        <v>9.3963679156896802</v>
      </c>
      <c r="V55" s="2">
        <f t="shared" si="52"/>
        <v>3.3569156217986844</v>
      </c>
      <c r="W55" s="2">
        <f t="shared" si="52"/>
        <v>2.2109628853876462</v>
      </c>
      <c r="X55" s="2">
        <f t="shared" si="52"/>
        <v>-0.87359640211085399</v>
      </c>
      <c r="Y55" s="2">
        <f t="shared" si="52"/>
        <v>1.9925252228848827</v>
      </c>
      <c r="Z55" s="2">
        <f t="shared" si="52"/>
        <v>0.66917446753735188</v>
      </c>
      <c r="AA55" s="2">
        <f t="shared" si="52"/>
        <v>1.9303635195208004</v>
      </c>
      <c r="AB55" s="2">
        <f t="shared" si="52"/>
        <v>0.81128809470243723</v>
      </c>
      <c r="AC55" s="2">
        <f t="shared" si="52"/>
        <v>8.410182698011992E-2</v>
      </c>
      <c r="AD55" s="2">
        <f t="shared" si="52"/>
        <v>0.56373141376223268</v>
      </c>
      <c r="AE55" s="2">
        <f t="shared" si="52"/>
        <v>-0.84668601322236414</v>
      </c>
      <c r="AF55" s="2">
        <f t="shared" si="52"/>
        <v>-1.9924502612228525</v>
      </c>
      <c r="AG55" s="2">
        <f t="shared" si="52"/>
        <v>-0.87171664965356044</v>
      </c>
      <c r="AH55" s="2">
        <f t="shared" si="52"/>
        <v>-1.625232635612939</v>
      </c>
      <c r="AI55" s="18" t="str">
        <f t="shared" si="5"/>
        <v>NP172</v>
      </c>
      <c r="AJ55" s="2">
        <f t="shared" si="6"/>
        <v>1</v>
      </c>
    </row>
    <row r="56" spans="1:36" ht="9" customHeight="1" x14ac:dyDescent="0.25">
      <c r="A56" s="17">
        <v>48</v>
      </c>
      <c r="B56" s="2">
        <f t="shared" si="2"/>
        <v>5.3655753399763739</v>
      </c>
      <c r="C56" s="4">
        <v>2</v>
      </c>
      <c r="D56" s="5">
        <v>17.786054486027801</v>
      </c>
      <c r="E56" s="61" t="s">
        <v>241</v>
      </c>
      <c r="F56" s="5">
        <v>8.6800000000000002E-3</v>
      </c>
      <c r="G56" s="5">
        <v>8.4400000000000003E-2</v>
      </c>
      <c r="H56" s="5">
        <v>0.10489999999999999</v>
      </c>
      <c r="I56" s="5">
        <v>0.93300000000000005</v>
      </c>
      <c r="J56" s="5">
        <v>8.1500000000000003E-2</v>
      </c>
      <c r="K56" s="5">
        <v>0.1053</v>
      </c>
      <c r="L56" s="5">
        <v>1.5329999999999999</v>
      </c>
      <c r="M56" s="5">
        <v>0.1157</v>
      </c>
      <c r="N56" s="5">
        <v>4.4699999999999997E-2</v>
      </c>
      <c r="O56" s="5">
        <v>0.95620000000000005</v>
      </c>
      <c r="P56" s="5">
        <v>1.8919999999999999</v>
      </c>
      <c r="Q56" s="5">
        <v>2.1499999999999998E-2</v>
      </c>
      <c r="R56" s="5">
        <v>5.0099999999999999E-2</v>
      </c>
      <c r="S56" s="5">
        <v>1.484</v>
      </c>
      <c r="T56" s="18" t="str">
        <f t="shared" si="3"/>
        <v>NP174</v>
      </c>
      <c r="U56" s="2">
        <f t="shared" ref="U56:AH56" si="53">IF(OR(F56=0,F56&lt;0.00001,F56&gt;100000),"",IF((IF(F56&gt;F$5,ABS(LOG(((F$5/SUM($F56:$S56))/(F$4/SUM($F$4:$S$4)))*4+2,2)),ABS(LOG(((F56/SUM($F56:$S56))/(F$4/SUM($F$4:$S$4)))*4+2,2)))-3)&gt;15,(IF(F56&gt;F$5,ABS(LOG(((F$5/SUM($F56:$S56))/(F$4/SUM($F$4:$S$4)))*4+2,2)),ABS(LOG(((F56/SUM($F56:$S56))/(F$4/SUM($F$4:$S$4)))*4+2,2)))-3)/7,IF(F56&gt;F$5,ABS(LOG(((F$5/SUM($F56:$S56))/(F$4/SUM($F$4:$S$4)))*4+2,2)),ABS(LOG(((F56/SUM($F56:$S56))/(F$4/SUM($F$4:$S$4)))*4+2,2)))-3))</f>
        <v>9.3019665599479353</v>
      </c>
      <c r="V56" s="2">
        <f t="shared" si="53"/>
        <v>2.6747091661244689</v>
      </c>
      <c r="W56" s="2">
        <f t="shared" si="53"/>
        <v>2.0224140277442926</v>
      </c>
      <c r="X56" s="2">
        <f t="shared" si="53"/>
        <v>-0.10748501286055046</v>
      </c>
      <c r="Y56" s="2">
        <f t="shared" si="53"/>
        <v>0.79166752191132783</v>
      </c>
      <c r="Z56" s="2">
        <f t="shared" si="53"/>
        <v>0.6094928360718983</v>
      </c>
      <c r="AA56" s="2">
        <f t="shared" si="53"/>
        <v>1.0753606675294929</v>
      </c>
      <c r="AB56" s="2">
        <f t="shared" si="53"/>
        <v>0.12569347464093061</v>
      </c>
      <c r="AC56" s="2">
        <f t="shared" si="53"/>
        <v>0.90661233314713741</v>
      </c>
      <c r="AD56" s="2">
        <f t="shared" si="53"/>
        <v>0.99108008159930572</v>
      </c>
      <c r="AE56" s="2">
        <f t="shared" si="53"/>
        <v>-0.52772415895111902</v>
      </c>
      <c r="AF56" s="2">
        <f t="shared" si="53"/>
        <v>-1.2994355501798303</v>
      </c>
      <c r="AG56" s="2">
        <f t="shared" si="53"/>
        <v>0.54985210997349743</v>
      </c>
      <c r="AH56" s="2">
        <f t="shared" si="53"/>
        <v>-1.1407170165959948</v>
      </c>
      <c r="AI56" s="18" t="str">
        <f t="shared" si="5"/>
        <v>NP174</v>
      </c>
      <c r="AJ56" s="2">
        <f t="shared" si="6"/>
        <v>1</v>
      </c>
    </row>
    <row r="57" spans="1:36" ht="9" customHeight="1" x14ac:dyDescent="0.25">
      <c r="A57" s="17">
        <v>49</v>
      </c>
      <c r="B57" s="2">
        <f t="shared" si="2"/>
        <v>4.4766845948149632</v>
      </c>
      <c r="C57" s="4">
        <v>2</v>
      </c>
      <c r="D57" s="5">
        <v>15.528288045342</v>
      </c>
      <c r="E57" s="61" t="s">
        <v>242</v>
      </c>
      <c r="F57" s="5">
        <v>1.2500000000000001E-2</v>
      </c>
      <c r="G57" s="5">
        <v>0.2097</v>
      </c>
      <c r="H57" s="5">
        <v>0.14729999999999999</v>
      </c>
      <c r="I57" s="5">
        <v>0.43740000000000001</v>
      </c>
      <c r="J57" s="5">
        <v>4.4600000000000001E-2</v>
      </c>
      <c r="K57" s="5">
        <v>0.17169999999999999</v>
      </c>
      <c r="L57" s="5">
        <v>1.6970000000000001</v>
      </c>
      <c r="M57" s="5">
        <v>0.1794</v>
      </c>
      <c r="N57" s="5">
        <v>2.2700000000000001E-2</v>
      </c>
      <c r="O57" s="5">
        <v>0.47299999999999998</v>
      </c>
      <c r="P57" s="5">
        <v>1.2989999999999999</v>
      </c>
      <c r="Q57" s="5">
        <v>8.4599999999999995E-2</v>
      </c>
      <c r="R57" s="5">
        <v>1.3599999999999999E-2</v>
      </c>
      <c r="S57" s="5">
        <v>5.3689999999999998</v>
      </c>
      <c r="T57" s="18" t="str">
        <f t="shared" si="3"/>
        <v>NP175</v>
      </c>
      <c r="U57" s="2">
        <f t="shared" ref="U57:AH57" si="54">IF(OR(F57=0,F57&lt;0.00001,F57&gt;100000),"",IF((IF(F57&gt;F$5,ABS(LOG(((F$5/SUM($F57:$S57))/(F$4/SUM($F$4:$S$4)))*4+2,2)),ABS(LOG(((F57/SUM($F57:$S57))/(F$4/SUM($F$4:$S$4)))*4+2,2)))-3)&gt;15,(IF(F57&gt;F$5,ABS(LOG(((F$5/SUM($F57:$S57))/(F$4/SUM($F$4:$S$4)))*4+2,2)),ABS(LOG(((F57/SUM($F57:$S57))/(F$4/SUM($F$4:$S$4)))*4+2,2)))-3)/7,IF(F57&gt;F$5,ABS(LOG(((F$5/SUM($F57:$S57))/(F$4/SUM($F$4:$S$4)))*4+2,2)),ABS(LOG(((F57/SUM($F57:$S57))/(F$4/SUM($F$4:$S$4)))*4+2,2)))-3))</f>
        <v>9.373501378511472</v>
      </c>
      <c r="V57" s="2">
        <f t="shared" si="54"/>
        <v>3.5075664280256778</v>
      </c>
      <c r="W57" s="2">
        <f t="shared" si="54"/>
        <v>2.0554200057446019</v>
      </c>
      <c r="X57" s="2">
        <f t="shared" si="54"/>
        <v>-1.0528595469173181</v>
      </c>
      <c r="Y57" s="2">
        <f t="shared" si="54"/>
        <v>-0.24907815175336045</v>
      </c>
      <c r="Z57" s="2">
        <f t="shared" si="54"/>
        <v>0.8220572943111244</v>
      </c>
      <c r="AA57" s="2">
        <f t="shared" si="54"/>
        <v>0.80755617469893792</v>
      </c>
      <c r="AB57" s="2">
        <f t="shared" si="54"/>
        <v>0.26495501296873991</v>
      </c>
      <c r="AC57" s="2">
        <f t="shared" si="54"/>
        <v>-0.23100256563017485</v>
      </c>
      <c r="AD57" s="2">
        <f t="shared" si="54"/>
        <v>-0.18895946745553927</v>
      </c>
      <c r="AE57" s="2">
        <f t="shared" si="54"/>
        <v>-1.0823193991067506</v>
      </c>
      <c r="AF57" s="2">
        <f t="shared" si="54"/>
        <v>-0.51715758801803569</v>
      </c>
      <c r="AG57" s="2">
        <f t="shared" si="54"/>
        <v>-1.027782585820374</v>
      </c>
      <c r="AH57" s="2">
        <f t="shared" si="54"/>
        <v>-0.34494197776675017</v>
      </c>
      <c r="AI57" s="18" t="str">
        <f t="shared" si="5"/>
        <v>NP175</v>
      </c>
      <c r="AJ57" s="2">
        <f t="shared" si="6"/>
        <v>1</v>
      </c>
    </row>
    <row r="58" spans="1:36" ht="9" customHeight="1" x14ac:dyDescent="0.25">
      <c r="A58" s="17">
        <v>50</v>
      </c>
      <c r="B58" s="2">
        <f t="shared" si="2"/>
        <v>5.0865619880060668</v>
      </c>
      <c r="C58" s="4">
        <v>2</v>
      </c>
      <c r="D58" s="5">
        <v>16.5685073904686</v>
      </c>
      <c r="E58" s="61" t="s">
        <v>243</v>
      </c>
      <c r="F58" s="5">
        <v>5.3200000000000001E-3</v>
      </c>
      <c r="G58" s="5">
        <v>0.13389999999999999</v>
      </c>
      <c r="H58" s="5">
        <v>0.19520000000000001</v>
      </c>
      <c r="I58" s="5">
        <v>0.76990000000000003</v>
      </c>
      <c r="J58" s="5">
        <v>0.44330000000000003</v>
      </c>
      <c r="K58" s="5">
        <v>0.17419999999999999</v>
      </c>
      <c r="L58" s="5">
        <v>3.419</v>
      </c>
      <c r="M58" s="5">
        <v>0.16980000000000001</v>
      </c>
      <c r="N58" s="5">
        <v>4.4999999999999998E-2</v>
      </c>
      <c r="O58" s="5">
        <v>1.875</v>
      </c>
      <c r="P58" s="5">
        <v>1.3959999999999999</v>
      </c>
      <c r="Q58" s="5">
        <v>1.72E-3</v>
      </c>
      <c r="R58" s="5">
        <v>2.0500000000000001E-2</v>
      </c>
      <c r="S58" s="5">
        <v>1.0940000000000001</v>
      </c>
      <c r="T58" s="18" t="str">
        <f t="shared" si="3"/>
        <v>NP176</v>
      </c>
      <c r="U58" s="2">
        <f t="shared" ref="U58:AH58" si="55">IF(OR(F58=0,F58&lt;0.00001,F58&gt;100000),"",IF((IF(F58&gt;F$5,ABS(LOG(((F$5/SUM($F58:$S58))/(F$4/SUM($F$4:$S$4)))*4+2,2)),ABS(LOG(((F58/SUM($F58:$S58))/(F$4/SUM($F$4:$S$4)))*4+2,2)))-3)&gt;15,(IF(F58&gt;F$5,ABS(LOG(((F$5/SUM($F58:$S58))/(F$4/SUM($F$4:$S$4)))*4+2,2)),ABS(LOG(((F58/SUM($F58:$S58))/(F$4/SUM($F$4:$S$4)))*4+2,2)))-3)/7,IF(F58&gt;F$5,ABS(LOG(((F$5/SUM($F58:$S58))/(F$4/SUM($F$4:$S$4)))*4+2,2)),ABS(LOG(((F58/SUM($F58:$S58))/(F$4/SUM($F$4:$S$4)))*4+2,2)))-3))</f>
        <v>8.2024516135025944</v>
      </c>
      <c r="V58" s="2">
        <f t="shared" si="55"/>
        <v>2.9369136766471318</v>
      </c>
      <c r="W58" s="2">
        <f t="shared" si="55"/>
        <v>2.4981227761455456</v>
      </c>
      <c r="X58" s="2">
        <f t="shared" si="55"/>
        <v>-0.56505490301193451</v>
      </c>
      <c r="Y58" s="2">
        <f t="shared" si="55"/>
        <v>2.6738145201726722</v>
      </c>
      <c r="Z58" s="2">
        <f t="shared" si="55"/>
        <v>0.89235468382240324</v>
      </c>
      <c r="AA58" s="2">
        <f t="shared" si="55"/>
        <v>1.7665839360139133</v>
      </c>
      <c r="AB58" s="2">
        <f t="shared" si="55"/>
        <v>0.25020965304053844</v>
      </c>
      <c r="AC58" s="2">
        <f t="shared" si="55"/>
        <v>0.57991522292562037</v>
      </c>
      <c r="AD58" s="2">
        <f t="shared" si="55"/>
        <v>1.5075424471176477</v>
      </c>
      <c r="AE58" s="2">
        <f t="shared" si="55"/>
        <v>-1.0025103303087375</v>
      </c>
      <c r="AF58" s="2">
        <f t="shared" si="55"/>
        <v>-1.9461073338584467</v>
      </c>
      <c r="AG58" s="2">
        <f t="shared" si="55"/>
        <v>-0.67107474782830456</v>
      </c>
      <c r="AH58" s="2">
        <f t="shared" si="55"/>
        <v>-1.457219102773458</v>
      </c>
      <c r="AI58" s="18" t="str">
        <f t="shared" si="5"/>
        <v>NP176</v>
      </c>
      <c r="AJ58" s="2">
        <f t="shared" si="6"/>
        <v>1</v>
      </c>
    </row>
    <row r="59" spans="1:36" ht="9" customHeight="1" x14ac:dyDescent="0.25">
      <c r="A59" s="17">
        <v>51</v>
      </c>
      <c r="B59" s="2">
        <f t="shared" si="2"/>
        <v>4.4054535669801789</v>
      </c>
      <c r="C59" s="4">
        <v>2</v>
      </c>
      <c r="D59" s="5">
        <v>17.3223914133915</v>
      </c>
      <c r="E59" s="61" t="s">
        <v>244</v>
      </c>
      <c r="F59" s="5">
        <v>2.6700000000000002E-2</v>
      </c>
      <c r="G59" s="5">
        <v>1.21E-2</v>
      </c>
      <c r="H59" s="5">
        <v>4.9099999999999998E-2</v>
      </c>
      <c r="I59" s="5">
        <v>0.27789999999999998</v>
      </c>
      <c r="J59" s="5">
        <v>9.2399999999999996E-2</v>
      </c>
      <c r="K59" s="5">
        <v>1.83E-2</v>
      </c>
      <c r="L59" s="5">
        <v>0.31530000000000002</v>
      </c>
      <c r="M59" s="5">
        <v>1.12E-2</v>
      </c>
      <c r="N59" s="5">
        <v>9.3699999999999999E-3</v>
      </c>
      <c r="O59" s="5">
        <v>0.2291</v>
      </c>
      <c r="P59" s="5">
        <v>0.71389999999999998</v>
      </c>
      <c r="Q59" s="5">
        <v>1.08E-3</v>
      </c>
      <c r="R59" s="5">
        <v>3.0499999999999999E-2</v>
      </c>
      <c r="S59" s="5">
        <v>2.3460000000000001</v>
      </c>
      <c r="T59" s="18" t="str">
        <f t="shared" si="3"/>
        <v>NP177</v>
      </c>
      <c r="U59" s="2">
        <f t="shared" ref="U59:AH59" si="56">IF(OR(F59=0,F59&lt;0.00001,F59&gt;100000),"",IF((IF(F59&gt;F$5,ABS(LOG(((F$5/SUM($F59:$S59))/(F$4/SUM($F$4:$S$4)))*4+2,2)),ABS(LOG(((F59/SUM($F59:$S59))/(F$4/SUM($F$4:$S$4)))*4+2,2)))-3)&gt;15,(IF(F59&gt;F$5,ABS(LOG(((F$5/SUM($F59:$S59))/(F$4/SUM($F$4:$S$4)))*4+2,2)),ABS(LOG(((F59/SUM($F59:$S59))/(F$4/SUM($F$4:$S$4)))*4+2,2)))-3)/7,IF(F59&gt;F$5,ABS(LOG(((F$5/SUM($F59:$S59))/(F$4/SUM($F$4:$S$4)))*4+2,2)),ABS(LOG(((F59/SUM($F59:$S59))/(F$4/SUM($F$4:$S$4)))*4+2,2)))-3))</f>
        <v>11.765842303507361</v>
      </c>
      <c r="V59" s="2">
        <f t="shared" si="56"/>
        <v>0.87028725704704524</v>
      </c>
      <c r="W59" s="2">
        <f t="shared" si="56"/>
        <v>1.7873067017818594</v>
      </c>
      <c r="X59" s="2">
        <f t="shared" si="56"/>
        <v>-0.70739606621195072</v>
      </c>
      <c r="Y59" s="2">
        <f t="shared" si="56"/>
        <v>1.7060206643132192</v>
      </c>
      <c r="Z59" s="2">
        <f t="shared" si="56"/>
        <v>-0.6264529050700518</v>
      </c>
      <c r="AA59" s="2">
        <f t="shared" si="56"/>
        <v>-9.6447780064581767E-2</v>
      </c>
      <c r="AB59" s="2">
        <f t="shared" si="56"/>
        <v>-1.3361898043079665</v>
      </c>
      <c r="AC59" s="2">
        <f t="shared" si="56"/>
        <v>-0.21592098224645762</v>
      </c>
      <c r="AD59" s="2">
        <f t="shared" si="56"/>
        <v>-4.4005149025259094E-3</v>
      </c>
      <c r="AE59" s="2">
        <f t="shared" si="56"/>
        <v>-0.86162026183719842</v>
      </c>
      <c r="AF59" s="2">
        <f t="shared" si="56"/>
        <v>-1.9209264586830666</v>
      </c>
      <c r="AG59" s="2">
        <f t="shared" si="56"/>
        <v>0.65616713263862003</v>
      </c>
      <c r="AH59" s="2">
        <f t="shared" si="56"/>
        <v>-0.27356480712549747</v>
      </c>
      <c r="AI59" s="18" t="str">
        <f t="shared" si="5"/>
        <v>NP177</v>
      </c>
      <c r="AJ59" s="2">
        <f t="shared" si="6"/>
        <v>1</v>
      </c>
    </row>
    <row r="60" spans="1:36" ht="9" customHeight="1" x14ac:dyDescent="0.25">
      <c r="A60" s="17">
        <v>52</v>
      </c>
      <c r="B60" s="2">
        <f t="shared" si="2"/>
        <v>4.9537189525747909</v>
      </c>
      <c r="C60" s="4">
        <v>2</v>
      </c>
      <c r="D60" s="5">
        <v>18.1245449164234</v>
      </c>
      <c r="E60" s="61" t="s">
        <v>245</v>
      </c>
      <c r="F60" s="5">
        <v>1.2699999999999999E-2</v>
      </c>
      <c r="G60" s="5">
        <v>7.2499999999999995E-2</v>
      </c>
      <c r="H60" s="5">
        <v>9.9299999999999999E-2</v>
      </c>
      <c r="I60" s="5">
        <v>0.66839999999999999</v>
      </c>
      <c r="J60" s="5">
        <v>8.7999999999999995E-2</v>
      </c>
      <c r="K60" s="5">
        <v>9.3200000000000005E-2</v>
      </c>
      <c r="L60" s="5">
        <v>0.98780000000000001</v>
      </c>
      <c r="M60" s="5">
        <v>6.2899999999999998E-2</v>
      </c>
      <c r="N60" s="5">
        <v>4.4299999999999999E-5</v>
      </c>
      <c r="O60" s="5">
        <v>0.66339999999999999</v>
      </c>
      <c r="P60" s="5">
        <v>2.2370000000000001</v>
      </c>
      <c r="Q60" s="5"/>
      <c r="R60" s="5">
        <v>3.85E-2</v>
      </c>
      <c r="S60" s="5">
        <v>1.79</v>
      </c>
      <c r="T60" s="18" t="str">
        <f t="shared" si="3"/>
        <v>NP183</v>
      </c>
      <c r="U60" s="2">
        <f t="shared" ref="U60:AH60" si="57">IF(OR(F60=0,F60&lt;0.00001,F60&gt;100000),"",IF((IF(F60&gt;F$5,ABS(LOG(((F$5/SUM($F60:$S60))/(F$4/SUM($F$4:$S$4)))*4+2,2)),ABS(LOG(((F60/SUM($F60:$S60))/(F$4/SUM($F$4:$S$4)))*4+2,2)))-3)&gt;15,(IF(F60&gt;F$5,ABS(LOG(((F$5/SUM($F60:$S60))/(F$4/SUM($F$4:$S$4)))*4+2,2)),ABS(LOG(((F60/SUM($F60:$S60))/(F$4/SUM($F$4:$S$4)))*4+2,2)))-3)/7,IF(F60&gt;F$5,ABS(LOG(((F$5/SUM($F60:$S60))/(F$4/SUM($F$4:$S$4)))*4+2,2)),ABS(LOG(((F60/SUM($F60:$S60))/(F$4/SUM($F$4:$S$4)))*4+2,2)))-3))</f>
        <v>9.9728105507600855</v>
      </c>
      <c r="V60" s="2">
        <f t="shared" si="57"/>
        <v>2.5813764599710529</v>
      </c>
      <c r="W60" s="2">
        <f t="shared" si="57"/>
        <v>2.0626598021038767</v>
      </c>
      <c r="X60" s="2">
        <f t="shared" si="57"/>
        <v>-0.36079175133323904</v>
      </c>
      <c r="Y60" s="2">
        <f t="shared" si="57"/>
        <v>0.9929914161312916</v>
      </c>
      <c r="Z60" s="2">
        <f t="shared" si="57"/>
        <v>0.56439050017723336</v>
      </c>
      <c r="AA60" s="2">
        <f t="shared" si="57"/>
        <v>0.63443545867656059</v>
      </c>
      <c r="AB60" s="2">
        <f t="shared" si="57"/>
        <v>-0.41971987498966712</v>
      </c>
      <c r="AC60" s="2">
        <f t="shared" si="57"/>
        <v>-1.9899238620522788</v>
      </c>
      <c r="AD60" s="2">
        <f t="shared" si="57"/>
        <v>0.64335253607927712</v>
      </c>
      <c r="AE60" s="2">
        <f t="shared" si="57"/>
        <v>-0.28484270079837248</v>
      </c>
      <c r="AF60" s="2" t="str">
        <f t="shared" si="57"/>
        <v/>
      </c>
      <c r="AG60" s="2">
        <f t="shared" si="57"/>
        <v>0.33934200981179785</v>
      </c>
      <c r="AH60" s="2">
        <f t="shared" si="57"/>
        <v>-0.95130184866084244</v>
      </c>
      <c r="AI60" s="18" t="str">
        <f t="shared" si="5"/>
        <v>NP183</v>
      </c>
      <c r="AJ60" s="2">
        <f t="shared" si="6"/>
        <v>1</v>
      </c>
    </row>
    <row r="61" spans="1:36" ht="9" customHeight="1" x14ac:dyDescent="0.25">
      <c r="A61" s="17">
        <v>53</v>
      </c>
      <c r="B61" s="2">
        <f t="shared" si="2"/>
        <v>5.4765050215050071</v>
      </c>
      <c r="C61" s="4">
        <v>2</v>
      </c>
      <c r="D61" s="5">
        <v>17.0936084592845</v>
      </c>
      <c r="E61" s="61" t="s">
        <v>246</v>
      </c>
      <c r="F61" s="5">
        <v>2.41E-2</v>
      </c>
      <c r="G61" s="5">
        <v>0.10340000000000001</v>
      </c>
      <c r="H61" s="5">
        <v>9.2600000000000002E-2</v>
      </c>
      <c r="I61" s="5">
        <v>0.67620000000000002</v>
      </c>
      <c r="J61" s="5">
        <v>0.75509999999999999</v>
      </c>
      <c r="K61" s="5">
        <v>0.16200000000000001</v>
      </c>
      <c r="L61" s="5">
        <v>2.633</v>
      </c>
      <c r="M61" s="5">
        <v>0.14330000000000001</v>
      </c>
      <c r="N61" s="5">
        <v>2.2280000000000002</v>
      </c>
      <c r="O61" s="5">
        <v>0.73919999999999997</v>
      </c>
      <c r="P61" s="5">
        <v>1.5680000000000001</v>
      </c>
      <c r="Q61" s="5">
        <v>3.98E-3</v>
      </c>
      <c r="R61" s="5">
        <v>1.7999999999999999E-2</v>
      </c>
      <c r="S61" s="5">
        <v>4.0469999999999997</v>
      </c>
      <c r="T61" s="18" t="str">
        <f t="shared" si="3"/>
        <v>NP184</v>
      </c>
      <c r="U61" s="2">
        <f t="shared" ref="U61:AH61" si="58">IF(OR(F61=0,F61&lt;0.00001,F61&gt;100000),"",IF((IF(F61&gt;F$5,ABS(LOG(((F$5/SUM($F61:$S61))/(F$4/SUM($F$4:$S$4)))*4+2,2)),ABS(LOG(((F61/SUM($F61:$S61))/(F$4/SUM($F$4:$S$4)))*4+2,2)))-3)&gt;15,(IF(F61&gt;F$5,ABS(LOG(((F$5/SUM($F61:$S61))/(F$4/SUM($F$4:$S$4)))*4+2,2)),ABS(LOG(((F61/SUM($F61:$S61))/(F$4/SUM($F$4:$S$4)))*4+2,2)))-3)/7,IF(F61&gt;F$5,ABS(LOG(((F$5/SUM($F61:$S61))/(F$4/SUM($F$4:$S$4)))*4+2,2)),ABS(LOG(((F61/SUM($F61:$S61))/(F$4/SUM($F$4:$S$4)))*4+2,2)))-3))</f>
        <v>9.9436733494869891</v>
      </c>
      <c r="V61" s="2">
        <f t="shared" si="58"/>
        <v>2.161606867314716</v>
      </c>
      <c r="W61" s="2">
        <f t="shared" si="58"/>
        <v>1.0985961023963462</v>
      </c>
      <c r="X61" s="2">
        <f t="shared" si="58"/>
        <v>-0.92619804528213034</v>
      </c>
      <c r="Y61" s="2">
        <f t="shared" si="58"/>
        <v>2.9931118755657335</v>
      </c>
      <c r="Z61" s="2">
        <f t="shared" si="58"/>
        <v>0.43617508197265131</v>
      </c>
      <c r="AA61" s="2">
        <f t="shared" si="58"/>
        <v>1.0305024942920085</v>
      </c>
      <c r="AB61" s="2">
        <f t="shared" si="58"/>
        <v>-0.25943741579704804</v>
      </c>
      <c r="AC61" s="2">
        <f t="shared" si="58"/>
        <v>4.3698960813966918</v>
      </c>
      <c r="AD61" s="2">
        <f t="shared" si="58"/>
        <v>7.1247611132756461E-3</v>
      </c>
      <c r="AE61" s="2">
        <f t="shared" si="58"/>
        <v>-1.1308909838748351</v>
      </c>
      <c r="AF61" s="2">
        <f t="shared" si="58"/>
        <v>-1.9090966105857481</v>
      </c>
      <c r="AG61" s="2">
        <f t="shared" si="58"/>
        <v>-1.0141677268663241</v>
      </c>
      <c r="AH61" s="2">
        <f t="shared" si="58"/>
        <v>-0.83150663966213179</v>
      </c>
      <c r="AI61" s="18" t="str">
        <f t="shared" si="5"/>
        <v>NP184</v>
      </c>
      <c r="AJ61" s="2">
        <f t="shared" si="6"/>
        <v>1</v>
      </c>
    </row>
    <row r="62" spans="1:36" ht="9" customHeight="1" x14ac:dyDescent="0.25">
      <c r="A62" s="17">
        <v>54</v>
      </c>
      <c r="B62" s="2">
        <f t="shared" si="2"/>
        <v>1.6495793755519821</v>
      </c>
      <c r="C62" s="4">
        <v>2</v>
      </c>
      <c r="D62" s="5">
        <v>18.186552132735901</v>
      </c>
      <c r="E62" s="61" t="s">
        <v>247</v>
      </c>
      <c r="F62" s="5">
        <v>4.6800000000000001E-3</v>
      </c>
      <c r="G62" s="5">
        <v>6.1499999999999999E-2</v>
      </c>
      <c r="H62" s="5">
        <v>5.8999999999999997E-2</v>
      </c>
      <c r="I62" s="5">
        <v>0.55159999999999998</v>
      </c>
      <c r="J62" s="5">
        <v>8.9099999999999995E-3</v>
      </c>
      <c r="K62" s="5">
        <v>2.7199999999999998E-2</v>
      </c>
      <c r="L62" s="5">
        <v>0.61550000000000005</v>
      </c>
      <c r="M62" s="5">
        <v>3.3599999999999998E-2</v>
      </c>
      <c r="N62" s="5">
        <v>1.21E-2</v>
      </c>
      <c r="O62" s="5">
        <v>0.32419999999999999</v>
      </c>
      <c r="P62" s="5">
        <v>1.9059999999999999</v>
      </c>
      <c r="Q62" s="5">
        <v>1.6699999999999999E-4</v>
      </c>
      <c r="R62" s="5">
        <v>3.9699999999999999E-2</v>
      </c>
      <c r="S62" s="5">
        <v>1.22</v>
      </c>
      <c r="T62" s="18" t="str">
        <f t="shared" si="3"/>
        <v>NP194</v>
      </c>
      <c r="U62" s="2">
        <f t="shared" ref="U62:AH62" si="59">IF(OR(F62=0,F62&lt;0.00001,F62&gt;100000),"",IF((IF(F62&gt;F$5,ABS(LOG(((F$5/SUM($F62:$S62))/(F$4/SUM($F$4:$S$4)))*4+2,2)),ABS(LOG(((F62/SUM($F62:$S62))/(F$4/SUM($F$4:$S$4)))*4+2,2)))-3)&gt;15,(IF(F62&gt;F$5,ABS(LOG(((F$5/SUM($F62:$S62))/(F$4/SUM($F$4:$S$4)))*4+2,2)),ABS(LOG(((F62/SUM($F62:$S62))/(F$4/SUM($F$4:$S$4)))*4+2,2)))-3)/7,IF(F62&gt;F$5,ABS(LOG(((F$5/SUM($F62:$S62))/(F$4/SUM($F$4:$S$4)))*4+2,2)),ABS(LOG(((F62/SUM($F62:$S62))/(F$4/SUM($F$4:$S$4)))*4+2,2)))-3))</f>
        <v>9.0191568519488623</v>
      </c>
      <c r="V62" s="2">
        <f t="shared" si="59"/>
        <v>2.8206602067996895</v>
      </c>
      <c r="W62" s="2">
        <f t="shared" si="59"/>
        <v>1.8151305791743528</v>
      </c>
      <c r="X62" s="2">
        <f t="shared" si="59"/>
        <v>-0.21552673892039564</v>
      </c>
      <c r="Y62" s="2">
        <f t="shared" si="59"/>
        <v>-1.0091735711336836</v>
      </c>
      <c r="Z62" s="2">
        <f t="shared" si="59"/>
        <v>-0.41054002358926223</v>
      </c>
      <c r="AA62" s="2">
        <f t="shared" si="59"/>
        <v>0.47168982923246361</v>
      </c>
      <c r="AB62" s="2">
        <f t="shared" si="59"/>
        <v>-0.68426254867812375</v>
      </c>
      <c r="AC62" s="2">
        <f t="shared" si="59"/>
        <v>-0.11965996639406873</v>
      </c>
      <c r="AD62" s="2">
        <f t="shared" si="59"/>
        <v>0.19927405013634258</v>
      </c>
      <c r="AE62" s="2">
        <f t="shared" si="59"/>
        <v>-0.10267142984861444</v>
      </c>
      <c r="AF62" s="2">
        <f t="shared" si="59"/>
        <v>-1.9893602808624136</v>
      </c>
      <c r="AG62" s="2">
        <f t="shared" si="59"/>
        <v>0.7793812197764578</v>
      </c>
      <c r="AH62" s="2">
        <f t="shared" si="59"/>
        <v>-0.98543440439638541</v>
      </c>
      <c r="AI62" s="18" t="str">
        <f t="shared" si="5"/>
        <v>NP194</v>
      </c>
      <c r="AJ62" s="2">
        <f t="shared" si="6"/>
        <v>1</v>
      </c>
    </row>
    <row r="63" spans="1:36" ht="9" customHeight="1" x14ac:dyDescent="0.25">
      <c r="A63" s="17">
        <v>55</v>
      </c>
      <c r="B63" s="2">
        <f t="shared" si="2"/>
        <v>5.4042380411334401</v>
      </c>
      <c r="C63" s="4">
        <v>2</v>
      </c>
      <c r="D63" s="5">
        <v>18.298188117722201</v>
      </c>
      <c r="E63" s="61" t="s">
        <v>248</v>
      </c>
      <c r="F63" s="5">
        <v>2.1000000000000001E-2</v>
      </c>
      <c r="G63" s="5">
        <v>0.4118</v>
      </c>
      <c r="H63" s="5">
        <v>0.40410000000000001</v>
      </c>
      <c r="I63" s="5">
        <v>0.94310000000000005</v>
      </c>
      <c r="J63" s="5">
        <v>0.13739999999999999</v>
      </c>
      <c r="K63" s="5">
        <v>0.2666</v>
      </c>
      <c r="L63" s="5">
        <v>3.9849999999999999</v>
      </c>
      <c r="M63" s="5">
        <v>0.53590000000000004</v>
      </c>
      <c r="N63" s="5">
        <v>2.3400000000000001E-2</v>
      </c>
      <c r="O63" s="5">
        <v>2.73</v>
      </c>
      <c r="P63" s="5">
        <v>3.0659999999999998</v>
      </c>
      <c r="Q63" s="5">
        <v>4.4999999999999998E-2</v>
      </c>
      <c r="R63" s="5">
        <v>2.5999999999999999E-2</v>
      </c>
      <c r="S63" s="5">
        <v>2.875</v>
      </c>
      <c r="T63" s="18" t="str">
        <f t="shared" si="3"/>
        <v>NP255</v>
      </c>
      <c r="U63" s="2">
        <f t="shared" ref="U63:AH63" si="60">IF(OR(F63=0,F63&lt;0.00001,F63&gt;100000),"",IF((IF(F63&gt;F$5,ABS(LOG(((F$5/SUM($F63:$S63))/(F$4/SUM($F$4:$S$4)))*4+2,2)),ABS(LOG(((F63/SUM($F63:$S63))/(F$4/SUM($F$4:$S$4)))*4+2,2)))-3)&gt;15,(IF(F63&gt;F$5,ABS(LOG(((F$5/SUM($F63:$S63))/(F$4/SUM($F$4:$S$4)))*4+2,2)),ABS(LOG(((F63/SUM($F63:$S63))/(F$4/SUM($F$4:$S$4)))*4+2,2)))-3)/7,IF(F63&gt;F$5,ABS(LOG(((F$5/SUM($F63:$S63))/(F$4/SUM($F$4:$S$4)))*4+2,2)),ABS(LOG(((F63/SUM($F63:$S63))/(F$4/SUM($F$4:$S$4)))*4+2,2)))-3))</f>
        <v>9.5155238231692465</v>
      </c>
      <c r="V63" s="2">
        <f t="shared" si="60"/>
        <v>3.8676511733887713</v>
      </c>
      <c r="W63" s="2">
        <f t="shared" si="60"/>
        <v>2.8658438373157384</v>
      </c>
      <c r="X63" s="2">
        <f t="shared" si="60"/>
        <v>-0.78939833694334283</v>
      </c>
      <c r="Y63" s="2">
        <f t="shared" si="60"/>
        <v>0.53285339391885866</v>
      </c>
      <c r="Z63" s="2">
        <f t="shared" si="60"/>
        <v>0.8464741626908725</v>
      </c>
      <c r="AA63" s="2">
        <f t="shared" si="60"/>
        <v>1.3584087132845211</v>
      </c>
      <c r="AB63" s="2">
        <f t="shared" si="60"/>
        <v>1.0821087824261069</v>
      </c>
      <c r="AC63" s="2">
        <f t="shared" si="60"/>
        <v>-0.60463107030661556</v>
      </c>
      <c r="AD63" s="2">
        <f t="shared" si="60"/>
        <v>1.3939088784030877</v>
      </c>
      <c r="AE63" s="2">
        <f t="shared" si="60"/>
        <v>-0.75003632380665231</v>
      </c>
      <c r="AF63" s="2">
        <f t="shared" si="60"/>
        <v>-1.2976636160143502</v>
      </c>
      <c r="AG63" s="2">
        <f t="shared" si="60"/>
        <v>-0.85737689793280669</v>
      </c>
      <c r="AH63" s="2">
        <f t="shared" si="60"/>
        <v>-1.1877205876382353</v>
      </c>
      <c r="AI63" s="18" t="str">
        <f t="shared" si="5"/>
        <v>NP255</v>
      </c>
      <c r="AJ63" s="2">
        <f t="shared" si="6"/>
        <v>1</v>
      </c>
    </row>
    <row r="64" spans="1:36" ht="9" customHeight="1" x14ac:dyDescent="0.25">
      <c r="A64" s="17">
        <v>56</v>
      </c>
      <c r="B64" s="2">
        <f t="shared" si="2"/>
        <v>2.822608474170726</v>
      </c>
      <c r="C64" s="4">
        <v>2</v>
      </c>
      <c r="D64" s="5">
        <v>18.183460399913699</v>
      </c>
      <c r="E64" s="61" t="s">
        <v>249</v>
      </c>
      <c r="F64" s="5">
        <v>1.4100000000000001E-4</v>
      </c>
      <c r="G64" s="5">
        <v>0.12520000000000001</v>
      </c>
      <c r="H64" s="5">
        <v>0.09</v>
      </c>
      <c r="I64" s="5">
        <v>0.72919999999999996</v>
      </c>
      <c r="J64" s="5">
        <v>0.15160000000000001</v>
      </c>
      <c r="K64" s="5">
        <v>0.1031</v>
      </c>
      <c r="L64" s="5">
        <v>1.615</v>
      </c>
      <c r="M64" s="5">
        <v>0.13789999999999999</v>
      </c>
      <c r="N64" s="5">
        <v>0.94579999999999997</v>
      </c>
      <c r="O64" s="5">
        <v>1.135</v>
      </c>
      <c r="P64" s="5">
        <v>2.113</v>
      </c>
      <c r="Q64" s="5">
        <v>1.1900000000000001E-3</v>
      </c>
      <c r="R64" s="5">
        <v>2.1499999999999998E-2</v>
      </c>
      <c r="S64" s="5">
        <v>2.5419999999999998</v>
      </c>
      <c r="T64" s="18" t="str">
        <f t="shared" si="3"/>
        <v>NP256</v>
      </c>
      <c r="U64" s="2">
        <f t="shared" ref="U64:AH64" si="61">IF(OR(F64=0,F64&lt;0.00001,F64&gt;100000),"",IF((IF(F64&gt;F$5,ABS(LOG(((F$5/SUM($F64:$S64))/(F$4/SUM($F$4:$S$4)))*4+2,2)),ABS(LOG(((F64/SUM($F64:$S64))/(F$4/SUM($F$4:$S$4)))*4+2,2)))-3)&gt;15,(IF(F64&gt;F$5,ABS(LOG(((F$5/SUM($F64:$S64))/(F$4/SUM($F$4:$S$4)))*4+2,2)),ABS(LOG(((F64/SUM($F64:$S64))/(F$4/SUM($F$4:$S$4)))*4+2,2)))-3)/7,IF(F64&gt;F$5,ABS(LOG(((F$5/SUM($F64:$S64))/(F$4/SUM($F$4:$S$4)))*4+2,2)),ABS(LOG(((F64/SUM($F64:$S64))/(F$4/SUM($F$4:$S$4)))*4+2,2)))-3))</f>
        <v>3.0137084657555508</v>
      </c>
      <c r="V64" s="2">
        <f t="shared" si="61"/>
        <v>2.8478726225199171</v>
      </c>
      <c r="W64" s="2">
        <f t="shared" si="61"/>
        <v>1.4582666405521287</v>
      </c>
      <c r="X64" s="2">
        <f t="shared" si="61"/>
        <v>-0.61098082060076564</v>
      </c>
      <c r="Y64" s="2">
        <f t="shared" si="61"/>
        <v>1.2349218957825494</v>
      </c>
      <c r="Z64" s="2">
        <f t="shared" si="61"/>
        <v>0.26757417449374543</v>
      </c>
      <c r="AA64" s="2">
        <f t="shared" si="61"/>
        <v>0.80243531430932169</v>
      </c>
      <c r="AB64" s="2">
        <f t="shared" si="61"/>
        <v>2.2092048528356223E-2</v>
      </c>
      <c r="AC64" s="2">
        <f t="shared" si="61"/>
        <v>4.727860312171865</v>
      </c>
      <c r="AD64" s="2">
        <f t="shared" si="61"/>
        <v>0.86788794569413241</v>
      </c>
      <c r="AE64" s="2">
        <f t="shared" si="61"/>
        <v>-0.67038815010818942</v>
      </c>
      <c r="AF64" s="2">
        <f t="shared" si="61"/>
        <v>-1.9623774571651256</v>
      </c>
      <c r="AG64" s="2">
        <f t="shared" si="61"/>
        <v>-0.62639157447591076</v>
      </c>
      <c r="AH64" s="2">
        <f t="shared" si="61"/>
        <v>-0.95394083434148147</v>
      </c>
      <c r="AI64" s="18" t="str">
        <f t="shared" si="5"/>
        <v>NP256</v>
      </c>
      <c r="AJ64" s="2">
        <f t="shared" si="6"/>
        <v>1</v>
      </c>
    </row>
    <row r="65" spans="1:36" ht="9" customHeight="1" x14ac:dyDescent="0.25">
      <c r="A65" s="17">
        <v>57</v>
      </c>
      <c r="B65" s="2">
        <f t="shared" si="2"/>
        <v>5.1717336060467511</v>
      </c>
      <c r="C65" s="4">
        <v>2</v>
      </c>
      <c r="D65" s="5">
        <v>16.4783989855557</v>
      </c>
      <c r="E65" s="61" t="s">
        <v>250</v>
      </c>
      <c r="F65" s="5">
        <v>1.3899999999999999E-2</v>
      </c>
      <c r="G65" s="5">
        <v>0.17630000000000001</v>
      </c>
      <c r="H65" s="5">
        <v>0.32629999999999998</v>
      </c>
      <c r="I65" s="5">
        <v>1.264</v>
      </c>
      <c r="J65" s="5">
        <v>0.28260000000000002</v>
      </c>
      <c r="K65" s="5">
        <v>0.42070000000000002</v>
      </c>
      <c r="L65" s="5">
        <v>8.1210000000000004</v>
      </c>
      <c r="M65" s="5">
        <v>0.74619999999999997</v>
      </c>
      <c r="N65" s="5">
        <v>6.9900000000000004E-2</v>
      </c>
      <c r="O65" s="5">
        <v>1.6830000000000001</v>
      </c>
      <c r="P65" s="5">
        <v>2.0529999999999999</v>
      </c>
      <c r="Q65" s="5">
        <v>1.14E-3</v>
      </c>
      <c r="R65" s="5">
        <v>1.67E-2</v>
      </c>
      <c r="S65" s="5">
        <v>0.38179999999999997</v>
      </c>
      <c r="T65" s="18" t="str">
        <f t="shared" si="3"/>
        <v>NP257</v>
      </c>
      <c r="U65" s="2">
        <f t="shared" ref="U65:AH65" si="62">IF(OR(F65=0,F65&lt;0.00001,F65&gt;100000),"",IF((IF(F65&gt;F$5,ABS(LOG(((F$5/SUM($F65:$S65))/(F$4/SUM($F$4:$S$4)))*4+2,2)),ABS(LOG(((F65/SUM($F65:$S65))/(F$4/SUM($F$4:$S$4)))*4+2,2)))-3)&gt;15,(IF(F65&gt;F$5,ABS(LOG(((F$5/SUM($F65:$S65))/(F$4/SUM($F$4:$S$4)))*4+2,2)),ABS(LOG(((F65/SUM($F65:$S65))/(F$4/SUM($F$4:$S$4)))*4+2,2)))-3)/7,IF(F65&gt;F$5,ABS(LOG(((F$5/SUM($F65:$S65))/(F$4/SUM($F$4:$S$4)))*4+2,2)),ABS(LOG(((F65/SUM($F65:$S65))/(F$4/SUM($F$4:$S$4)))*4+2,2)))-3))</f>
        <v>8.912455169570439</v>
      </c>
      <c r="V65" s="2">
        <f t="shared" si="62"/>
        <v>2.6686669749862428</v>
      </c>
      <c r="W65" s="2">
        <f t="shared" si="62"/>
        <v>2.5613982395695469</v>
      </c>
      <c r="X65" s="2">
        <f t="shared" si="62"/>
        <v>-0.5396271271697044</v>
      </c>
      <c r="Y65" s="2">
        <f t="shared" si="62"/>
        <v>1.4318207548599275</v>
      </c>
      <c r="Z65" s="2">
        <f t="shared" si="62"/>
        <v>1.3560626349151521</v>
      </c>
      <c r="AA65" s="2">
        <f t="shared" si="62"/>
        <v>2.3043898581623861</v>
      </c>
      <c r="AB65" s="2">
        <f t="shared" si="62"/>
        <v>1.5035633567227968</v>
      </c>
      <c r="AC65" s="2">
        <f t="shared" si="62"/>
        <v>0.54689889190337748</v>
      </c>
      <c r="AD65" s="2">
        <f t="shared" si="62"/>
        <v>0.77214565756749121</v>
      </c>
      <c r="AE65" s="2">
        <f t="shared" si="62"/>
        <v>-1.0605233192197159</v>
      </c>
      <c r="AF65" s="2">
        <f t="shared" si="62"/>
        <v>-1.9773844520946806</v>
      </c>
      <c r="AG65" s="2">
        <f t="shared" si="62"/>
        <v>-1.1750351382184381</v>
      </c>
      <c r="AH65" s="2">
        <f t="shared" si="62"/>
        <v>-1.8627088615988454</v>
      </c>
      <c r="AI65" s="18" t="str">
        <f t="shared" si="5"/>
        <v>NP257</v>
      </c>
      <c r="AJ65" s="2">
        <f t="shared" si="6"/>
        <v>1</v>
      </c>
    </row>
    <row r="66" spans="1:36" ht="9" customHeight="1" x14ac:dyDescent="0.25">
      <c r="A66" s="17">
        <v>58</v>
      </c>
      <c r="B66" s="2">
        <f t="shared" si="2"/>
        <v>1.7021623554412075</v>
      </c>
      <c r="C66" s="4">
        <v>2</v>
      </c>
      <c r="D66" s="5">
        <v>15.778624924609</v>
      </c>
      <c r="E66" s="61" t="s">
        <v>251</v>
      </c>
      <c r="F66" s="5">
        <v>1.73E-3</v>
      </c>
      <c r="G66" s="5">
        <v>9.5500000000000002E-2</v>
      </c>
      <c r="H66" s="5">
        <v>9.7900000000000001E-2</v>
      </c>
      <c r="I66" s="5">
        <v>0.25340000000000001</v>
      </c>
      <c r="J66" s="5">
        <v>0.33289999999999997</v>
      </c>
      <c r="K66" s="5">
        <v>5.0299999999999997E-2</v>
      </c>
      <c r="L66" s="5">
        <v>0.97599999999999998</v>
      </c>
      <c r="M66" s="5">
        <v>9.5799999999999996E-2</v>
      </c>
      <c r="N66" s="5">
        <v>6.3E-2</v>
      </c>
      <c r="O66" s="5">
        <v>4.8449999999999998</v>
      </c>
      <c r="P66" s="5">
        <v>1.5580000000000001</v>
      </c>
      <c r="Q66" s="5">
        <v>9.7599999999999998E-4</v>
      </c>
      <c r="R66" s="5">
        <v>2.1000000000000001E-2</v>
      </c>
      <c r="S66" s="5">
        <v>1.1399999999999999</v>
      </c>
      <c r="T66" s="18" t="str">
        <f t="shared" si="3"/>
        <v>NP284</v>
      </c>
      <c r="U66" s="2">
        <f t="shared" ref="U66:AH66" si="63">IF(OR(F66=0,F66&lt;0.00001,F66&gt;100000),"",IF((IF(F66&gt;F$5,ABS(LOG(((F$5/SUM($F66:$S66))/(F$4/SUM($F$4:$S$4)))*4+2,2)),ABS(LOG(((F66/SUM($F66:$S66))/(F$4/SUM($F$4:$S$4)))*4+2,2)))-3)&gt;15,(IF(F66&gt;F$5,ABS(LOG(((F$5/SUM($F66:$S66))/(F$4/SUM($F$4:$S$4)))*4+2,2)),ABS(LOG(((F66/SUM($F66:$S66))/(F$4/SUM($F$4:$S$4)))*4+2,2)))-3)/7,IF(F66&gt;F$5,ABS(LOG(((F$5/SUM($F66:$S66))/(F$4/SUM($F$4:$S$4)))*4+2,2)),ABS(LOG(((F66/SUM($F66:$S66))/(F$4/SUM($F$4:$S$4)))*4+2,2)))-3))</f>
        <v>6.6158926805151328</v>
      </c>
      <c r="V66" s="2">
        <f t="shared" si="63"/>
        <v>2.4983691476863221</v>
      </c>
      <c r="W66" s="2">
        <f t="shared" si="63"/>
        <v>1.593636230724889</v>
      </c>
      <c r="X66" s="2">
        <f t="shared" si="63"/>
        <v>-1.3463123569448263</v>
      </c>
      <c r="Y66" s="2">
        <f t="shared" si="63"/>
        <v>2.3092693151507149</v>
      </c>
      <c r="Z66" s="2">
        <f t="shared" si="63"/>
        <v>-0.4657947763535164</v>
      </c>
      <c r="AA66" s="2">
        <f t="shared" si="63"/>
        <v>0.226347580032912</v>
      </c>
      <c r="AB66" s="2">
        <f t="shared" si="63"/>
        <v>-0.33689624434053922</v>
      </c>
      <c r="AC66" s="2">
        <f t="shared" si="63"/>
        <v>1.0224066120655042</v>
      </c>
      <c r="AD66" s="2">
        <f t="shared" si="63"/>
        <v>2.8277256355316318</v>
      </c>
      <c r="AE66" s="2">
        <f t="shared" si="63"/>
        <v>-0.90453163278882842</v>
      </c>
      <c r="AF66" s="2">
        <f t="shared" si="63"/>
        <v>-1.9684962986212839</v>
      </c>
      <c r="AG66" s="2">
        <f t="shared" si="63"/>
        <v>-0.63073907261795625</v>
      </c>
      <c r="AH66" s="2">
        <f t="shared" si="63"/>
        <v>-1.4280438201546539</v>
      </c>
      <c r="AI66" s="18" t="str">
        <f t="shared" si="5"/>
        <v>NP284</v>
      </c>
      <c r="AJ66" s="2">
        <f t="shared" si="6"/>
        <v>1</v>
      </c>
    </row>
    <row r="67" spans="1:36" ht="9" customHeight="1" x14ac:dyDescent="0.25">
      <c r="A67" s="17">
        <v>59</v>
      </c>
      <c r="B67" s="2">
        <f t="shared" si="2"/>
        <v>0.47314706318514793</v>
      </c>
      <c r="C67" s="4">
        <v>2</v>
      </c>
      <c r="D67" s="5">
        <v>17.600577481946601</v>
      </c>
      <c r="E67" s="61" t="s">
        <v>252</v>
      </c>
      <c r="F67" s="5">
        <v>6.6600000000000001E-3</v>
      </c>
      <c r="G67" s="5">
        <v>8.2699999999999996E-3</v>
      </c>
      <c r="H67" s="5">
        <v>7.4200000000000002E-2</v>
      </c>
      <c r="I67" s="5">
        <v>0.36249999999999999</v>
      </c>
      <c r="J67" s="5">
        <v>0.15240000000000001</v>
      </c>
      <c r="K67" s="5">
        <v>8.6700000000000006E-3</v>
      </c>
      <c r="L67" s="5">
        <v>8.6699999999999999E-2</v>
      </c>
      <c r="M67" s="5">
        <v>1.06E-2</v>
      </c>
      <c r="N67" s="5">
        <v>3.81E-3</v>
      </c>
      <c r="O67" s="5">
        <v>4.3070000000000004</v>
      </c>
      <c r="P67" s="5">
        <v>0.3735</v>
      </c>
      <c r="Q67" s="5">
        <v>1.5300000000000001E-4</v>
      </c>
      <c r="R67" s="5">
        <v>3.1099999999999999E-2</v>
      </c>
      <c r="S67" s="5">
        <v>3.1139999999999999</v>
      </c>
      <c r="T67" s="18" t="str">
        <f t="shared" si="3"/>
        <v>NP313</v>
      </c>
      <c r="U67" s="2">
        <f t="shared" ref="U67:AH67" si="64">IF(OR(F67=0,F67&lt;0.00001,F67&gt;100000),"",IF((IF(F67&gt;F$5,ABS(LOG(((F$5/SUM($F67:$S67))/(F$4/SUM($F$4:$S$4)))*4+2,2)),ABS(LOG(((F67/SUM($F67:$S67))/(F$4/SUM($F$4:$S$4)))*4+2,2)))-3)&gt;15,(IF(F67&gt;F$5,ABS(LOG(((F$5/SUM($F67:$S67))/(F$4/SUM($F$4:$S$4)))*4+2,2)),ABS(LOG(((F67/SUM($F67:$S67))/(F$4/SUM($F$4:$S$4)))*4+2,2)))-3)/7,IF(F67&gt;F$5,ABS(LOG(((F$5/SUM($F67:$S67))/(F$4/SUM($F$4:$S$4)))*4+2,2)),ABS(LOG(((F67/SUM($F67:$S67))/(F$4/SUM($F$4:$S$4)))*4+2,2)))-3))</f>
        <v>8.7163604784865942</v>
      </c>
      <c r="V67" s="2">
        <f t="shared" si="64"/>
        <v>-0.37335301594952153</v>
      </c>
      <c r="W67" s="2">
        <f t="shared" si="64"/>
        <v>1.3738872489036247</v>
      </c>
      <c r="X67" s="2">
        <f t="shared" si="64"/>
        <v>-1.0624961927311167</v>
      </c>
      <c r="Y67" s="2">
        <f t="shared" si="64"/>
        <v>1.4086017760025582</v>
      </c>
      <c r="Z67" s="2">
        <f t="shared" si="64"/>
        <v>-1.5512868910964779</v>
      </c>
      <c r="AA67" s="2">
        <f t="shared" si="64"/>
        <v>-1.5512868910964779</v>
      </c>
      <c r="AB67" s="2">
        <f t="shared" si="64"/>
        <v>-1.6578771036462563</v>
      </c>
      <c r="AC67" s="2">
        <f t="shared" si="64"/>
        <v>-1.4334678284608078</v>
      </c>
      <c r="AD67" s="2">
        <f t="shared" si="64"/>
        <v>2.8168526365334783</v>
      </c>
      <c r="AE67" s="2">
        <f t="shared" si="64"/>
        <v>-1.6168478803446855</v>
      </c>
      <c r="AF67" s="2">
        <f t="shared" si="64"/>
        <v>-1.9944378585695015</v>
      </c>
      <c r="AG67" s="2">
        <f t="shared" si="64"/>
        <v>-0.14508881051008293</v>
      </c>
      <c r="AH67" s="2">
        <f t="shared" si="64"/>
        <v>-0.68768736080239456</v>
      </c>
      <c r="AI67" s="18" t="str">
        <f t="shared" si="5"/>
        <v>NP313</v>
      </c>
      <c r="AJ67" s="2">
        <f t="shared" si="6"/>
        <v>1</v>
      </c>
    </row>
    <row r="68" spans="1:36" ht="9" customHeight="1" x14ac:dyDescent="0.25">
      <c r="A68" s="17">
        <v>60</v>
      </c>
      <c r="B68" s="2">
        <f t="shared" si="2"/>
        <v>5.9483029443944613</v>
      </c>
      <c r="C68" s="4">
        <v>2</v>
      </c>
      <c r="D68" s="5">
        <v>18.871975540831802</v>
      </c>
      <c r="E68" s="61" t="s">
        <v>253</v>
      </c>
      <c r="F68" s="5">
        <v>2.1399999999999999E-2</v>
      </c>
      <c r="G68" s="5">
        <v>2.41E-2</v>
      </c>
      <c r="H68" s="5">
        <v>0.2072</v>
      </c>
      <c r="I68" s="5">
        <v>1.0549999999999999</v>
      </c>
      <c r="J68" s="5">
        <v>0.51500000000000001</v>
      </c>
      <c r="K68" s="5">
        <v>5.9200000000000003E-2</v>
      </c>
      <c r="L68" s="5">
        <v>0.35570000000000002</v>
      </c>
      <c r="M68" s="5">
        <v>9.2499999999999999E-2</v>
      </c>
      <c r="N68" s="5">
        <v>1.5299999999999999E-2</v>
      </c>
      <c r="O68" s="5">
        <v>0.9254</v>
      </c>
      <c r="P68" s="5">
        <v>0.51739999999999997</v>
      </c>
      <c r="Q68" s="5"/>
      <c r="R68" s="5">
        <v>4.7699999999999999E-2</v>
      </c>
      <c r="S68" s="5">
        <v>3.0329999999999999</v>
      </c>
      <c r="T68" s="18" t="str">
        <f t="shared" si="3"/>
        <v>NP382</v>
      </c>
      <c r="U68" s="2">
        <f t="shared" ref="U68:AH68" si="65">IF(OR(F68=0,F68&lt;0.00001,F68&gt;100000),"",IF((IF(F68&gt;F$5,ABS(LOG(((F$5/SUM($F68:$S68))/(F$4/SUM($F$4:$S$4)))*4+2,2)),ABS(LOG(((F68/SUM($F68:$S68))/(F$4/SUM($F$4:$S$4)))*4+2,2)))-3)&gt;15,(IF(F68&gt;F$5,ABS(LOG(((F$5/SUM($F68:$S68))/(F$4/SUM($F$4:$S$4)))*4+2,2)),ABS(LOG(((F68/SUM($F68:$S68))/(F$4/SUM($F$4:$S$4)))*4+2,2)))-3)/7,IF(F68&gt;F$5,ABS(LOG(((F$5/SUM($F68:$S68))/(F$4/SUM($F$4:$S$4)))*4+2,2)),ABS(LOG(((F68/SUM($F68:$S68))/(F$4/SUM($F$4:$S$4)))*4+2,2)))-3))</f>
        <v>10.713817377698291</v>
      </c>
      <c r="V68" s="2">
        <f t="shared" si="65"/>
        <v>1.0983654466942907</v>
      </c>
      <c r="W68" s="2">
        <f t="shared" si="65"/>
        <v>3.0668573753115052</v>
      </c>
      <c r="X68" s="2">
        <f t="shared" si="65"/>
        <v>0.10816351299777249</v>
      </c>
      <c r="Y68" s="2">
        <f t="shared" si="65"/>
        <v>3.3719732756344465</v>
      </c>
      <c r="Z68" s="2">
        <f t="shared" si="65"/>
        <v>3.4545836716479705E-2</v>
      </c>
      <c r="AA68" s="2">
        <f t="shared" si="65"/>
        <v>-0.4835924148457944</v>
      </c>
      <c r="AB68" s="2">
        <f t="shared" si="65"/>
        <v>-3.5276532840680108E-2</v>
      </c>
      <c r="AC68" s="2">
        <f t="shared" si="65"/>
        <v>-0.23396772823395429</v>
      </c>
      <c r="AD68" s="2">
        <f t="shared" si="65"/>
        <v>1.0464187205759901</v>
      </c>
      <c r="AE68" s="2">
        <f t="shared" si="65"/>
        <v>-1.3922565498611521</v>
      </c>
      <c r="AF68" s="2" t="str">
        <f t="shared" si="65"/>
        <v/>
      </c>
      <c r="AG68" s="2">
        <f t="shared" si="65"/>
        <v>0.58271801729906025</v>
      </c>
      <c r="AH68" s="2">
        <f t="shared" si="65"/>
        <v>-0.51652430663874327</v>
      </c>
      <c r="AI68" s="18" t="str">
        <f t="shared" si="5"/>
        <v>NP382</v>
      </c>
      <c r="AJ68" s="2">
        <f t="shared" si="6"/>
        <v>1</v>
      </c>
    </row>
    <row r="69" spans="1:36" ht="9" customHeight="1" x14ac:dyDescent="0.25">
      <c r="A69" s="17">
        <v>61</v>
      </c>
      <c r="B69" s="2">
        <f t="shared" si="2"/>
        <v>0.52061005403388616</v>
      </c>
      <c r="C69" s="4">
        <v>2</v>
      </c>
      <c r="D69" s="5">
        <v>19.997366054965799</v>
      </c>
      <c r="E69" s="61" t="s">
        <v>254</v>
      </c>
      <c r="F69" s="5">
        <v>1.23E-2</v>
      </c>
      <c r="G69" s="5">
        <v>8.1699999999999995E-2</v>
      </c>
      <c r="H69" s="5">
        <v>2.98E-2</v>
      </c>
      <c r="I69" s="5">
        <v>1.1950000000000001</v>
      </c>
      <c r="J69" s="5">
        <v>4.1109999999999998</v>
      </c>
      <c r="K69" s="5">
        <v>9.4500000000000001E-2</v>
      </c>
      <c r="L69" s="5">
        <v>0.8861</v>
      </c>
      <c r="M69" s="5">
        <v>9.1700000000000004E-2</v>
      </c>
      <c r="N69" s="5">
        <v>8.3099999999999997E-3</v>
      </c>
      <c r="O69" s="5">
        <v>15.77</v>
      </c>
      <c r="P69" s="5">
        <v>1.1259999999999999</v>
      </c>
      <c r="Q69" s="5">
        <v>3.32E-2</v>
      </c>
      <c r="R69" s="5">
        <v>0.1343</v>
      </c>
      <c r="S69" s="5">
        <v>0.99980000000000002</v>
      </c>
      <c r="T69" s="18" t="str">
        <f t="shared" si="3"/>
        <v>NP388</v>
      </c>
      <c r="U69" s="2">
        <f t="shared" ref="U69:AH69" si="66">IF(OR(F69=0,F69&lt;0.00001,F69&gt;100000),"",IF((IF(F69&gt;F$5,ABS(LOG(((F$5/SUM($F69:$S69))/(F$4/SUM($F$4:$S$4)))*4+2,2)),ABS(LOG(((F69/SUM($F69:$S69))/(F$4/SUM($F$4:$S$4)))*4+2,2)))-3)&gt;15,(IF(F69&gt;F$5,ABS(LOG(((F$5/SUM($F69:$S69))/(F$4/SUM($F$4:$S$4)))*4+2,2)),ABS(LOG(((F69/SUM($F69:$S69))/(F$4/SUM($F$4:$S$4)))*4+2,2)))-3)/7,IF(F69&gt;F$5,ABS(LOG(((F$5/SUM($F69:$S69))/(F$4/SUM($F$4:$S$4)))*4+2,2)),ABS(LOG(((F69/SUM($F69:$S69))/(F$4/SUM($F$4:$S$4)))*4+2,2)))-3))</f>
        <v>8.0770216891012883</v>
      </c>
      <c r="V69" s="2">
        <f t="shared" si="66"/>
        <v>1.0299901266058553</v>
      </c>
      <c r="W69" s="2">
        <f t="shared" si="66"/>
        <v>-0.79381428129763387</v>
      </c>
      <c r="X69" s="2">
        <f t="shared" si="66"/>
        <v>-0.96546968121226451</v>
      </c>
      <c r="Y69" s="2">
        <f t="shared" si="66"/>
        <v>2.5194180040635956</v>
      </c>
      <c r="Z69" s="2">
        <f t="shared" si="66"/>
        <v>-0.74792112844847614</v>
      </c>
      <c r="AA69" s="2">
        <f t="shared" si="66"/>
        <v>-0.80105564242581995</v>
      </c>
      <c r="AB69" s="2">
        <f t="shared" si="66"/>
        <v>-1.1483686918462461</v>
      </c>
      <c r="AC69" s="2">
        <f t="shared" si="66"/>
        <v>-1.5515815247070492</v>
      </c>
      <c r="AD69" s="2">
        <f t="shared" si="66"/>
        <v>3.1533986414195745</v>
      </c>
      <c r="AE69" s="2">
        <f t="shared" si="66"/>
        <v>-1.6009052313433698</v>
      </c>
      <c r="AF69" s="2">
        <f t="shared" si="66"/>
        <v>-1.6311937502490852</v>
      </c>
      <c r="AG69" s="2">
        <f t="shared" si="66"/>
        <v>-0.53809304468618091</v>
      </c>
      <c r="AH69" s="2">
        <f t="shared" si="66"/>
        <v>-1.7790426483065416</v>
      </c>
      <c r="AI69" s="18" t="str">
        <f t="shared" si="5"/>
        <v>NP388</v>
      </c>
      <c r="AJ69" s="2">
        <f t="shared" si="6"/>
        <v>1</v>
      </c>
    </row>
    <row r="70" spans="1:36" ht="9" customHeight="1" x14ac:dyDescent="0.25">
      <c r="A70" s="17">
        <v>62</v>
      </c>
      <c r="B70" s="2">
        <f t="shared" si="2"/>
        <v>1.9329121836201073</v>
      </c>
      <c r="C70" s="4">
        <v>2</v>
      </c>
      <c r="D70" s="21">
        <v>19.874277026012798</v>
      </c>
      <c r="E70" s="62" t="s">
        <v>255</v>
      </c>
      <c r="F70" s="21"/>
      <c r="G70" s="21">
        <v>8.8699999999999994E-3</v>
      </c>
      <c r="H70" s="21">
        <v>2.4400000000000002E-2</v>
      </c>
      <c r="I70" s="21">
        <v>0.90590000000000004</v>
      </c>
      <c r="J70" s="21">
        <v>4.7110000000000003</v>
      </c>
      <c r="K70" s="21">
        <v>2.0500000000000001E-2</v>
      </c>
      <c r="L70" s="21">
        <v>7.8299999999999995E-2</v>
      </c>
      <c r="M70" s="21">
        <v>1.23E-2</v>
      </c>
      <c r="N70" s="21">
        <v>1.7999999999999999E-2</v>
      </c>
      <c r="O70" s="21">
        <v>10.31</v>
      </c>
      <c r="P70" s="21">
        <v>0.52470000000000006</v>
      </c>
      <c r="Q70" s="21">
        <v>1.6299999999999999E-2</v>
      </c>
      <c r="R70" s="21">
        <v>0.113</v>
      </c>
      <c r="S70" s="21">
        <v>1.7609999999999999</v>
      </c>
      <c r="T70" s="18" t="str">
        <f t="shared" si="3"/>
        <v>NP410</v>
      </c>
      <c r="U70" s="2" t="str">
        <f t="shared" ref="U70:AH70" si="67">IF(OR(F70=0,F70&lt;0.00001,F70&gt;100000),"",IF((IF(F70&gt;F$5,ABS(LOG(((F$5/SUM($F70:$S70))/(F$4/SUM($F$4:$S$4)))*4+2,2)),ABS(LOG(((F70/SUM($F70:$S70))/(F$4/SUM($F$4:$S$4)))*4+2,2)))-3)&gt;15,(IF(F70&gt;F$5,ABS(LOG(((F$5/SUM($F70:$S70))/(F$4/SUM($F$4:$S$4)))*4+2,2)),ABS(LOG(((F70/SUM($F70:$S70))/(F$4/SUM($F$4:$S$4)))*4+2,2)))-3)/7,IF(F70&gt;F$5,ABS(LOG(((F$5/SUM($F70:$S70))/(F$4/SUM($F$4:$S$4)))*4+2,2)),ABS(LOG(((F70/SUM($F70:$S70))/(F$4/SUM($F$4:$S$4)))*4+2,2)))-3))</f>
        <v/>
      </c>
      <c r="V70" s="2">
        <f t="shared" si="67"/>
        <v>-0.97605131572223902</v>
      </c>
      <c r="W70" s="2">
        <f t="shared" si="67"/>
        <v>-0.72411816756185354</v>
      </c>
      <c r="X70" s="2">
        <f t="shared" si="67"/>
        <v>-0.96051195061094274</v>
      </c>
      <c r="Y70" s="2">
        <f t="shared" si="67"/>
        <v>2.9130540217130632</v>
      </c>
      <c r="Z70" s="2">
        <f t="shared" si="67"/>
        <v>-1.5165441410800771</v>
      </c>
      <c r="AA70" s="2">
        <f t="shared" si="67"/>
        <v>-1.7957961020764301</v>
      </c>
      <c r="AB70" s="2">
        <f t="shared" si="67"/>
        <v>-1.8067809447432894</v>
      </c>
      <c r="AC70" s="2">
        <f t="shared" si="67"/>
        <v>-0.96534491840780978</v>
      </c>
      <c r="AD70" s="2">
        <f t="shared" si="67"/>
        <v>2.9556578395757214</v>
      </c>
      <c r="AE70" s="2">
        <f t="shared" si="67"/>
        <v>-1.7403250569454409</v>
      </c>
      <c r="AF70" s="2">
        <f t="shared" si="67"/>
        <v>-1.7491385429101356</v>
      </c>
      <c r="AG70" s="2">
        <f t="shared" si="67"/>
        <v>-0.26435863403300663</v>
      </c>
      <c r="AH70" s="2">
        <f t="shared" si="67"/>
        <v>-1.5278934184872976</v>
      </c>
      <c r="AI70" s="18" t="str">
        <f t="shared" si="5"/>
        <v>NP410</v>
      </c>
      <c r="AJ70" s="2">
        <f t="shared" si="6"/>
        <v>1</v>
      </c>
    </row>
    <row r="71" spans="1:36" ht="9" customHeight="1" x14ac:dyDescent="0.25">
      <c r="B71" s="2"/>
      <c r="D71" s="59"/>
    </row>
    <row r="72" spans="1:36" ht="9" customHeight="1" x14ac:dyDescent="0.25">
      <c r="B72" s="2"/>
      <c r="D72" s="59"/>
    </row>
    <row r="73" spans="1:36" ht="9" customHeight="1" x14ac:dyDescent="0.25">
      <c r="B73" s="2"/>
      <c r="D73" s="59"/>
    </row>
    <row r="74" spans="1:36" ht="9" customHeight="1" x14ac:dyDescent="0.25">
      <c r="B74" s="2"/>
      <c r="D74" s="59"/>
    </row>
    <row r="75" spans="1:36" ht="9" customHeight="1" x14ac:dyDescent="0.25">
      <c r="B75" s="2"/>
      <c r="D75" s="59"/>
    </row>
    <row r="76" spans="1:36" ht="9" customHeight="1" x14ac:dyDescent="0.25">
      <c r="B76" s="2"/>
      <c r="D76" s="59"/>
    </row>
    <row r="77" spans="1:36" ht="9" customHeight="1" x14ac:dyDescent="0.25">
      <c r="B77" s="2"/>
      <c r="D77" s="59"/>
    </row>
    <row r="78" spans="1:36" ht="9" customHeight="1" x14ac:dyDescent="0.25">
      <c r="B78" s="2"/>
      <c r="D78" s="59"/>
    </row>
    <row r="79" spans="1:36" ht="9" customHeight="1" x14ac:dyDescent="0.25">
      <c r="B79" s="2"/>
      <c r="D79" s="59"/>
    </row>
    <row r="80" spans="1:36" ht="9" customHeight="1" x14ac:dyDescent="0.25">
      <c r="B80" s="2"/>
      <c r="D80" s="59"/>
    </row>
    <row r="81" spans="2:4" ht="9" customHeight="1" x14ac:dyDescent="0.25">
      <c r="B81" s="2"/>
      <c r="D81" s="59"/>
    </row>
    <row r="82" spans="2:4" ht="9" customHeight="1" x14ac:dyDescent="0.25">
      <c r="B82" s="2"/>
      <c r="D82" s="59"/>
    </row>
    <row r="83" spans="2:4" ht="9" customHeight="1" x14ac:dyDescent="0.25">
      <c r="B83" s="2"/>
      <c r="D83" s="59"/>
    </row>
    <row r="84" spans="2:4" ht="9" customHeight="1" x14ac:dyDescent="0.25">
      <c r="B84" s="2"/>
      <c r="D84" s="59"/>
    </row>
    <row r="85" spans="2:4" ht="9" customHeight="1" x14ac:dyDescent="0.25">
      <c r="B85" s="2"/>
      <c r="D85" s="59"/>
    </row>
    <row r="86" spans="2:4" ht="9" customHeight="1" x14ac:dyDescent="0.25">
      <c r="B86" s="2"/>
      <c r="D86" s="59"/>
    </row>
    <row r="87" spans="2:4" ht="9" customHeight="1" x14ac:dyDescent="0.25">
      <c r="B87" s="2"/>
      <c r="D87" s="59"/>
    </row>
    <row r="88" spans="2:4" ht="9" customHeight="1" x14ac:dyDescent="0.25">
      <c r="B88" s="2"/>
      <c r="D88" s="59"/>
    </row>
    <row r="89" spans="2:4" ht="9" customHeight="1" x14ac:dyDescent="0.25">
      <c r="B89" s="2"/>
      <c r="D89" s="59"/>
    </row>
    <row r="90" spans="2:4" ht="9" customHeight="1" x14ac:dyDescent="0.25">
      <c r="B90" s="2"/>
      <c r="D90" s="59"/>
    </row>
    <row r="91" spans="2:4" ht="9" customHeight="1" x14ac:dyDescent="0.25">
      <c r="B91" s="2"/>
      <c r="D91" s="59"/>
    </row>
    <row r="92" spans="2:4" ht="9" customHeight="1" x14ac:dyDescent="0.25">
      <c r="B92" s="2"/>
      <c r="D92" s="59"/>
    </row>
    <row r="93" spans="2:4" ht="9" customHeight="1" x14ac:dyDescent="0.25">
      <c r="B93" s="2"/>
      <c r="D93" s="59"/>
    </row>
    <row r="94" spans="2:4" ht="9" customHeight="1" x14ac:dyDescent="0.25">
      <c r="B94" s="2"/>
      <c r="D94" s="59"/>
    </row>
    <row r="95" spans="2:4" ht="9" customHeight="1" x14ac:dyDescent="0.25">
      <c r="B95" s="2"/>
      <c r="D95" s="59"/>
    </row>
    <row r="96" spans="2:4" ht="9" customHeight="1" x14ac:dyDescent="0.25">
      <c r="B96" s="2"/>
      <c r="D96" s="59"/>
    </row>
    <row r="97" spans="2:4" ht="9" customHeight="1" x14ac:dyDescent="0.25">
      <c r="B97" s="2"/>
      <c r="D97" s="59"/>
    </row>
    <row r="98" spans="2:4" ht="9" customHeight="1" x14ac:dyDescent="0.25">
      <c r="B98" s="2"/>
      <c r="D98" s="59"/>
    </row>
    <row r="99" spans="2:4" ht="9" customHeight="1" x14ac:dyDescent="0.25">
      <c r="B99" s="2"/>
      <c r="D99" s="59"/>
    </row>
    <row r="100" spans="2:4" ht="9" customHeight="1" x14ac:dyDescent="0.25">
      <c r="B100" s="2"/>
      <c r="D100" s="59"/>
    </row>
    <row r="101" spans="2:4" ht="9" customHeight="1" x14ac:dyDescent="0.25">
      <c r="B101" s="2"/>
      <c r="D101" s="59"/>
    </row>
    <row r="102" spans="2:4" ht="9" customHeight="1" x14ac:dyDescent="0.25">
      <c r="B102" s="2"/>
      <c r="D102" s="59"/>
    </row>
    <row r="103" spans="2:4" ht="9" customHeight="1" x14ac:dyDescent="0.25">
      <c r="B103" s="2"/>
      <c r="D103" s="59"/>
    </row>
    <row r="104" spans="2:4" ht="9" customHeight="1" x14ac:dyDescent="0.25">
      <c r="B104" s="2"/>
      <c r="D104" s="59"/>
    </row>
    <row r="105" spans="2:4" ht="9" customHeight="1" x14ac:dyDescent="0.25">
      <c r="B105" s="2"/>
      <c r="D105" s="59"/>
    </row>
    <row r="106" spans="2:4" ht="9" customHeight="1" x14ac:dyDescent="0.25">
      <c r="B106" s="2"/>
      <c r="D106" s="59"/>
    </row>
    <row r="107" spans="2:4" ht="9" customHeight="1" x14ac:dyDescent="0.25">
      <c r="B107" s="2"/>
      <c r="D107" s="59"/>
    </row>
    <row r="108" spans="2:4" ht="9" customHeight="1" x14ac:dyDescent="0.25">
      <c r="B108" s="2"/>
      <c r="D108" s="59"/>
    </row>
    <row r="109" spans="2:4" ht="9" customHeight="1" x14ac:dyDescent="0.25">
      <c r="B109" s="2"/>
      <c r="D109" s="59"/>
    </row>
    <row r="110" spans="2:4" ht="9" customHeight="1" x14ac:dyDescent="0.25">
      <c r="B110" s="2"/>
      <c r="D110" s="59"/>
    </row>
    <row r="111" spans="2:4" ht="9" customHeight="1" x14ac:dyDescent="0.25">
      <c r="B111" s="2"/>
      <c r="D111" s="59"/>
    </row>
    <row r="112" spans="2:4" ht="9" customHeight="1" x14ac:dyDescent="0.25">
      <c r="B112" s="2"/>
      <c r="D112" s="59"/>
    </row>
    <row r="113" spans="2:4" ht="9" customHeight="1" x14ac:dyDescent="0.25">
      <c r="B113" s="2"/>
      <c r="D113" s="59"/>
    </row>
    <row r="114" spans="2:4" ht="9" customHeight="1" x14ac:dyDescent="0.25">
      <c r="B114" s="2"/>
      <c r="D114" s="59"/>
    </row>
    <row r="115" spans="2:4" ht="9" customHeight="1" x14ac:dyDescent="0.25">
      <c r="B115" s="2"/>
      <c r="D115" s="59"/>
    </row>
    <row r="116" spans="2:4" ht="9" customHeight="1" x14ac:dyDescent="0.25">
      <c r="B116" s="2"/>
      <c r="D116" s="59"/>
    </row>
    <row r="117" spans="2:4" ht="9" customHeight="1" x14ac:dyDescent="0.25">
      <c r="B117" s="2"/>
      <c r="D117" s="59"/>
    </row>
    <row r="118" spans="2:4" ht="9" customHeight="1" x14ac:dyDescent="0.25">
      <c r="B118" s="2"/>
      <c r="D118" s="59"/>
    </row>
    <row r="119" spans="2:4" ht="9" customHeight="1" x14ac:dyDescent="0.25">
      <c r="B119" s="2"/>
      <c r="D119" s="59"/>
    </row>
    <row r="120" spans="2:4" ht="9" customHeight="1" x14ac:dyDescent="0.25">
      <c r="B120" s="2"/>
      <c r="D120" s="59"/>
    </row>
    <row r="121" spans="2:4" ht="9" customHeight="1" x14ac:dyDescent="0.25">
      <c r="B121" s="2"/>
      <c r="D121" s="59"/>
    </row>
    <row r="122" spans="2:4" ht="9" customHeight="1" x14ac:dyDescent="0.25">
      <c r="B122" s="2"/>
      <c r="D122" s="59"/>
    </row>
    <row r="123" spans="2:4" ht="9" customHeight="1" x14ac:dyDescent="0.25">
      <c r="B123" s="2"/>
      <c r="D123" s="59"/>
    </row>
    <row r="124" spans="2:4" ht="9" customHeight="1" x14ac:dyDescent="0.25">
      <c r="B124" s="2"/>
      <c r="D124" s="59"/>
    </row>
    <row r="125" spans="2:4" ht="9" customHeight="1" x14ac:dyDescent="0.25">
      <c r="B125" s="2"/>
      <c r="D125" s="59"/>
    </row>
    <row r="126" spans="2:4" ht="9" customHeight="1" x14ac:dyDescent="0.25">
      <c r="B126" s="2"/>
      <c r="D126" s="59"/>
    </row>
    <row r="127" spans="2:4" ht="9" customHeight="1" x14ac:dyDescent="0.25">
      <c r="B127" s="2"/>
      <c r="D127" s="59"/>
    </row>
    <row r="128" spans="2:4" ht="9" customHeight="1" x14ac:dyDescent="0.25">
      <c r="B128" s="2"/>
      <c r="D128" s="59"/>
    </row>
    <row r="129" spans="2:4" ht="9" customHeight="1" x14ac:dyDescent="0.25">
      <c r="B129" s="2"/>
      <c r="D129" s="59"/>
    </row>
    <row r="130" spans="2:4" ht="9" customHeight="1" x14ac:dyDescent="0.25">
      <c r="B130" s="2"/>
      <c r="D130" s="59"/>
    </row>
    <row r="131" spans="2:4" ht="9" customHeight="1" x14ac:dyDescent="0.25">
      <c r="B131" s="2"/>
      <c r="D131" s="59"/>
    </row>
    <row r="132" spans="2:4" ht="9" customHeight="1" x14ac:dyDescent="0.25">
      <c r="B132" s="2"/>
      <c r="D132" s="59"/>
    </row>
    <row r="133" spans="2:4" ht="9" customHeight="1" x14ac:dyDescent="0.25">
      <c r="B133" s="2"/>
      <c r="D133" s="59"/>
    </row>
    <row r="134" spans="2:4" ht="9" customHeight="1" x14ac:dyDescent="0.25">
      <c r="B134" s="2"/>
      <c r="D134" s="59"/>
    </row>
    <row r="135" spans="2:4" ht="9" customHeight="1" x14ac:dyDescent="0.25">
      <c r="B135" s="2"/>
      <c r="D135" s="59"/>
    </row>
    <row r="136" spans="2:4" ht="9" customHeight="1" x14ac:dyDescent="0.25">
      <c r="B136" s="2"/>
      <c r="D136" s="59"/>
    </row>
    <row r="137" spans="2:4" ht="9" customHeight="1" x14ac:dyDescent="0.25">
      <c r="B137" s="2"/>
      <c r="D137" s="59"/>
    </row>
    <row r="138" spans="2:4" ht="9" customHeight="1" x14ac:dyDescent="0.25">
      <c r="B138" s="2"/>
      <c r="D138" s="59"/>
    </row>
    <row r="139" spans="2:4" ht="9" customHeight="1" x14ac:dyDescent="0.25">
      <c r="B139" s="2"/>
      <c r="D139" s="59"/>
    </row>
    <row r="140" spans="2:4" ht="9" customHeight="1" x14ac:dyDescent="0.25">
      <c r="B140" s="2"/>
      <c r="D140" s="59"/>
    </row>
    <row r="141" spans="2:4" ht="9" customHeight="1" x14ac:dyDescent="0.25">
      <c r="B141" s="2"/>
      <c r="D141" s="59"/>
    </row>
    <row r="142" spans="2:4" ht="9" customHeight="1" x14ac:dyDescent="0.25">
      <c r="B142" s="2"/>
      <c r="D142" s="59"/>
    </row>
    <row r="143" spans="2:4" ht="9" customHeight="1" x14ac:dyDescent="0.25">
      <c r="B143" s="2"/>
      <c r="D143" s="59"/>
    </row>
    <row r="144" spans="2:4" ht="9" customHeight="1" x14ac:dyDescent="0.25">
      <c r="B144" s="2"/>
      <c r="D144" s="59"/>
    </row>
    <row r="145" spans="2:4" ht="9" customHeight="1" x14ac:dyDescent="0.25">
      <c r="B145" s="2"/>
      <c r="D145" s="59"/>
    </row>
    <row r="146" spans="2:4" ht="9" customHeight="1" x14ac:dyDescent="0.25">
      <c r="B146" s="2"/>
      <c r="D146" s="59"/>
    </row>
    <row r="147" spans="2:4" ht="9" customHeight="1" x14ac:dyDescent="0.25">
      <c r="B147" s="2"/>
      <c r="D147" s="59"/>
    </row>
    <row r="148" spans="2:4" ht="9" customHeight="1" x14ac:dyDescent="0.25">
      <c r="B148" s="2"/>
      <c r="D148" s="59"/>
    </row>
    <row r="149" spans="2:4" ht="9" customHeight="1" x14ac:dyDescent="0.25">
      <c r="B149" s="2"/>
      <c r="D149" s="59"/>
    </row>
    <row r="150" spans="2:4" ht="9" customHeight="1" x14ac:dyDescent="0.25">
      <c r="B150" s="2"/>
      <c r="D150" s="59"/>
    </row>
    <row r="151" spans="2:4" ht="9" customHeight="1" x14ac:dyDescent="0.25">
      <c r="B151" s="2"/>
      <c r="D151" s="59"/>
    </row>
    <row r="152" spans="2:4" ht="9" customHeight="1" x14ac:dyDescent="0.25">
      <c r="B152" s="2"/>
      <c r="D152" s="59"/>
    </row>
    <row r="153" spans="2:4" ht="9" customHeight="1" x14ac:dyDescent="0.25">
      <c r="B153" s="2"/>
      <c r="D153" s="59"/>
    </row>
    <row r="154" spans="2:4" ht="9" customHeight="1" x14ac:dyDescent="0.25">
      <c r="B154" s="2"/>
      <c r="D154" s="59"/>
    </row>
    <row r="155" spans="2:4" ht="9" customHeight="1" x14ac:dyDescent="0.25">
      <c r="B155" s="2"/>
      <c r="D155" s="59"/>
    </row>
    <row r="156" spans="2:4" ht="9" customHeight="1" x14ac:dyDescent="0.25">
      <c r="B156" s="2"/>
      <c r="D156" s="59"/>
    </row>
    <row r="157" spans="2:4" ht="9" customHeight="1" x14ac:dyDescent="0.25">
      <c r="B157" s="2"/>
      <c r="D157" s="59"/>
    </row>
    <row r="158" spans="2:4" ht="9" customHeight="1" x14ac:dyDescent="0.25">
      <c r="B158" s="2"/>
      <c r="D158" s="59"/>
    </row>
    <row r="159" spans="2:4" ht="9" customHeight="1" x14ac:dyDescent="0.25">
      <c r="B159" s="2"/>
      <c r="D159" s="59"/>
    </row>
    <row r="160" spans="2:4" ht="9" customHeight="1" x14ac:dyDescent="0.25">
      <c r="B160" s="2"/>
      <c r="D160" s="59"/>
    </row>
    <row r="161" spans="2:4" ht="9" customHeight="1" x14ac:dyDescent="0.25">
      <c r="B161" s="2"/>
      <c r="D161" s="59"/>
    </row>
    <row r="162" spans="2:4" ht="9" customHeight="1" x14ac:dyDescent="0.25">
      <c r="B162" s="2"/>
      <c r="D162" s="59"/>
    </row>
    <row r="163" spans="2:4" ht="9" customHeight="1" x14ac:dyDescent="0.25">
      <c r="B163" s="2"/>
      <c r="D163" s="59"/>
    </row>
    <row r="164" spans="2:4" ht="9" customHeight="1" x14ac:dyDescent="0.25">
      <c r="B164" s="2"/>
      <c r="D164" s="59"/>
    </row>
    <row r="165" spans="2:4" ht="9" customHeight="1" x14ac:dyDescent="0.25">
      <c r="B165" s="2"/>
      <c r="D165" s="59"/>
    </row>
    <row r="166" spans="2:4" ht="9" customHeight="1" x14ac:dyDescent="0.25">
      <c r="B166" s="2"/>
      <c r="D166" s="59"/>
    </row>
    <row r="167" spans="2:4" ht="9" customHeight="1" x14ac:dyDescent="0.25">
      <c r="B167" s="2"/>
      <c r="D167" s="59"/>
    </row>
    <row r="168" spans="2:4" ht="9" customHeight="1" x14ac:dyDescent="0.25">
      <c r="B168" s="2"/>
      <c r="D168" s="59"/>
    </row>
    <row r="169" spans="2:4" ht="9" customHeight="1" x14ac:dyDescent="0.25">
      <c r="B169" s="2"/>
      <c r="D169" s="59"/>
    </row>
    <row r="170" spans="2:4" ht="9" customHeight="1" x14ac:dyDescent="0.25">
      <c r="B170" s="2"/>
      <c r="D170" s="59"/>
    </row>
    <row r="171" spans="2:4" ht="9" customHeight="1" x14ac:dyDescent="0.25">
      <c r="B171" s="2"/>
      <c r="D171" s="59"/>
    </row>
    <row r="172" spans="2:4" ht="9" customHeight="1" x14ac:dyDescent="0.25">
      <c r="B172" s="2"/>
      <c r="D172" s="59"/>
    </row>
    <row r="173" spans="2:4" ht="9" customHeight="1" x14ac:dyDescent="0.25">
      <c r="B173" s="2"/>
      <c r="D173" s="59"/>
    </row>
    <row r="174" spans="2:4" ht="9" customHeight="1" x14ac:dyDescent="0.25">
      <c r="B174" s="2"/>
      <c r="D174" s="59"/>
    </row>
    <row r="175" spans="2:4" ht="9" customHeight="1" x14ac:dyDescent="0.25">
      <c r="B175" s="2"/>
      <c r="D175" s="59"/>
    </row>
    <row r="176" spans="2:4" ht="9" customHeight="1" x14ac:dyDescent="0.25">
      <c r="B176" s="2"/>
      <c r="D176" s="59"/>
    </row>
    <row r="177" spans="2:4" ht="9" customHeight="1" x14ac:dyDescent="0.25">
      <c r="B177" s="2"/>
      <c r="D177" s="59"/>
    </row>
    <row r="178" spans="2:4" ht="9" customHeight="1" x14ac:dyDescent="0.25">
      <c r="B178" s="2"/>
      <c r="D178" s="59"/>
    </row>
    <row r="179" spans="2:4" ht="9" customHeight="1" x14ac:dyDescent="0.25">
      <c r="B179" s="2"/>
      <c r="D179" s="59"/>
    </row>
    <row r="180" spans="2:4" ht="9" customHeight="1" x14ac:dyDescent="0.25">
      <c r="B180" s="2"/>
      <c r="D180" s="59"/>
    </row>
    <row r="181" spans="2:4" ht="9" customHeight="1" x14ac:dyDescent="0.25">
      <c r="B181" s="2"/>
      <c r="D181" s="59"/>
    </row>
    <row r="182" spans="2:4" ht="9" customHeight="1" x14ac:dyDescent="0.25">
      <c r="B182" s="2"/>
      <c r="D182" s="59"/>
    </row>
    <row r="183" spans="2:4" ht="9" customHeight="1" x14ac:dyDescent="0.25">
      <c r="B183" s="2"/>
      <c r="D183" s="59"/>
    </row>
    <row r="184" spans="2:4" ht="9" customHeight="1" x14ac:dyDescent="0.25">
      <c r="B184" s="2"/>
      <c r="D184" s="59"/>
    </row>
    <row r="185" spans="2:4" ht="9" customHeight="1" x14ac:dyDescent="0.25">
      <c r="B185" s="2"/>
      <c r="D185" s="59"/>
    </row>
    <row r="186" spans="2:4" ht="9" customHeight="1" x14ac:dyDescent="0.25">
      <c r="B186" s="2"/>
      <c r="D186" s="59"/>
    </row>
    <row r="187" spans="2:4" ht="9" customHeight="1" x14ac:dyDescent="0.25">
      <c r="B187" s="2"/>
      <c r="D187" s="59"/>
    </row>
    <row r="188" spans="2:4" ht="9" customHeight="1" x14ac:dyDescent="0.25">
      <c r="B188" s="2"/>
      <c r="D188" s="59"/>
    </row>
    <row r="189" spans="2:4" ht="9" customHeight="1" x14ac:dyDescent="0.25">
      <c r="B189" s="2"/>
      <c r="D189" s="59"/>
    </row>
    <row r="190" spans="2:4" ht="9" customHeight="1" x14ac:dyDescent="0.25">
      <c r="B190" s="2"/>
      <c r="D190" s="59"/>
    </row>
    <row r="191" spans="2:4" ht="9" customHeight="1" x14ac:dyDescent="0.25">
      <c r="B191" s="2"/>
      <c r="D191" s="59"/>
    </row>
    <row r="192" spans="2:4" ht="9" customHeight="1" x14ac:dyDescent="0.25">
      <c r="B192" s="2"/>
      <c r="D192" s="59"/>
    </row>
    <row r="193" spans="2:4" ht="9" customHeight="1" x14ac:dyDescent="0.25">
      <c r="B193" s="2"/>
      <c r="D193" s="59"/>
    </row>
    <row r="194" spans="2:4" ht="9" customHeight="1" x14ac:dyDescent="0.25">
      <c r="B194" s="2"/>
      <c r="D194" s="59"/>
    </row>
    <row r="195" spans="2:4" ht="9" customHeight="1" x14ac:dyDescent="0.25">
      <c r="B195" s="2"/>
      <c r="D195" s="59"/>
    </row>
    <row r="196" spans="2:4" ht="9" customHeight="1" x14ac:dyDescent="0.25">
      <c r="B196" s="2"/>
      <c r="D196" s="59"/>
    </row>
    <row r="197" spans="2:4" ht="9" customHeight="1" x14ac:dyDescent="0.25">
      <c r="B197" s="2"/>
      <c r="D197" s="59"/>
    </row>
    <row r="198" spans="2:4" ht="9" customHeight="1" x14ac:dyDescent="0.25">
      <c r="B198" s="2"/>
      <c r="D198" s="59"/>
    </row>
    <row r="199" spans="2:4" ht="9" customHeight="1" x14ac:dyDescent="0.25">
      <c r="B199" s="2"/>
      <c r="D199" s="59"/>
    </row>
    <row r="200" spans="2:4" ht="9" customHeight="1" x14ac:dyDescent="0.25">
      <c r="B200" s="2"/>
      <c r="D200" s="59"/>
    </row>
    <row r="201" spans="2:4" ht="9" customHeight="1" x14ac:dyDescent="0.25">
      <c r="B201" s="2"/>
      <c r="D201" s="59"/>
    </row>
    <row r="202" spans="2:4" ht="9" customHeight="1" x14ac:dyDescent="0.25">
      <c r="B202" s="2"/>
      <c r="D202" s="59"/>
    </row>
    <row r="203" spans="2:4" ht="9" customHeight="1" x14ac:dyDescent="0.25">
      <c r="B203" s="2"/>
      <c r="D203" s="59"/>
    </row>
    <row r="204" spans="2:4" ht="9" customHeight="1" x14ac:dyDescent="0.25">
      <c r="B204" s="2"/>
      <c r="D204" s="59"/>
    </row>
    <row r="205" spans="2:4" ht="9" customHeight="1" x14ac:dyDescent="0.25">
      <c r="B205" s="2"/>
      <c r="D205" s="59"/>
    </row>
    <row r="206" spans="2:4" ht="9" customHeight="1" x14ac:dyDescent="0.25">
      <c r="B206" s="2"/>
      <c r="D206" s="59"/>
    </row>
    <row r="207" spans="2:4" ht="9" customHeight="1" x14ac:dyDescent="0.25">
      <c r="B207" s="2"/>
      <c r="D207" s="59"/>
    </row>
    <row r="208" spans="2:4" ht="9" customHeight="1" x14ac:dyDescent="0.25">
      <c r="B208" s="2"/>
      <c r="D208" s="59"/>
    </row>
    <row r="209" spans="2:4" ht="9" customHeight="1" x14ac:dyDescent="0.25">
      <c r="B209" s="2"/>
      <c r="D209" s="59"/>
    </row>
    <row r="210" spans="2:4" ht="9" customHeight="1" x14ac:dyDescent="0.25">
      <c r="B210" s="2"/>
      <c r="D210" s="59"/>
    </row>
    <row r="211" spans="2:4" ht="9" customHeight="1" x14ac:dyDescent="0.25">
      <c r="B211" s="2"/>
      <c r="D211" s="59"/>
    </row>
    <row r="212" spans="2:4" ht="9" customHeight="1" x14ac:dyDescent="0.25">
      <c r="B212" s="2"/>
      <c r="D212" s="59"/>
    </row>
    <row r="213" spans="2:4" ht="9" customHeight="1" x14ac:dyDescent="0.25">
      <c r="B213" s="2"/>
      <c r="D213" s="59"/>
    </row>
    <row r="214" spans="2:4" ht="9" customHeight="1" x14ac:dyDescent="0.25">
      <c r="B214" s="2"/>
      <c r="D214" s="59"/>
    </row>
    <row r="215" spans="2:4" ht="9" customHeight="1" x14ac:dyDescent="0.25">
      <c r="B215" s="2"/>
      <c r="D215" s="59"/>
    </row>
    <row r="216" spans="2:4" ht="9" customHeight="1" x14ac:dyDescent="0.25">
      <c r="B216" s="2"/>
      <c r="D216" s="59"/>
    </row>
    <row r="217" spans="2:4" ht="9" customHeight="1" x14ac:dyDescent="0.25">
      <c r="B217" s="2"/>
      <c r="D217" s="59"/>
    </row>
    <row r="218" spans="2:4" ht="9" customHeight="1" x14ac:dyDescent="0.25">
      <c r="B218" s="2"/>
      <c r="D218" s="59"/>
    </row>
    <row r="219" spans="2:4" ht="9" customHeight="1" x14ac:dyDescent="0.25">
      <c r="B219" s="2"/>
      <c r="D219" s="59"/>
    </row>
    <row r="220" spans="2:4" ht="9" customHeight="1" x14ac:dyDescent="0.25">
      <c r="B220" s="2"/>
      <c r="D220" s="59"/>
    </row>
    <row r="221" spans="2:4" ht="9" customHeight="1" x14ac:dyDescent="0.25">
      <c r="B221" s="2"/>
      <c r="D221" s="59"/>
    </row>
    <row r="222" spans="2:4" ht="9" customHeight="1" x14ac:dyDescent="0.25">
      <c r="B222" s="2"/>
      <c r="D222" s="59"/>
    </row>
    <row r="223" spans="2:4" ht="9" customHeight="1" x14ac:dyDescent="0.25">
      <c r="B223" s="2"/>
      <c r="D223" s="59"/>
    </row>
    <row r="224" spans="2:4" ht="9" customHeight="1" x14ac:dyDescent="0.25">
      <c r="B224" s="2"/>
      <c r="D224" s="59"/>
    </row>
    <row r="225" spans="2:4" ht="9" customHeight="1" x14ac:dyDescent="0.25">
      <c r="B225" s="2"/>
      <c r="D225" s="59"/>
    </row>
    <row r="226" spans="2:4" ht="9" customHeight="1" x14ac:dyDescent="0.25">
      <c r="B226" s="2"/>
      <c r="D226" s="59"/>
    </row>
    <row r="227" spans="2:4" ht="9" customHeight="1" x14ac:dyDescent="0.25">
      <c r="B227" s="2"/>
      <c r="D227" s="59"/>
    </row>
    <row r="228" spans="2:4" ht="9" customHeight="1" x14ac:dyDescent="0.25">
      <c r="B228" s="2"/>
      <c r="D228" s="59"/>
    </row>
    <row r="229" spans="2:4" ht="9" customHeight="1" x14ac:dyDescent="0.25">
      <c r="B229" s="2"/>
      <c r="D229" s="59"/>
    </row>
    <row r="230" spans="2:4" ht="9" customHeight="1" x14ac:dyDescent="0.25">
      <c r="B230" s="2"/>
      <c r="D230" s="59"/>
    </row>
    <row r="231" spans="2:4" ht="9" customHeight="1" x14ac:dyDescent="0.25">
      <c r="B231" s="2"/>
      <c r="D231" s="59"/>
    </row>
    <row r="232" spans="2:4" ht="9" customHeight="1" x14ac:dyDescent="0.25">
      <c r="B232" s="2"/>
      <c r="D232" s="59"/>
    </row>
    <row r="233" spans="2:4" ht="9" customHeight="1" x14ac:dyDescent="0.25">
      <c r="B233" s="2"/>
      <c r="D233" s="59"/>
    </row>
    <row r="234" spans="2:4" ht="9" customHeight="1" x14ac:dyDescent="0.25">
      <c r="B234" s="2"/>
      <c r="D234" s="59"/>
    </row>
    <row r="235" spans="2:4" ht="9" customHeight="1" x14ac:dyDescent="0.25">
      <c r="B235" s="2"/>
      <c r="D235" s="59"/>
    </row>
    <row r="236" spans="2:4" ht="9" customHeight="1" x14ac:dyDescent="0.25">
      <c r="B236" s="2"/>
      <c r="D236" s="59"/>
    </row>
    <row r="237" spans="2:4" ht="9" customHeight="1" x14ac:dyDescent="0.25">
      <c r="B237" s="2"/>
      <c r="D237" s="59"/>
    </row>
    <row r="238" spans="2:4" ht="9" customHeight="1" x14ac:dyDescent="0.25">
      <c r="B238" s="2"/>
      <c r="D238" s="59"/>
    </row>
    <row r="239" spans="2:4" ht="9" customHeight="1" x14ac:dyDescent="0.25">
      <c r="B239" s="2"/>
      <c r="D239" s="59"/>
    </row>
    <row r="240" spans="2:4" ht="9" customHeight="1" x14ac:dyDescent="0.25">
      <c r="B240" s="2"/>
      <c r="D240" s="59"/>
    </row>
    <row r="241" spans="2:4" ht="9" customHeight="1" x14ac:dyDescent="0.25">
      <c r="B241" s="2"/>
      <c r="D241" s="59"/>
    </row>
    <row r="242" spans="2:4" ht="9" customHeight="1" x14ac:dyDescent="0.25">
      <c r="B242" s="2"/>
      <c r="D242" s="59"/>
    </row>
    <row r="243" spans="2:4" ht="9" customHeight="1" x14ac:dyDescent="0.25">
      <c r="B243" s="2"/>
      <c r="D243" s="59"/>
    </row>
    <row r="244" spans="2:4" ht="9" customHeight="1" x14ac:dyDescent="0.25">
      <c r="B244" s="2"/>
      <c r="D244" s="59"/>
    </row>
    <row r="245" spans="2:4" ht="9" customHeight="1" x14ac:dyDescent="0.25">
      <c r="B245" s="2"/>
      <c r="D245" s="59"/>
    </row>
    <row r="246" spans="2:4" ht="9" customHeight="1" x14ac:dyDescent="0.25">
      <c r="B246" s="2"/>
      <c r="D246" s="59"/>
    </row>
    <row r="247" spans="2:4" ht="9" customHeight="1" x14ac:dyDescent="0.25">
      <c r="B247" s="2"/>
      <c r="D247" s="59"/>
    </row>
    <row r="248" spans="2:4" ht="9" customHeight="1" x14ac:dyDescent="0.25">
      <c r="B248" s="2"/>
      <c r="D248" s="59"/>
    </row>
    <row r="249" spans="2:4" ht="9" customHeight="1" x14ac:dyDescent="0.25">
      <c r="B249" s="2"/>
      <c r="D249" s="59"/>
    </row>
    <row r="250" spans="2:4" ht="9" customHeight="1" x14ac:dyDescent="0.25">
      <c r="B250" s="2"/>
      <c r="D250" s="59"/>
    </row>
    <row r="251" spans="2:4" ht="9" customHeight="1" x14ac:dyDescent="0.25">
      <c r="B251" s="2"/>
      <c r="D251" s="59"/>
    </row>
    <row r="252" spans="2:4" ht="9" customHeight="1" x14ac:dyDescent="0.25">
      <c r="B252" s="2"/>
      <c r="D252" s="59"/>
    </row>
    <row r="253" spans="2:4" ht="9" customHeight="1" x14ac:dyDescent="0.25">
      <c r="B253" s="2"/>
      <c r="D253" s="59"/>
    </row>
    <row r="254" spans="2:4" ht="9" customHeight="1" x14ac:dyDescent="0.25">
      <c r="B254" s="2"/>
      <c r="D254" s="59"/>
    </row>
    <row r="255" spans="2:4" ht="9" customHeight="1" x14ac:dyDescent="0.25">
      <c r="B255" s="2"/>
      <c r="D255" s="59"/>
    </row>
    <row r="256" spans="2:4" ht="9" customHeight="1" x14ac:dyDescent="0.25">
      <c r="B256" s="2"/>
      <c r="D256" s="59"/>
    </row>
    <row r="257" spans="2:4" ht="9" customHeight="1" x14ac:dyDescent="0.25">
      <c r="B257" s="2"/>
      <c r="D257" s="59"/>
    </row>
    <row r="258" spans="2:4" ht="9" customHeight="1" x14ac:dyDescent="0.25">
      <c r="B258" s="2"/>
      <c r="D258" s="59"/>
    </row>
    <row r="259" spans="2:4" ht="9" customHeight="1" x14ac:dyDescent="0.25">
      <c r="B259" s="2"/>
      <c r="D259" s="59"/>
    </row>
    <row r="260" spans="2:4" ht="9" customHeight="1" x14ac:dyDescent="0.25">
      <c r="B260" s="2"/>
      <c r="D260" s="59"/>
    </row>
    <row r="261" spans="2:4" ht="9" customHeight="1" x14ac:dyDescent="0.25">
      <c r="B261" s="2"/>
      <c r="D261" s="59"/>
    </row>
    <row r="262" spans="2:4" ht="9" customHeight="1" x14ac:dyDescent="0.25">
      <c r="B262" s="2"/>
      <c r="D262" s="59"/>
    </row>
    <row r="263" spans="2:4" ht="9" customHeight="1" x14ac:dyDescent="0.25">
      <c r="B263" s="2"/>
      <c r="D263" s="59"/>
    </row>
    <row r="264" spans="2:4" ht="9" customHeight="1" x14ac:dyDescent="0.25">
      <c r="B264" s="2"/>
      <c r="D264" s="59"/>
    </row>
    <row r="265" spans="2:4" ht="9" customHeight="1" x14ac:dyDescent="0.25">
      <c r="B265" s="2"/>
      <c r="D265" s="59"/>
    </row>
    <row r="266" spans="2:4" ht="9" customHeight="1" x14ac:dyDescent="0.25">
      <c r="B266" s="2"/>
      <c r="D266" s="59"/>
    </row>
    <row r="267" spans="2:4" ht="9" customHeight="1" x14ac:dyDescent="0.25">
      <c r="B267" s="2"/>
      <c r="D267" s="59"/>
    </row>
    <row r="268" spans="2:4" ht="9" customHeight="1" x14ac:dyDescent="0.25">
      <c r="B268" s="2"/>
      <c r="D268" s="59"/>
    </row>
    <row r="269" spans="2:4" ht="9" customHeight="1" x14ac:dyDescent="0.25">
      <c r="B269" s="2"/>
      <c r="D269" s="59"/>
    </row>
    <row r="270" spans="2:4" ht="9" customHeight="1" x14ac:dyDescent="0.25">
      <c r="B270" s="2"/>
      <c r="D270" s="59"/>
    </row>
    <row r="271" spans="2:4" ht="9" customHeight="1" x14ac:dyDescent="0.25">
      <c r="B271" s="2"/>
      <c r="D271" s="59"/>
    </row>
    <row r="272" spans="2:4" ht="9" customHeight="1" x14ac:dyDescent="0.25">
      <c r="B272" s="2"/>
      <c r="D272" s="59"/>
    </row>
    <row r="273" spans="2:4" ht="9" customHeight="1" x14ac:dyDescent="0.25">
      <c r="B273" s="2"/>
      <c r="D273" s="59"/>
    </row>
    <row r="274" spans="2:4" ht="9" customHeight="1" x14ac:dyDescent="0.25">
      <c r="B274" s="2"/>
      <c r="D274" s="59"/>
    </row>
    <row r="275" spans="2:4" ht="9" customHeight="1" x14ac:dyDescent="0.25">
      <c r="B275" s="2"/>
      <c r="D275" s="59"/>
    </row>
    <row r="276" spans="2:4" ht="9" customHeight="1" x14ac:dyDescent="0.25">
      <c r="B276" s="2"/>
      <c r="D276" s="59"/>
    </row>
    <row r="277" spans="2:4" ht="9" customHeight="1" x14ac:dyDescent="0.25">
      <c r="B277" s="2"/>
      <c r="D277" s="59"/>
    </row>
    <row r="278" spans="2:4" ht="9" customHeight="1" x14ac:dyDescent="0.25">
      <c r="B278" s="2"/>
      <c r="D278" s="59"/>
    </row>
    <row r="279" spans="2:4" ht="9" customHeight="1" x14ac:dyDescent="0.25">
      <c r="B279" s="2"/>
      <c r="D279" s="59"/>
    </row>
    <row r="280" spans="2:4" ht="9" customHeight="1" x14ac:dyDescent="0.25">
      <c r="B280" s="2"/>
      <c r="D280" s="59"/>
    </row>
    <row r="281" spans="2:4" ht="9" customHeight="1" x14ac:dyDescent="0.25">
      <c r="B281" s="2"/>
      <c r="D281" s="59"/>
    </row>
    <row r="282" spans="2:4" ht="9" customHeight="1" x14ac:dyDescent="0.25">
      <c r="B282" s="2"/>
      <c r="D282" s="59"/>
    </row>
    <row r="283" spans="2:4" ht="9" customHeight="1" x14ac:dyDescent="0.25">
      <c r="B283" s="2"/>
      <c r="D283" s="59"/>
    </row>
    <row r="284" spans="2:4" ht="9" customHeight="1" x14ac:dyDescent="0.25">
      <c r="B284" s="2"/>
      <c r="D284" s="59"/>
    </row>
    <row r="285" spans="2:4" ht="9" customHeight="1" x14ac:dyDescent="0.25">
      <c r="B285" s="2"/>
      <c r="D285" s="59"/>
    </row>
    <row r="286" spans="2:4" ht="9" customHeight="1" x14ac:dyDescent="0.25">
      <c r="B286" s="2"/>
      <c r="D286" s="59"/>
    </row>
    <row r="287" spans="2:4" ht="9" customHeight="1" x14ac:dyDescent="0.25">
      <c r="B287" s="2"/>
      <c r="D287" s="59"/>
    </row>
    <row r="288" spans="2:4" ht="9" customHeight="1" x14ac:dyDescent="0.25">
      <c r="B288" s="2"/>
      <c r="D288" s="59"/>
    </row>
    <row r="289" spans="2:4" ht="9" customHeight="1" x14ac:dyDescent="0.25">
      <c r="B289" s="2"/>
      <c r="D289" s="59"/>
    </row>
    <row r="290" spans="2:4" ht="9" customHeight="1" x14ac:dyDescent="0.25">
      <c r="B290" s="2"/>
      <c r="D290" s="59"/>
    </row>
    <row r="291" spans="2:4" ht="9" customHeight="1" x14ac:dyDescent="0.25">
      <c r="B291" s="2"/>
      <c r="D291" s="59"/>
    </row>
    <row r="292" spans="2:4" ht="9" customHeight="1" x14ac:dyDescent="0.25">
      <c r="B292" s="2"/>
      <c r="D292" s="59"/>
    </row>
    <row r="293" spans="2:4" ht="9" customHeight="1" x14ac:dyDescent="0.25">
      <c r="B293" s="2"/>
      <c r="D293" s="59"/>
    </row>
    <row r="294" spans="2:4" ht="9" customHeight="1" x14ac:dyDescent="0.25">
      <c r="B294" s="2"/>
      <c r="D294" s="59"/>
    </row>
    <row r="295" spans="2:4" ht="9" customHeight="1" x14ac:dyDescent="0.25">
      <c r="B295" s="2"/>
      <c r="D295" s="59"/>
    </row>
    <row r="296" spans="2:4" ht="9" customHeight="1" x14ac:dyDescent="0.25">
      <c r="B296" s="2"/>
      <c r="D296" s="59"/>
    </row>
    <row r="297" spans="2:4" ht="9" customHeight="1" x14ac:dyDescent="0.25">
      <c r="B297" s="2"/>
      <c r="D297" s="59"/>
    </row>
    <row r="298" spans="2:4" ht="9" customHeight="1" x14ac:dyDescent="0.25">
      <c r="B298" s="2"/>
      <c r="D298" s="59"/>
    </row>
    <row r="299" spans="2:4" ht="9" customHeight="1" x14ac:dyDescent="0.25">
      <c r="B299" s="2"/>
      <c r="D299" s="59"/>
    </row>
    <row r="300" spans="2:4" ht="9" customHeight="1" x14ac:dyDescent="0.25">
      <c r="B300" s="2"/>
      <c r="D300" s="59"/>
    </row>
    <row r="301" spans="2:4" ht="9" customHeight="1" x14ac:dyDescent="0.25">
      <c r="B301" s="2"/>
      <c r="D301" s="59"/>
    </row>
    <row r="302" spans="2:4" ht="9" customHeight="1" x14ac:dyDescent="0.25">
      <c r="B302" s="2"/>
      <c r="D302" s="59"/>
    </row>
    <row r="303" spans="2:4" ht="9" customHeight="1" x14ac:dyDescent="0.25">
      <c r="B303" s="2"/>
      <c r="D303" s="59"/>
    </row>
    <row r="304" spans="2:4" ht="9" customHeight="1" x14ac:dyDescent="0.25">
      <c r="B304" s="2"/>
      <c r="D304" s="59"/>
    </row>
    <row r="305" spans="2:4" ht="9" customHeight="1" x14ac:dyDescent="0.25">
      <c r="B305" s="2"/>
      <c r="D305" s="59"/>
    </row>
    <row r="306" spans="2:4" ht="9" customHeight="1" x14ac:dyDescent="0.25">
      <c r="B306" s="2"/>
      <c r="D306" s="59"/>
    </row>
    <row r="307" spans="2:4" ht="9" customHeight="1" x14ac:dyDescent="0.25">
      <c r="B307" s="2"/>
      <c r="D307" s="59"/>
    </row>
    <row r="308" spans="2:4" ht="9" customHeight="1" x14ac:dyDescent="0.25">
      <c r="B308" s="2"/>
      <c r="D308" s="59"/>
    </row>
    <row r="309" spans="2:4" ht="9" customHeight="1" x14ac:dyDescent="0.25">
      <c r="B309" s="2"/>
      <c r="D309" s="59"/>
    </row>
    <row r="310" spans="2:4" ht="9" customHeight="1" x14ac:dyDescent="0.25">
      <c r="B310" s="2"/>
      <c r="D310" s="59"/>
    </row>
    <row r="311" spans="2:4" ht="9" customHeight="1" x14ac:dyDescent="0.25">
      <c r="B311" s="2"/>
      <c r="D311" s="59"/>
    </row>
    <row r="312" spans="2:4" ht="9" customHeight="1" x14ac:dyDescent="0.25">
      <c r="B312" s="2"/>
      <c r="D312" s="59"/>
    </row>
    <row r="313" spans="2:4" ht="9" customHeight="1" x14ac:dyDescent="0.25">
      <c r="B313" s="2"/>
      <c r="D313" s="59"/>
    </row>
    <row r="314" spans="2:4" ht="9" customHeight="1" x14ac:dyDescent="0.25">
      <c r="B314" s="2"/>
      <c r="D314" s="59"/>
    </row>
    <row r="315" spans="2:4" ht="9" customHeight="1" x14ac:dyDescent="0.25">
      <c r="B315" s="2"/>
      <c r="D315" s="59"/>
    </row>
    <row r="316" spans="2:4" ht="9" customHeight="1" x14ac:dyDescent="0.25">
      <c r="B316" s="2"/>
      <c r="D316" s="59"/>
    </row>
    <row r="317" spans="2:4" ht="9" customHeight="1" x14ac:dyDescent="0.25">
      <c r="B317" s="2"/>
      <c r="D317" s="59"/>
    </row>
    <row r="318" spans="2:4" ht="9" customHeight="1" x14ac:dyDescent="0.25">
      <c r="B318" s="2"/>
      <c r="D318" s="59"/>
    </row>
    <row r="319" spans="2:4" ht="9" customHeight="1" x14ac:dyDescent="0.25">
      <c r="B319" s="2"/>
      <c r="D319" s="59"/>
    </row>
    <row r="320" spans="2:4" ht="9" customHeight="1" x14ac:dyDescent="0.25">
      <c r="B320" s="2"/>
      <c r="D320" s="59"/>
    </row>
    <row r="321" spans="2:4" ht="9" customHeight="1" x14ac:dyDescent="0.25">
      <c r="B321" s="2"/>
      <c r="D321" s="59"/>
    </row>
    <row r="322" spans="2:4" ht="9" customHeight="1" x14ac:dyDescent="0.25">
      <c r="B322" s="2"/>
      <c r="D322" s="59"/>
    </row>
    <row r="323" spans="2:4" ht="9" customHeight="1" x14ac:dyDescent="0.25">
      <c r="B323" s="2"/>
      <c r="D323" s="59"/>
    </row>
    <row r="324" spans="2:4" ht="9" customHeight="1" x14ac:dyDescent="0.25">
      <c r="B324" s="2"/>
      <c r="D324" s="59"/>
    </row>
    <row r="325" spans="2:4" ht="9" customHeight="1" x14ac:dyDescent="0.25">
      <c r="B325" s="2"/>
      <c r="D325" s="59"/>
    </row>
    <row r="326" spans="2:4" ht="9" customHeight="1" x14ac:dyDescent="0.25">
      <c r="B326" s="2"/>
      <c r="D326" s="59"/>
    </row>
    <row r="327" spans="2:4" ht="9" customHeight="1" x14ac:dyDescent="0.25">
      <c r="B327" s="2"/>
      <c r="D327" s="59"/>
    </row>
    <row r="328" spans="2:4" ht="9" customHeight="1" x14ac:dyDescent="0.25">
      <c r="B328" s="2"/>
      <c r="D328" s="59"/>
    </row>
    <row r="329" spans="2:4" ht="9" customHeight="1" x14ac:dyDescent="0.25">
      <c r="B329" s="2"/>
      <c r="D329" s="59"/>
    </row>
    <row r="330" spans="2:4" ht="9" customHeight="1" x14ac:dyDescent="0.25">
      <c r="B330" s="2"/>
      <c r="D330" s="59"/>
    </row>
    <row r="331" spans="2:4" ht="9" customHeight="1" x14ac:dyDescent="0.25">
      <c r="B331" s="2"/>
      <c r="D331" s="59"/>
    </row>
    <row r="332" spans="2:4" ht="9" customHeight="1" x14ac:dyDescent="0.25">
      <c r="B332" s="2"/>
      <c r="D332" s="59"/>
    </row>
    <row r="333" spans="2:4" ht="9" customHeight="1" x14ac:dyDescent="0.25">
      <c r="B333" s="2"/>
      <c r="D333" s="59"/>
    </row>
    <row r="334" spans="2:4" ht="9" customHeight="1" x14ac:dyDescent="0.25">
      <c r="B334" s="2"/>
      <c r="D334" s="59"/>
    </row>
    <row r="335" spans="2:4" ht="9" customHeight="1" x14ac:dyDescent="0.25">
      <c r="B335" s="2"/>
      <c r="D335" s="59"/>
    </row>
    <row r="336" spans="2:4" ht="9" customHeight="1" x14ac:dyDescent="0.25">
      <c r="B336" s="2"/>
      <c r="D336" s="59"/>
    </row>
    <row r="337" spans="2:4" ht="9" customHeight="1" x14ac:dyDescent="0.25">
      <c r="B337" s="2"/>
      <c r="D337" s="59"/>
    </row>
    <row r="338" spans="2:4" ht="9" customHeight="1" x14ac:dyDescent="0.25">
      <c r="B338" s="2"/>
      <c r="D338" s="59"/>
    </row>
    <row r="339" spans="2:4" ht="9" customHeight="1" x14ac:dyDescent="0.25">
      <c r="B339" s="2"/>
      <c r="D339" s="59"/>
    </row>
    <row r="340" spans="2:4" ht="9" customHeight="1" x14ac:dyDescent="0.25">
      <c r="B340" s="2"/>
      <c r="D340" s="59"/>
    </row>
    <row r="341" spans="2:4" ht="9" customHeight="1" x14ac:dyDescent="0.25">
      <c r="B341" s="2"/>
      <c r="D341" s="59"/>
    </row>
    <row r="342" spans="2:4" ht="9" customHeight="1" x14ac:dyDescent="0.25">
      <c r="B342" s="2"/>
      <c r="D342" s="59"/>
    </row>
    <row r="343" spans="2:4" ht="9" customHeight="1" x14ac:dyDescent="0.25">
      <c r="B343" s="2"/>
      <c r="D343" s="59"/>
    </row>
    <row r="344" spans="2:4" ht="9" customHeight="1" x14ac:dyDescent="0.25">
      <c r="B344" s="2"/>
      <c r="D344" s="59"/>
    </row>
    <row r="345" spans="2:4" ht="9" customHeight="1" x14ac:dyDescent="0.25">
      <c r="B345" s="2"/>
      <c r="D345" s="59"/>
    </row>
    <row r="346" spans="2:4" ht="9" customHeight="1" x14ac:dyDescent="0.25">
      <c r="B346" s="2"/>
      <c r="D346" s="59"/>
    </row>
    <row r="347" spans="2:4" ht="9" customHeight="1" x14ac:dyDescent="0.25">
      <c r="B347" s="2"/>
      <c r="D347" s="59"/>
    </row>
    <row r="348" spans="2:4" ht="9" customHeight="1" x14ac:dyDescent="0.25">
      <c r="B348" s="2"/>
      <c r="D348" s="59"/>
    </row>
    <row r="349" spans="2:4" ht="9" customHeight="1" x14ac:dyDescent="0.25">
      <c r="B349" s="2"/>
      <c r="D349" s="59"/>
    </row>
    <row r="350" spans="2:4" ht="9" customHeight="1" x14ac:dyDescent="0.25">
      <c r="B350" s="2"/>
      <c r="D350" s="59"/>
    </row>
    <row r="351" spans="2:4" ht="9" customHeight="1" x14ac:dyDescent="0.25">
      <c r="B351" s="2"/>
      <c r="D351" s="59"/>
    </row>
    <row r="352" spans="2:4" ht="9" customHeight="1" x14ac:dyDescent="0.25">
      <c r="B352" s="2"/>
      <c r="D352" s="59"/>
    </row>
    <row r="353" spans="2:4" ht="9" customHeight="1" x14ac:dyDescent="0.25">
      <c r="B353" s="2"/>
      <c r="D353" s="59"/>
    </row>
    <row r="354" spans="2:4" ht="9" customHeight="1" x14ac:dyDescent="0.25">
      <c r="B354" s="2"/>
      <c r="D354" s="59"/>
    </row>
    <row r="355" spans="2:4" ht="9" customHeight="1" x14ac:dyDescent="0.25">
      <c r="B355" s="2"/>
      <c r="D355" s="59"/>
    </row>
    <row r="356" spans="2:4" ht="9" customHeight="1" x14ac:dyDescent="0.25">
      <c r="B356" s="2"/>
      <c r="D356" s="59"/>
    </row>
    <row r="357" spans="2:4" ht="9" customHeight="1" x14ac:dyDescent="0.25">
      <c r="B357" s="2"/>
      <c r="D357" s="59"/>
    </row>
    <row r="358" spans="2:4" ht="9" customHeight="1" x14ac:dyDescent="0.25">
      <c r="B358" s="2"/>
      <c r="D358" s="59"/>
    </row>
    <row r="359" spans="2:4" ht="9" customHeight="1" x14ac:dyDescent="0.25">
      <c r="B359" s="2"/>
      <c r="D359" s="59"/>
    </row>
    <row r="360" spans="2:4" ht="9" customHeight="1" x14ac:dyDescent="0.25">
      <c r="B360" s="2"/>
      <c r="D360" s="59"/>
    </row>
    <row r="361" spans="2:4" ht="9" customHeight="1" x14ac:dyDescent="0.25">
      <c r="B361" s="2"/>
      <c r="D361" s="59"/>
    </row>
    <row r="362" spans="2:4" ht="9" customHeight="1" x14ac:dyDescent="0.25">
      <c r="B362" s="2"/>
      <c r="D362" s="59"/>
    </row>
    <row r="363" spans="2:4" ht="9" customHeight="1" x14ac:dyDescent="0.25">
      <c r="B363" s="2"/>
      <c r="D363" s="59"/>
    </row>
    <row r="364" spans="2:4" ht="9" customHeight="1" x14ac:dyDescent="0.25">
      <c r="B364" s="2"/>
      <c r="D364" s="59"/>
    </row>
    <row r="365" spans="2:4" ht="9" customHeight="1" x14ac:dyDescent="0.25">
      <c r="B365" s="2"/>
      <c r="D365" s="59"/>
    </row>
    <row r="366" spans="2:4" ht="9" customHeight="1" x14ac:dyDescent="0.25">
      <c r="B366" s="2"/>
      <c r="D366" s="59"/>
    </row>
    <row r="367" spans="2:4" ht="9" customHeight="1" x14ac:dyDescent="0.25">
      <c r="B367" s="2"/>
      <c r="D367" s="59"/>
    </row>
    <row r="368" spans="2:4" ht="9" customHeight="1" x14ac:dyDescent="0.25">
      <c r="B368" s="2"/>
      <c r="D368" s="59"/>
    </row>
    <row r="369" spans="2:4" ht="9" customHeight="1" x14ac:dyDescent="0.25">
      <c r="B369" s="2"/>
      <c r="D369" s="59"/>
    </row>
    <row r="370" spans="2:4" ht="9" customHeight="1" x14ac:dyDescent="0.25">
      <c r="B370" s="2"/>
      <c r="D370" s="59"/>
    </row>
    <row r="371" spans="2:4" ht="9" customHeight="1" x14ac:dyDescent="0.25">
      <c r="B371" s="2"/>
      <c r="D371" s="59"/>
    </row>
    <row r="372" spans="2:4" ht="9" customHeight="1" x14ac:dyDescent="0.25">
      <c r="B372" s="2"/>
      <c r="D372" s="59"/>
    </row>
    <row r="373" spans="2:4" ht="9" customHeight="1" x14ac:dyDescent="0.25">
      <c r="B373" s="2"/>
      <c r="D373" s="59"/>
    </row>
    <row r="374" spans="2:4" ht="9" customHeight="1" x14ac:dyDescent="0.25">
      <c r="B374" s="2"/>
      <c r="D374" s="59"/>
    </row>
    <row r="375" spans="2:4" ht="9" customHeight="1" x14ac:dyDescent="0.25">
      <c r="B375" s="2"/>
      <c r="D375" s="59"/>
    </row>
    <row r="376" spans="2:4" ht="9" customHeight="1" x14ac:dyDescent="0.25">
      <c r="B376" s="2"/>
      <c r="D376" s="59"/>
    </row>
    <row r="377" spans="2:4" ht="9" customHeight="1" x14ac:dyDescent="0.25">
      <c r="B377" s="2"/>
      <c r="D377" s="59"/>
    </row>
    <row r="378" spans="2:4" ht="9" customHeight="1" x14ac:dyDescent="0.25">
      <c r="B378" s="2"/>
      <c r="D378" s="59"/>
    </row>
    <row r="379" spans="2:4" ht="9" customHeight="1" x14ac:dyDescent="0.25">
      <c r="B379" s="2"/>
      <c r="D379" s="59"/>
    </row>
    <row r="380" spans="2:4" ht="9" customHeight="1" x14ac:dyDescent="0.25">
      <c r="B380" s="2"/>
      <c r="D380" s="59"/>
    </row>
    <row r="381" spans="2:4" ht="9" customHeight="1" x14ac:dyDescent="0.25">
      <c r="B381" s="2"/>
      <c r="D381" s="59"/>
    </row>
    <row r="382" spans="2:4" ht="9" customHeight="1" x14ac:dyDescent="0.25">
      <c r="B382" s="2"/>
      <c r="D382" s="59"/>
    </row>
    <row r="383" spans="2:4" ht="9" customHeight="1" x14ac:dyDescent="0.25">
      <c r="B383" s="2"/>
      <c r="D383" s="59"/>
    </row>
    <row r="384" spans="2:4" ht="9" customHeight="1" x14ac:dyDescent="0.25">
      <c r="B384" s="2"/>
      <c r="D384" s="59"/>
    </row>
    <row r="385" spans="2:4" ht="9" customHeight="1" x14ac:dyDescent="0.25">
      <c r="B385" s="2"/>
      <c r="D385" s="59"/>
    </row>
    <row r="386" spans="2:4" ht="9" customHeight="1" x14ac:dyDescent="0.25">
      <c r="B386" s="2"/>
      <c r="D386" s="59"/>
    </row>
    <row r="387" spans="2:4" ht="9" customHeight="1" x14ac:dyDescent="0.25">
      <c r="B387" s="2"/>
      <c r="D387" s="59"/>
    </row>
    <row r="388" spans="2:4" ht="9" customHeight="1" x14ac:dyDescent="0.25">
      <c r="B388" s="2"/>
      <c r="D388" s="59"/>
    </row>
    <row r="389" spans="2:4" ht="9" customHeight="1" x14ac:dyDescent="0.25">
      <c r="B389" s="2"/>
      <c r="D389" s="59"/>
    </row>
    <row r="390" spans="2:4" ht="9" customHeight="1" x14ac:dyDescent="0.25">
      <c r="B390" s="2"/>
      <c r="D390" s="59"/>
    </row>
    <row r="391" spans="2:4" ht="9" customHeight="1" x14ac:dyDescent="0.25">
      <c r="B391" s="2"/>
      <c r="D391" s="59"/>
    </row>
    <row r="392" spans="2:4" ht="9" customHeight="1" x14ac:dyDescent="0.25">
      <c r="B392" s="2"/>
      <c r="D392" s="59"/>
    </row>
    <row r="393" spans="2:4" ht="9" customHeight="1" x14ac:dyDescent="0.25">
      <c r="B393" s="2"/>
      <c r="D393" s="59"/>
    </row>
    <row r="394" spans="2:4" ht="9" customHeight="1" x14ac:dyDescent="0.25">
      <c r="B394" s="2"/>
      <c r="D394" s="59"/>
    </row>
    <row r="395" spans="2:4" ht="9" customHeight="1" x14ac:dyDescent="0.25">
      <c r="B395" s="2"/>
      <c r="D395" s="59"/>
    </row>
    <row r="396" spans="2:4" ht="9" customHeight="1" x14ac:dyDescent="0.25">
      <c r="B396" s="2"/>
      <c r="D396" s="59"/>
    </row>
    <row r="397" spans="2:4" ht="9" customHeight="1" x14ac:dyDescent="0.25">
      <c r="B397" s="2"/>
      <c r="D397" s="59"/>
    </row>
    <row r="398" spans="2:4" ht="9" customHeight="1" x14ac:dyDescent="0.25">
      <c r="B398" s="2"/>
      <c r="D398" s="59"/>
    </row>
    <row r="399" spans="2:4" ht="9" customHeight="1" x14ac:dyDescent="0.25">
      <c r="B399" s="2"/>
      <c r="D399" s="59"/>
    </row>
    <row r="400" spans="2:4" ht="9" customHeight="1" x14ac:dyDescent="0.25">
      <c r="B400" s="2"/>
      <c r="D400" s="59"/>
    </row>
    <row r="401" spans="2:4" ht="9" customHeight="1" x14ac:dyDescent="0.25">
      <c r="B401" s="2"/>
      <c r="D401" s="59"/>
    </row>
    <row r="402" spans="2:4" ht="9" customHeight="1" x14ac:dyDescent="0.25">
      <c r="B402" s="2"/>
      <c r="D402" s="59"/>
    </row>
    <row r="403" spans="2:4" ht="9" customHeight="1" x14ac:dyDescent="0.25">
      <c r="B403" s="2"/>
      <c r="D403" s="59"/>
    </row>
    <row r="404" spans="2:4" ht="9" customHeight="1" x14ac:dyDescent="0.25">
      <c r="B404" s="2"/>
      <c r="D404" s="59"/>
    </row>
    <row r="405" spans="2:4" ht="9" customHeight="1" x14ac:dyDescent="0.25">
      <c r="B405" s="2"/>
      <c r="D405" s="59"/>
    </row>
    <row r="406" spans="2:4" ht="9" customHeight="1" x14ac:dyDescent="0.25">
      <c r="B406" s="2"/>
      <c r="D406" s="59"/>
    </row>
    <row r="407" spans="2:4" ht="9" customHeight="1" x14ac:dyDescent="0.25">
      <c r="B407" s="2"/>
      <c r="D407" s="59"/>
    </row>
    <row r="408" spans="2:4" ht="9" customHeight="1" x14ac:dyDescent="0.25">
      <c r="B408" s="2"/>
      <c r="D408" s="59"/>
    </row>
    <row r="409" spans="2:4" ht="9" customHeight="1" x14ac:dyDescent="0.25">
      <c r="B409" s="2"/>
      <c r="D409" s="59"/>
    </row>
    <row r="410" spans="2:4" ht="9" customHeight="1" x14ac:dyDescent="0.25">
      <c r="B410" s="2"/>
      <c r="D410" s="59"/>
    </row>
    <row r="411" spans="2:4" ht="9" customHeight="1" x14ac:dyDescent="0.25">
      <c r="B411" s="2"/>
      <c r="D411" s="59"/>
    </row>
    <row r="412" spans="2:4" ht="9" customHeight="1" x14ac:dyDescent="0.25">
      <c r="B412" s="2"/>
      <c r="D412" s="59"/>
    </row>
    <row r="413" spans="2:4" ht="9" customHeight="1" x14ac:dyDescent="0.25">
      <c r="B413" s="2"/>
      <c r="D413" s="59"/>
    </row>
    <row r="414" spans="2:4" ht="9" customHeight="1" x14ac:dyDescent="0.25">
      <c r="B414" s="2"/>
      <c r="D414" s="59"/>
    </row>
    <row r="415" spans="2:4" ht="9" customHeight="1" x14ac:dyDescent="0.25">
      <c r="B415" s="2"/>
      <c r="D415" s="59"/>
    </row>
    <row r="416" spans="2:4" ht="9" customHeight="1" x14ac:dyDescent="0.25">
      <c r="B416" s="2"/>
      <c r="D416" s="59"/>
    </row>
    <row r="417" spans="2:4" ht="9" customHeight="1" x14ac:dyDescent="0.25">
      <c r="B417" s="2"/>
      <c r="D417" s="59"/>
    </row>
    <row r="418" spans="2:4" ht="9" customHeight="1" x14ac:dyDescent="0.25">
      <c r="B418" s="2"/>
      <c r="D418" s="59"/>
    </row>
    <row r="419" spans="2:4" ht="9" customHeight="1" x14ac:dyDescent="0.25">
      <c r="B419" s="2"/>
      <c r="D419" s="59"/>
    </row>
    <row r="420" spans="2:4" ht="9" customHeight="1" x14ac:dyDescent="0.25">
      <c r="B420" s="2"/>
      <c r="D420" s="59"/>
    </row>
    <row r="421" spans="2:4" ht="9" customHeight="1" x14ac:dyDescent="0.25">
      <c r="B421" s="2"/>
      <c r="D421" s="59"/>
    </row>
    <row r="422" spans="2:4" ht="9" customHeight="1" x14ac:dyDescent="0.25">
      <c r="B422" s="2"/>
      <c r="D422" s="59"/>
    </row>
    <row r="423" spans="2:4" ht="9" customHeight="1" x14ac:dyDescent="0.25">
      <c r="B423" s="2"/>
      <c r="D423" s="59"/>
    </row>
    <row r="424" spans="2:4" ht="9" customHeight="1" x14ac:dyDescent="0.25">
      <c r="B424" s="2"/>
      <c r="D424" s="59"/>
    </row>
    <row r="425" spans="2:4" ht="9" customHeight="1" x14ac:dyDescent="0.25">
      <c r="B425" s="2"/>
      <c r="D425" s="59"/>
    </row>
    <row r="426" spans="2:4" ht="9" customHeight="1" x14ac:dyDescent="0.25">
      <c r="B426" s="2"/>
      <c r="D426" s="59"/>
    </row>
    <row r="427" spans="2:4" ht="9" customHeight="1" x14ac:dyDescent="0.25">
      <c r="B427" s="2"/>
      <c r="D427" s="59"/>
    </row>
    <row r="428" spans="2:4" ht="9" customHeight="1" x14ac:dyDescent="0.25">
      <c r="B428" s="2"/>
      <c r="D428" s="59"/>
    </row>
    <row r="429" spans="2:4" ht="9" customHeight="1" x14ac:dyDescent="0.25">
      <c r="B429" s="2"/>
      <c r="D429" s="59"/>
    </row>
    <row r="430" spans="2:4" ht="9" customHeight="1" x14ac:dyDescent="0.25">
      <c r="B430" s="2"/>
      <c r="D430" s="59"/>
    </row>
    <row r="431" spans="2:4" ht="9" customHeight="1" x14ac:dyDescent="0.25">
      <c r="B431" s="2"/>
      <c r="D431" s="59"/>
    </row>
    <row r="432" spans="2:4" ht="9" customHeight="1" x14ac:dyDescent="0.25">
      <c r="B432" s="2"/>
      <c r="D432" s="59"/>
    </row>
    <row r="433" spans="2:4" ht="9" customHeight="1" x14ac:dyDescent="0.25">
      <c r="B433" s="2"/>
      <c r="D433" s="59"/>
    </row>
    <row r="434" spans="2:4" ht="9" customHeight="1" x14ac:dyDescent="0.25">
      <c r="B434" s="2"/>
      <c r="D434" s="59"/>
    </row>
    <row r="435" spans="2:4" ht="9" customHeight="1" x14ac:dyDescent="0.25">
      <c r="B435" s="2"/>
      <c r="D435" s="59"/>
    </row>
    <row r="436" spans="2:4" ht="9" customHeight="1" x14ac:dyDescent="0.25">
      <c r="B436" s="2"/>
      <c r="D436" s="59"/>
    </row>
    <row r="437" spans="2:4" ht="9" customHeight="1" x14ac:dyDescent="0.25">
      <c r="B437" s="2"/>
      <c r="D437" s="59"/>
    </row>
    <row r="438" spans="2:4" ht="9" customHeight="1" x14ac:dyDescent="0.25">
      <c r="B438" s="2"/>
      <c r="D438" s="59"/>
    </row>
    <row r="439" spans="2:4" ht="9" customHeight="1" x14ac:dyDescent="0.25">
      <c r="B439" s="2"/>
      <c r="D439" s="59"/>
    </row>
    <row r="440" spans="2:4" ht="9" customHeight="1" x14ac:dyDescent="0.25">
      <c r="B440" s="2"/>
      <c r="D440" s="59"/>
    </row>
    <row r="441" spans="2:4" ht="9" customHeight="1" x14ac:dyDescent="0.25">
      <c r="B441" s="2"/>
      <c r="D441" s="59"/>
    </row>
    <row r="442" spans="2:4" ht="9" customHeight="1" x14ac:dyDescent="0.25">
      <c r="B442" s="2"/>
      <c r="D442" s="59"/>
    </row>
    <row r="443" spans="2:4" ht="9" customHeight="1" x14ac:dyDescent="0.25">
      <c r="B443" s="2"/>
      <c r="D443" s="59"/>
    </row>
    <row r="444" spans="2:4" ht="9" customHeight="1" x14ac:dyDescent="0.25">
      <c r="B444" s="2"/>
      <c r="D444" s="59"/>
    </row>
    <row r="445" spans="2:4" ht="9" customHeight="1" x14ac:dyDescent="0.25">
      <c r="B445" s="2"/>
      <c r="D445" s="59"/>
    </row>
    <row r="446" spans="2:4" ht="9" customHeight="1" x14ac:dyDescent="0.25">
      <c r="B446" s="2"/>
      <c r="D446" s="59"/>
    </row>
    <row r="447" spans="2:4" ht="9" customHeight="1" x14ac:dyDescent="0.25">
      <c r="B447" s="2"/>
      <c r="D447" s="59"/>
    </row>
    <row r="448" spans="2:4" ht="9" customHeight="1" x14ac:dyDescent="0.25">
      <c r="B448" s="2"/>
      <c r="D448" s="59"/>
    </row>
    <row r="449" spans="2:4" ht="9" customHeight="1" x14ac:dyDescent="0.25">
      <c r="B449" s="2"/>
      <c r="D449" s="59"/>
    </row>
    <row r="450" spans="2:4" ht="9" customHeight="1" x14ac:dyDescent="0.25">
      <c r="B450" s="2"/>
      <c r="D450" s="59"/>
    </row>
    <row r="451" spans="2:4" ht="9" customHeight="1" x14ac:dyDescent="0.25">
      <c r="B451" s="2"/>
      <c r="D451" s="59"/>
    </row>
    <row r="452" spans="2:4" ht="9" customHeight="1" x14ac:dyDescent="0.25">
      <c r="B452" s="2"/>
      <c r="D452" s="59"/>
    </row>
    <row r="453" spans="2:4" ht="9" customHeight="1" x14ac:dyDescent="0.25">
      <c r="B453" s="2"/>
      <c r="D453" s="59"/>
    </row>
    <row r="454" spans="2:4" ht="9" customHeight="1" x14ac:dyDescent="0.25">
      <c r="B454" s="2"/>
      <c r="D454" s="59"/>
    </row>
    <row r="455" spans="2:4" ht="9" customHeight="1" x14ac:dyDescent="0.25">
      <c r="B455" s="2"/>
      <c r="D455" s="59"/>
    </row>
    <row r="456" spans="2:4" ht="9" customHeight="1" x14ac:dyDescent="0.25">
      <c r="B456" s="2"/>
      <c r="D456" s="59"/>
    </row>
    <row r="457" spans="2:4" ht="9" customHeight="1" x14ac:dyDescent="0.25">
      <c r="B457" s="2"/>
      <c r="D457" s="59"/>
    </row>
    <row r="458" spans="2:4" ht="9" customHeight="1" x14ac:dyDescent="0.25">
      <c r="B458" s="2"/>
      <c r="D458" s="59"/>
    </row>
    <row r="459" spans="2:4" ht="9" customHeight="1" x14ac:dyDescent="0.25">
      <c r="B459" s="2"/>
      <c r="D459" s="59"/>
    </row>
    <row r="460" spans="2:4" ht="9" customHeight="1" x14ac:dyDescent="0.25">
      <c r="B460" s="2"/>
      <c r="D460" s="59"/>
    </row>
    <row r="461" spans="2:4" ht="9" customHeight="1" x14ac:dyDescent="0.25">
      <c r="B461" s="2"/>
      <c r="D461" s="59"/>
    </row>
    <row r="462" spans="2:4" ht="9" customHeight="1" x14ac:dyDescent="0.25">
      <c r="B462" s="2"/>
      <c r="D462" s="59"/>
    </row>
    <row r="463" spans="2:4" ht="9" customHeight="1" x14ac:dyDescent="0.25">
      <c r="B463" s="2"/>
      <c r="D463" s="59"/>
    </row>
    <row r="464" spans="2:4" ht="9" customHeight="1" x14ac:dyDescent="0.25">
      <c r="B464" s="2"/>
      <c r="D464" s="59"/>
    </row>
    <row r="465" spans="2:4" ht="9" customHeight="1" x14ac:dyDescent="0.25">
      <c r="B465" s="2"/>
      <c r="D465" s="59"/>
    </row>
    <row r="466" spans="2:4" ht="9" customHeight="1" x14ac:dyDescent="0.25">
      <c r="B466" s="2"/>
      <c r="D466" s="59"/>
    </row>
    <row r="467" spans="2:4" ht="9" customHeight="1" x14ac:dyDescent="0.25">
      <c r="B467" s="2"/>
      <c r="D467" s="59"/>
    </row>
    <row r="468" spans="2:4" ht="9" customHeight="1" x14ac:dyDescent="0.25">
      <c r="B468" s="2"/>
      <c r="D468" s="59"/>
    </row>
    <row r="469" spans="2:4" ht="9" customHeight="1" x14ac:dyDescent="0.25">
      <c r="B469" s="2"/>
      <c r="D469" s="59"/>
    </row>
    <row r="470" spans="2:4" ht="9" customHeight="1" x14ac:dyDescent="0.25">
      <c r="B470" s="2"/>
      <c r="D470" s="59"/>
    </row>
    <row r="471" spans="2:4" ht="9" customHeight="1" x14ac:dyDescent="0.25">
      <c r="B471" s="2"/>
      <c r="D471" s="59"/>
    </row>
    <row r="472" spans="2:4" ht="9" customHeight="1" x14ac:dyDescent="0.25">
      <c r="B472" s="2"/>
      <c r="D472" s="59"/>
    </row>
    <row r="473" spans="2:4" ht="9" customHeight="1" x14ac:dyDescent="0.25">
      <c r="B473" s="2"/>
      <c r="D473" s="59"/>
    </row>
    <row r="474" spans="2:4" ht="9" customHeight="1" x14ac:dyDescent="0.25">
      <c r="B474" s="2"/>
      <c r="D474" s="59"/>
    </row>
    <row r="475" spans="2:4" ht="9" customHeight="1" x14ac:dyDescent="0.25">
      <c r="B475" s="2"/>
      <c r="D475" s="59"/>
    </row>
    <row r="476" spans="2:4" ht="9" customHeight="1" x14ac:dyDescent="0.25">
      <c r="B476" s="2"/>
      <c r="D476" s="59"/>
    </row>
    <row r="477" spans="2:4" ht="9" customHeight="1" x14ac:dyDescent="0.25">
      <c r="B477" s="2"/>
      <c r="D477" s="59"/>
    </row>
    <row r="478" spans="2:4" ht="9" customHeight="1" x14ac:dyDescent="0.25">
      <c r="B478" s="2"/>
      <c r="D478" s="59"/>
    </row>
    <row r="479" spans="2:4" ht="9" customHeight="1" x14ac:dyDescent="0.25">
      <c r="B479" s="2"/>
      <c r="D479" s="59"/>
    </row>
    <row r="480" spans="2:4" ht="9" customHeight="1" x14ac:dyDescent="0.25">
      <c r="B480" s="2"/>
      <c r="D480" s="59"/>
    </row>
    <row r="481" spans="2:4" ht="9" customHeight="1" x14ac:dyDescent="0.25">
      <c r="B481" s="2"/>
      <c r="D481" s="59"/>
    </row>
    <row r="482" spans="2:4" ht="9" customHeight="1" x14ac:dyDescent="0.25">
      <c r="B482" s="2"/>
      <c r="D482" s="59"/>
    </row>
    <row r="483" spans="2:4" ht="9" customHeight="1" x14ac:dyDescent="0.25">
      <c r="B483" s="2"/>
      <c r="D483" s="59"/>
    </row>
    <row r="484" spans="2:4" ht="9" customHeight="1" x14ac:dyDescent="0.25">
      <c r="B484" s="2"/>
      <c r="D484" s="59"/>
    </row>
    <row r="485" spans="2:4" ht="9" customHeight="1" x14ac:dyDescent="0.25">
      <c r="B485" s="2"/>
      <c r="D485" s="59"/>
    </row>
    <row r="486" spans="2:4" ht="9" customHeight="1" x14ac:dyDescent="0.25">
      <c r="B486" s="2"/>
      <c r="D486" s="59"/>
    </row>
    <row r="487" spans="2:4" ht="9" customHeight="1" x14ac:dyDescent="0.25">
      <c r="B487" s="2"/>
      <c r="D487" s="59"/>
    </row>
    <row r="488" spans="2:4" ht="9" customHeight="1" x14ac:dyDescent="0.25">
      <c r="B488" s="2"/>
      <c r="D488" s="59"/>
    </row>
    <row r="489" spans="2:4" ht="9" customHeight="1" x14ac:dyDescent="0.25">
      <c r="B489" s="2"/>
      <c r="D489" s="59"/>
    </row>
    <row r="490" spans="2:4" ht="9" customHeight="1" x14ac:dyDescent="0.25">
      <c r="B490" s="2"/>
      <c r="D490" s="59"/>
    </row>
    <row r="491" spans="2:4" ht="9" customHeight="1" x14ac:dyDescent="0.25">
      <c r="B491" s="2"/>
      <c r="D491" s="59"/>
    </row>
    <row r="492" spans="2:4" ht="9" customHeight="1" x14ac:dyDescent="0.25">
      <c r="B492" s="2"/>
      <c r="D492" s="59"/>
    </row>
    <row r="493" spans="2:4" ht="9" customHeight="1" x14ac:dyDescent="0.25">
      <c r="B493" s="2"/>
      <c r="D493" s="59"/>
    </row>
    <row r="494" spans="2:4" ht="9" customHeight="1" x14ac:dyDescent="0.25">
      <c r="B494" s="2"/>
      <c r="D494" s="59"/>
    </row>
    <row r="495" spans="2:4" ht="9" customHeight="1" x14ac:dyDescent="0.25">
      <c r="B495" s="2"/>
      <c r="D495" s="59"/>
    </row>
    <row r="496" spans="2:4" ht="9" customHeight="1" x14ac:dyDescent="0.25">
      <c r="B496" s="2"/>
      <c r="D496" s="59"/>
    </row>
    <row r="497" spans="2:4" ht="9" customHeight="1" x14ac:dyDescent="0.25">
      <c r="B497" s="2"/>
      <c r="D497" s="59"/>
    </row>
    <row r="498" spans="2:4" ht="9" customHeight="1" x14ac:dyDescent="0.25">
      <c r="B498" s="2"/>
      <c r="D498" s="59"/>
    </row>
    <row r="499" spans="2:4" ht="9" customHeight="1" x14ac:dyDescent="0.25">
      <c r="B499" s="2"/>
      <c r="D499" s="59"/>
    </row>
    <row r="500" spans="2:4" ht="9" customHeight="1" x14ac:dyDescent="0.25">
      <c r="B500" s="2"/>
      <c r="D500" s="59"/>
    </row>
    <row r="501" spans="2:4" ht="9" customHeight="1" x14ac:dyDescent="0.25">
      <c r="B501" s="2"/>
      <c r="D501" s="59"/>
    </row>
    <row r="502" spans="2:4" ht="9" customHeight="1" x14ac:dyDescent="0.25">
      <c r="B502" s="2"/>
      <c r="D502" s="59"/>
    </row>
    <row r="503" spans="2:4" ht="9" customHeight="1" x14ac:dyDescent="0.25">
      <c r="B503" s="2"/>
      <c r="D503" s="59"/>
    </row>
    <row r="504" spans="2:4" ht="9" customHeight="1" x14ac:dyDescent="0.25">
      <c r="B504" s="2"/>
      <c r="D504" s="59"/>
    </row>
    <row r="505" spans="2:4" ht="9" customHeight="1" x14ac:dyDescent="0.25">
      <c r="B505" s="2"/>
      <c r="D505" s="59"/>
    </row>
    <row r="506" spans="2:4" ht="9" customHeight="1" x14ac:dyDescent="0.25">
      <c r="B506" s="2"/>
      <c r="D506" s="59"/>
    </row>
    <row r="507" spans="2:4" ht="9" customHeight="1" x14ac:dyDescent="0.25">
      <c r="B507" s="2"/>
      <c r="D507" s="59"/>
    </row>
    <row r="508" spans="2:4" ht="9" customHeight="1" x14ac:dyDescent="0.25">
      <c r="B508" s="2"/>
      <c r="D508" s="59"/>
    </row>
    <row r="509" spans="2:4" ht="9" customHeight="1" x14ac:dyDescent="0.25">
      <c r="B509" s="2"/>
      <c r="D509" s="59"/>
    </row>
    <row r="510" spans="2:4" ht="9" customHeight="1" x14ac:dyDescent="0.25">
      <c r="B510" s="2"/>
      <c r="D510" s="59"/>
    </row>
    <row r="511" spans="2:4" ht="9" customHeight="1" x14ac:dyDescent="0.25">
      <c r="B511" s="2"/>
      <c r="D511" s="59"/>
    </row>
    <row r="512" spans="2:4" ht="9" customHeight="1" x14ac:dyDescent="0.25">
      <c r="B512" s="2"/>
      <c r="D512" s="59"/>
    </row>
    <row r="513" spans="2:4" ht="9" customHeight="1" x14ac:dyDescent="0.25">
      <c r="B513" s="2"/>
      <c r="D513" s="59"/>
    </row>
    <row r="514" spans="2:4" ht="9" customHeight="1" x14ac:dyDescent="0.25">
      <c r="B514" s="2"/>
      <c r="D514" s="59"/>
    </row>
    <row r="515" spans="2:4" ht="9" customHeight="1" x14ac:dyDescent="0.25">
      <c r="B515" s="2"/>
      <c r="D515" s="59"/>
    </row>
    <row r="516" spans="2:4" ht="9" customHeight="1" x14ac:dyDescent="0.25">
      <c r="B516" s="2"/>
      <c r="D516" s="59"/>
    </row>
    <row r="517" spans="2:4" ht="9" customHeight="1" x14ac:dyDescent="0.25">
      <c r="B517" s="2"/>
      <c r="D517" s="59"/>
    </row>
    <row r="518" spans="2:4" ht="9" customHeight="1" x14ac:dyDescent="0.25">
      <c r="B518" s="2"/>
      <c r="D518" s="59"/>
    </row>
    <row r="519" spans="2:4" ht="9" customHeight="1" x14ac:dyDescent="0.25">
      <c r="B519" s="2"/>
      <c r="D519" s="59"/>
    </row>
    <row r="520" spans="2:4" ht="9" customHeight="1" x14ac:dyDescent="0.25">
      <c r="B520" s="2"/>
      <c r="D520" s="59"/>
    </row>
    <row r="521" spans="2:4" ht="9" customHeight="1" x14ac:dyDescent="0.25">
      <c r="B521" s="2"/>
      <c r="D521" s="59"/>
    </row>
    <row r="522" spans="2:4" ht="9" customHeight="1" x14ac:dyDescent="0.25">
      <c r="B522" s="2"/>
      <c r="D522" s="59"/>
    </row>
    <row r="523" spans="2:4" ht="9" customHeight="1" x14ac:dyDescent="0.25">
      <c r="B523" s="2"/>
      <c r="D523" s="59"/>
    </row>
    <row r="524" spans="2:4" ht="9" customHeight="1" x14ac:dyDescent="0.25">
      <c r="B524" s="2"/>
      <c r="D524" s="59"/>
    </row>
    <row r="525" spans="2:4" ht="9" customHeight="1" x14ac:dyDescent="0.25">
      <c r="B525" s="2"/>
      <c r="D525" s="59"/>
    </row>
    <row r="526" spans="2:4" ht="9" customHeight="1" x14ac:dyDescent="0.25">
      <c r="B526" s="2"/>
      <c r="D526" s="59"/>
    </row>
    <row r="527" spans="2:4" ht="9" customHeight="1" x14ac:dyDescent="0.25">
      <c r="B527" s="2"/>
      <c r="D527" s="59"/>
    </row>
    <row r="528" spans="2:4" ht="9" customHeight="1" x14ac:dyDescent="0.25">
      <c r="B528" s="2"/>
      <c r="D528" s="59"/>
    </row>
    <row r="529" spans="2:4" ht="9" customHeight="1" x14ac:dyDescent="0.25">
      <c r="B529" s="2"/>
      <c r="D529" s="59"/>
    </row>
    <row r="530" spans="2:4" ht="9" customHeight="1" x14ac:dyDescent="0.25">
      <c r="B530" s="2"/>
      <c r="D530" s="59"/>
    </row>
    <row r="531" spans="2:4" ht="9" customHeight="1" x14ac:dyDescent="0.25">
      <c r="B531" s="2"/>
      <c r="D531" s="59"/>
    </row>
    <row r="532" spans="2:4" ht="9" customHeight="1" x14ac:dyDescent="0.25">
      <c r="B532" s="2"/>
      <c r="D532" s="59"/>
    </row>
    <row r="533" spans="2:4" ht="9" customHeight="1" x14ac:dyDescent="0.25">
      <c r="B533" s="2"/>
      <c r="D533" s="59"/>
    </row>
    <row r="534" spans="2:4" ht="9" customHeight="1" x14ac:dyDescent="0.25">
      <c r="B534" s="2"/>
      <c r="D534" s="59"/>
    </row>
    <row r="535" spans="2:4" ht="9" customHeight="1" x14ac:dyDescent="0.25">
      <c r="B535" s="2"/>
      <c r="D535" s="59"/>
    </row>
    <row r="536" spans="2:4" ht="9" customHeight="1" x14ac:dyDescent="0.25">
      <c r="B536" s="2"/>
      <c r="D536" s="59"/>
    </row>
    <row r="537" spans="2:4" ht="9" customHeight="1" x14ac:dyDescent="0.25">
      <c r="B537" s="2"/>
      <c r="D537" s="59"/>
    </row>
    <row r="538" spans="2:4" ht="9" customHeight="1" x14ac:dyDescent="0.25">
      <c r="B538" s="2"/>
      <c r="D538" s="59"/>
    </row>
    <row r="539" spans="2:4" ht="9" customHeight="1" x14ac:dyDescent="0.25">
      <c r="B539" s="2"/>
      <c r="D539" s="59"/>
    </row>
    <row r="540" spans="2:4" ht="9" customHeight="1" x14ac:dyDescent="0.25">
      <c r="B540" s="2"/>
      <c r="D540" s="59"/>
    </row>
    <row r="541" spans="2:4" ht="9" customHeight="1" x14ac:dyDescent="0.25">
      <c r="B541" s="2"/>
      <c r="D541" s="59"/>
    </row>
    <row r="542" spans="2:4" ht="9" customHeight="1" x14ac:dyDescent="0.25">
      <c r="B542" s="2"/>
      <c r="D542" s="59"/>
    </row>
    <row r="543" spans="2:4" ht="9" customHeight="1" x14ac:dyDescent="0.25">
      <c r="B543" s="2"/>
      <c r="D543" s="59"/>
    </row>
    <row r="544" spans="2:4" ht="9" customHeight="1" x14ac:dyDescent="0.25">
      <c r="B544" s="2"/>
      <c r="D544" s="59"/>
    </row>
    <row r="545" spans="2:4" ht="9" customHeight="1" x14ac:dyDescent="0.25">
      <c r="B545" s="2"/>
      <c r="D545" s="59"/>
    </row>
    <row r="546" spans="2:4" ht="9" customHeight="1" x14ac:dyDescent="0.25">
      <c r="B546" s="2"/>
      <c r="D546" s="59"/>
    </row>
    <row r="547" spans="2:4" ht="9" customHeight="1" x14ac:dyDescent="0.25">
      <c r="B547" s="2"/>
      <c r="D547" s="59"/>
    </row>
    <row r="548" spans="2:4" ht="9" customHeight="1" x14ac:dyDescent="0.25">
      <c r="B548" s="2"/>
      <c r="D548" s="59"/>
    </row>
    <row r="549" spans="2:4" ht="9" customHeight="1" x14ac:dyDescent="0.25">
      <c r="B549" s="2"/>
      <c r="D549" s="59"/>
    </row>
    <row r="550" spans="2:4" ht="9" customHeight="1" x14ac:dyDescent="0.25">
      <c r="B550" s="2"/>
      <c r="D550" s="59"/>
    </row>
    <row r="551" spans="2:4" ht="9" customHeight="1" x14ac:dyDescent="0.25">
      <c r="B551" s="2"/>
      <c r="D551" s="59"/>
    </row>
    <row r="552" spans="2:4" ht="9" customHeight="1" x14ac:dyDescent="0.25">
      <c r="B552" s="2"/>
      <c r="D552" s="59"/>
    </row>
    <row r="553" spans="2:4" ht="9" customHeight="1" x14ac:dyDescent="0.25">
      <c r="B553" s="2"/>
      <c r="D553" s="59"/>
    </row>
    <row r="554" spans="2:4" ht="9" customHeight="1" x14ac:dyDescent="0.25">
      <c r="B554" s="2"/>
      <c r="D554" s="59"/>
    </row>
    <row r="555" spans="2:4" ht="9" customHeight="1" x14ac:dyDescent="0.25">
      <c r="B555" s="2"/>
      <c r="D555" s="59"/>
    </row>
    <row r="556" spans="2:4" ht="9" customHeight="1" x14ac:dyDescent="0.25">
      <c r="B556" s="2"/>
      <c r="D556" s="59"/>
    </row>
    <row r="557" spans="2:4" ht="9" customHeight="1" x14ac:dyDescent="0.25">
      <c r="B557" s="2"/>
      <c r="D557" s="59"/>
    </row>
    <row r="558" spans="2:4" ht="9" customHeight="1" x14ac:dyDescent="0.25">
      <c r="B558" s="2"/>
      <c r="D558" s="59"/>
    </row>
    <row r="559" spans="2:4" ht="9" customHeight="1" x14ac:dyDescent="0.25">
      <c r="B559" s="2"/>
      <c r="D559" s="59"/>
    </row>
    <row r="560" spans="2:4" ht="9" customHeight="1" x14ac:dyDescent="0.25">
      <c r="B560" s="2"/>
      <c r="D560" s="59"/>
    </row>
    <row r="561" spans="2:4" ht="9" customHeight="1" x14ac:dyDescent="0.25">
      <c r="B561" s="2"/>
      <c r="D561" s="59"/>
    </row>
    <row r="562" spans="2:4" ht="9" customHeight="1" x14ac:dyDescent="0.25">
      <c r="B562" s="2"/>
      <c r="D562" s="59"/>
    </row>
    <row r="563" spans="2:4" ht="9" customHeight="1" x14ac:dyDescent="0.25">
      <c r="B563" s="2"/>
      <c r="D563" s="59"/>
    </row>
    <row r="564" spans="2:4" ht="9" customHeight="1" x14ac:dyDescent="0.25">
      <c r="B564" s="2"/>
      <c r="D564" s="59"/>
    </row>
    <row r="565" spans="2:4" ht="9" customHeight="1" x14ac:dyDescent="0.25">
      <c r="B565" s="2"/>
      <c r="D565" s="59"/>
    </row>
    <row r="566" spans="2:4" ht="9" customHeight="1" x14ac:dyDescent="0.25">
      <c r="B566" s="2"/>
      <c r="D566" s="59"/>
    </row>
    <row r="567" spans="2:4" ht="9" customHeight="1" x14ac:dyDescent="0.25">
      <c r="B567" s="2"/>
      <c r="D567" s="59"/>
    </row>
    <row r="568" spans="2:4" ht="9" customHeight="1" x14ac:dyDescent="0.25">
      <c r="B568" s="2"/>
      <c r="D568" s="59"/>
    </row>
    <row r="569" spans="2:4" ht="9" customHeight="1" x14ac:dyDescent="0.25">
      <c r="B569" s="2"/>
      <c r="D569" s="59"/>
    </row>
    <row r="570" spans="2:4" ht="9" customHeight="1" x14ac:dyDescent="0.25">
      <c r="B570" s="2"/>
      <c r="D570" s="59"/>
    </row>
    <row r="571" spans="2:4" ht="9" customHeight="1" x14ac:dyDescent="0.25">
      <c r="B571" s="2"/>
      <c r="D571" s="59"/>
    </row>
    <row r="572" spans="2:4" ht="9" customHeight="1" x14ac:dyDescent="0.25">
      <c r="B572" s="2"/>
      <c r="D572" s="59"/>
    </row>
    <row r="573" spans="2:4" ht="9" customHeight="1" x14ac:dyDescent="0.25">
      <c r="B573" s="2"/>
      <c r="D573" s="59"/>
    </row>
    <row r="574" spans="2:4" ht="9" customHeight="1" x14ac:dyDescent="0.25">
      <c r="B574" s="2"/>
      <c r="D574" s="59"/>
    </row>
    <row r="575" spans="2:4" ht="9" customHeight="1" x14ac:dyDescent="0.25">
      <c r="B575" s="2"/>
      <c r="D575" s="59"/>
    </row>
    <row r="576" spans="2:4" ht="9" customHeight="1" x14ac:dyDescent="0.25">
      <c r="B576" s="2"/>
      <c r="D576" s="59"/>
    </row>
    <row r="577" spans="2:4" ht="9" customHeight="1" x14ac:dyDescent="0.25">
      <c r="B577" s="2"/>
      <c r="D577" s="59"/>
    </row>
    <row r="578" spans="2:4" ht="9" customHeight="1" x14ac:dyDescent="0.25">
      <c r="B578" s="2"/>
      <c r="D578" s="59"/>
    </row>
    <row r="579" spans="2:4" ht="9" customHeight="1" x14ac:dyDescent="0.25">
      <c r="B579" s="2"/>
      <c r="D579" s="59"/>
    </row>
    <row r="580" spans="2:4" ht="9" customHeight="1" x14ac:dyDescent="0.25">
      <c r="B580" s="2"/>
      <c r="D580" s="59"/>
    </row>
    <row r="581" spans="2:4" ht="9" customHeight="1" x14ac:dyDescent="0.25">
      <c r="B581" s="2"/>
      <c r="D581" s="59"/>
    </row>
    <row r="582" spans="2:4" ht="9" customHeight="1" x14ac:dyDescent="0.25">
      <c r="B582" s="2"/>
      <c r="D582" s="59"/>
    </row>
    <row r="583" spans="2:4" ht="9" customHeight="1" x14ac:dyDescent="0.25">
      <c r="B583" s="2"/>
      <c r="D583" s="59"/>
    </row>
    <row r="584" spans="2:4" ht="9" customHeight="1" x14ac:dyDescent="0.25">
      <c r="B584" s="2"/>
      <c r="D584" s="59"/>
    </row>
    <row r="585" spans="2:4" ht="9" customHeight="1" x14ac:dyDescent="0.25">
      <c r="B585" s="2"/>
      <c r="D585" s="59"/>
    </row>
    <row r="586" spans="2:4" ht="9" customHeight="1" x14ac:dyDescent="0.25">
      <c r="B586" s="2"/>
      <c r="D586" s="59"/>
    </row>
    <row r="587" spans="2:4" ht="9" customHeight="1" x14ac:dyDescent="0.25">
      <c r="B587" s="2"/>
      <c r="D587" s="59"/>
    </row>
    <row r="588" spans="2:4" ht="9" customHeight="1" x14ac:dyDescent="0.25">
      <c r="B588" s="2"/>
      <c r="D588" s="59"/>
    </row>
    <row r="589" spans="2:4" ht="9" customHeight="1" x14ac:dyDescent="0.25">
      <c r="B589" s="2"/>
      <c r="D589" s="59"/>
    </row>
    <row r="590" spans="2:4" ht="9" customHeight="1" x14ac:dyDescent="0.25">
      <c r="B590" s="2"/>
      <c r="D590" s="59"/>
    </row>
    <row r="591" spans="2:4" ht="9" customHeight="1" x14ac:dyDescent="0.25">
      <c r="B591" s="2"/>
      <c r="D591" s="59"/>
    </row>
    <row r="592" spans="2:4" ht="9" customHeight="1" x14ac:dyDescent="0.25">
      <c r="B592" s="2"/>
      <c r="D592" s="59"/>
    </row>
    <row r="593" spans="2:4" ht="9" customHeight="1" x14ac:dyDescent="0.25">
      <c r="B593" s="2"/>
      <c r="D593" s="59"/>
    </row>
    <row r="594" spans="2:4" ht="9" customHeight="1" x14ac:dyDescent="0.25">
      <c r="B594" s="2"/>
      <c r="D594" s="59"/>
    </row>
    <row r="595" spans="2:4" ht="9" customHeight="1" x14ac:dyDescent="0.25">
      <c r="B595" s="2"/>
      <c r="D595" s="59"/>
    </row>
    <row r="596" spans="2:4" ht="9" customHeight="1" x14ac:dyDescent="0.25">
      <c r="B596" s="2"/>
      <c r="D596" s="59"/>
    </row>
    <row r="597" spans="2:4" ht="9" customHeight="1" x14ac:dyDescent="0.25">
      <c r="B597" s="2"/>
      <c r="D597" s="59"/>
    </row>
    <row r="598" spans="2:4" ht="9" customHeight="1" x14ac:dyDescent="0.25">
      <c r="B598" s="2"/>
      <c r="D598" s="59"/>
    </row>
    <row r="599" spans="2:4" ht="9" customHeight="1" x14ac:dyDescent="0.25">
      <c r="B599" s="2"/>
      <c r="D599" s="59"/>
    </row>
    <row r="600" spans="2:4" ht="9" customHeight="1" x14ac:dyDescent="0.25">
      <c r="B600" s="2"/>
      <c r="D600" s="59"/>
    </row>
    <row r="601" spans="2:4" ht="9" customHeight="1" x14ac:dyDescent="0.25">
      <c r="B601" s="2"/>
      <c r="D601" s="59"/>
    </row>
    <row r="602" spans="2:4" ht="9" customHeight="1" x14ac:dyDescent="0.25">
      <c r="B602" s="2"/>
      <c r="D602" s="59"/>
    </row>
    <row r="603" spans="2:4" ht="9" customHeight="1" x14ac:dyDescent="0.25">
      <c r="B603" s="2"/>
      <c r="D603" s="59"/>
    </row>
    <row r="604" spans="2:4" ht="9" customHeight="1" x14ac:dyDescent="0.25">
      <c r="B604" s="2"/>
      <c r="D604" s="59"/>
    </row>
    <row r="605" spans="2:4" ht="9" customHeight="1" x14ac:dyDescent="0.25">
      <c r="B605" s="2"/>
      <c r="D605" s="59"/>
    </row>
    <row r="606" spans="2:4" ht="9" customHeight="1" x14ac:dyDescent="0.25">
      <c r="B606" s="2"/>
      <c r="D606" s="59"/>
    </row>
    <row r="607" spans="2:4" ht="9" customHeight="1" x14ac:dyDescent="0.25">
      <c r="B607" s="2"/>
      <c r="D607" s="59"/>
    </row>
    <row r="608" spans="2:4" ht="9" customHeight="1" x14ac:dyDescent="0.25">
      <c r="B608" s="2"/>
      <c r="D608" s="59"/>
    </row>
    <row r="609" spans="2:4" ht="9" customHeight="1" x14ac:dyDescent="0.25">
      <c r="B609" s="2"/>
      <c r="D609" s="59"/>
    </row>
    <row r="610" spans="2:4" ht="9" customHeight="1" x14ac:dyDescent="0.25">
      <c r="B610" s="2"/>
      <c r="D610" s="59"/>
    </row>
    <row r="611" spans="2:4" ht="9" customHeight="1" x14ac:dyDescent="0.25">
      <c r="B611" s="2"/>
      <c r="D611" s="59"/>
    </row>
    <row r="612" spans="2:4" ht="9" customHeight="1" x14ac:dyDescent="0.25">
      <c r="B612" s="2"/>
      <c r="D612" s="59"/>
    </row>
    <row r="613" spans="2:4" ht="9" customHeight="1" x14ac:dyDescent="0.25">
      <c r="B613" s="2"/>
      <c r="D613" s="59"/>
    </row>
    <row r="614" spans="2:4" ht="9" customHeight="1" x14ac:dyDescent="0.25">
      <c r="B614" s="2"/>
      <c r="D614" s="59"/>
    </row>
    <row r="615" spans="2:4" ht="9" customHeight="1" x14ac:dyDescent="0.25">
      <c r="B615" s="2"/>
      <c r="D615" s="59"/>
    </row>
    <row r="616" spans="2:4" ht="9" customHeight="1" x14ac:dyDescent="0.25">
      <c r="B616" s="2"/>
      <c r="D616" s="59"/>
    </row>
    <row r="617" spans="2:4" ht="9" customHeight="1" x14ac:dyDescent="0.25">
      <c r="B617" s="2"/>
      <c r="D617" s="59"/>
    </row>
    <row r="618" spans="2:4" ht="9" customHeight="1" x14ac:dyDescent="0.25">
      <c r="B618" s="2"/>
      <c r="D618" s="59"/>
    </row>
    <row r="619" spans="2:4" ht="9" customHeight="1" x14ac:dyDescent="0.25">
      <c r="B619" s="2"/>
      <c r="D619" s="59"/>
    </row>
    <row r="620" spans="2:4" ht="9" customHeight="1" x14ac:dyDescent="0.25">
      <c r="B620" s="2"/>
      <c r="D620" s="59"/>
    </row>
    <row r="621" spans="2:4" ht="9" customHeight="1" x14ac:dyDescent="0.25">
      <c r="B621" s="2"/>
      <c r="D621" s="59"/>
    </row>
    <row r="622" spans="2:4" ht="9" customHeight="1" x14ac:dyDescent="0.25">
      <c r="B622" s="2"/>
      <c r="D622" s="59"/>
    </row>
    <row r="623" spans="2:4" ht="9" customHeight="1" x14ac:dyDescent="0.25">
      <c r="B623" s="2"/>
      <c r="D623" s="59"/>
    </row>
    <row r="624" spans="2:4" ht="9" customHeight="1" x14ac:dyDescent="0.25">
      <c r="B624" s="2"/>
      <c r="D624" s="59"/>
    </row>
    <row r="625" spans="2:4" ht="9" customHeight="1" x14ac:dyDescent="0.25">
      <c r="B625" s="2"/>
      <c r="D625" s="59"/>
    </row>
    <row r="626" spans="2:4" ht="9" customHeight="1" x14ac:dyDescent="0.25">
      <c r="B626" s="2"/>
      <c r="D626" s="59"/>
    </row>
    <row r="627" spans="2:4" ht="9" customHeight="1" x14ac:dyDescent="0.25">
      <c r="B627" s="2"/>
      <c r="D627" s="59"/>
    </row>
    <row r="628" spans="2:4" ht="9" customHeight="1" x14ac:dyDescent="0.25">
      <c r="B628" s="2"/>
      <c r="D628" s="59"/>
    </row>
    <row r="629" spans="2:4" ht="9" customHeight="1" x14ac:dyDescent="0.25">
      <c r="B629" s="2"/>
      <c r="D629" s="59"/>
    </row>
    <row r="630" spans="2:4" ht="9" customHeight="1" x14ac:dyDescent="0.25">
      <c r="B630" s="2"/>
      <c r="D630" s="59"/>
    </row>
    <row r="631" spans="2:4" ht="9" customHeight="1" x14ac:dyDescent="0.25">
      <c r="B631" s="2"/>
      <c r="D631" s="59"/>
    </row>
    <row r="632" spans="2:4" ht="9" customHeight="1" x14ac:dyDescent="0.25">
      <c r="B632" s="2"/>
      <c r="D632" s="59"/>
    </row>
    <row r="633" spans="2:4" ht="9" customHeight="1" x14ac:dyDescent="0.25">
      <c r="B633" s="2"/>
      <c r="D633" s="59"/>
    </row>
    <row r="634" spans="2:4" ht="9" customHeight="1" x14ac:dyDescent="0.25">
      <c r="B634" s="2"/>
      <c r="D634" s="59"/>
    </row>
    <row r="635" spans="2:4" ht="9" customHeight="1" x14ac:dyDescent="0.25">
      <c r="B635" s="2"/>
      <c r="D635" s="59"/>
    </row>
    <row r="636" spans="2:4" ht="9" customHeight="1" x14ac:dyDescent="0.25">
      <c r="B636" s="2"/>
      <c r="D636" s="59"/>
    </row>
    <row r="637" spans="2:4" ht="9" customHeight="1" x14ac:dyDescent="0.25">
      <c r="B637" s="2"/>
      <c r="D637" s="59"/>
    </row>
    <row r="638" spans="2:4" ht="9" customHeight="1" x14ac:dyDescent="0.25">
      <c r="B638" s="2"/>
      <c r="D638" s="59"/>
    </row>
    <row r="639" spans="2:4" ht="9" customHeight="1" x14ac:dyDescent="0.25">
      <c r="B639" s="2"/>
      <c r="D639" s="59"/>
    </row>
    <row r="640" spans="2:4" ht="9" customHeight="1" x14ac:dyDescent="0.25">
      <c r="B640" s="2"/>
      <c r="D640" s="59"/>
    </row>
    <row r="641" spans="2:4" ht="9" customHeight="1" x14ac:dyDescent="0.25">
      <c r="B641" s="2"/>
      <c r="D641" s="59"/>
    </row>
    <row r="642" spans="2:4" ht="9" customHeight="1" x14ac:dyDescent="0.25">
      <c r="B642" s="2"/>
      <c r="D642" s="59"/>
    </row>
    <row r="643" spans="2:4" ht="9" customHeight="1" x14ac:dyDescent="0.25">
      <c r="B643" s="2"/>
      <c r="D643" s="59"/>
    </row>
    <row r="644" spans="2:4" ht="9" customHeight="1" x14ac:dyDescent="0.25">
      <c r="B644" s="2"/>
      <c r="D644" s="59"/>
    </row>
    <row r="645" spans="2:4" ht="9" customHeight="1" x14ac:dyDescent="0.25">
      <c r="B645" s="2"/>
      <c r="D645" s="59"/>
    </row>
    <row r="646" spans="2:4" ht="9" customHeight="1" x14ac:dyDescent="0.25">
      <c r="B646" s="2"/>
      <c r="D646" s="59"/>
    </row>
    <row r="647" spans="2:4" ht="9" customHeight="1" x14ac:dyDescent="0.25">
      <c r="B647" s="2"/>
      <c r="D647" s="59"/>
    </row>
    <row r="648" spans="2:4" ht="9" customHeight="1" x14ac:dyDescent="0.25">
      <c r="B648" s="2"/>
      <c r="D648" s="59"/>
    </row>
    <row r="649" spans="2:4" ht="9" customHeight="1" x14ac:dyDescent="0.25">
      <c r="B649" s="2"/>
      <c r="D649" s="59"/>
    </row>
    <row r="650" spans="2:4" ht="9" customHeight="1" x14ac:dyDescent="0.25">
      <c r="B650" s="2"/>
      <c r="D650" s="59"/>
    </row>
    <row r="651" spans="2:4" ht="9" customHeight="1" x14ac:dyDescent="0.25">
      <c r="B651" s="2"/>
      <c r="D651" s="59"/>
    </row>
    <row r="652" spans="2:4" ht="9" customHeight="1" x14ac:dyDescent="0.25">
      <c r="B652" s="2"/>
      <c r="D652" s="59"/>
    </row>
    <row r="653" spans="2:4" ht="9" customHeight="1" x14ac:dyDescent="0.25">
      <c r="B653" s="2"/>
      <c r="D653" s="59"/>
    </row>
    <row r="654" spans="2:4" ht="9" customHeight="1" x14ac:dyDescent="0.25">
      <c r="B654" s="2"/>
      <c r="D654" s="59"/>
    </row>
    <row r="655" spans="2:4" ht="9" customHeight="1" x14ac:dyDescent="0.25">
      <c r="B655" s="2"/>
      <c r="D655" s="59"/>
    </row>
    <row r="656" spans="2:4" ht="9" customHeight="1" x14ac:dyDescent="0.25">
      <c r="B656" s="2"/>
      <c r="D656" s="59"/>
    </row>
    <row r="657" spans="2:4" ht="9" customHeight="1" x14ac:dyDescent="0.25">
      <c r="B657" s="2"/>
      <c r="D657" s="59"/>
    </row>
    <row r="658" spans="2:4" ht="9" customHeight="1" x14ac:dyDescent="0.25">
      <c r="B658" s="2"/>
      <c r="D658" s="59"/>
    </row>
    <row r="659" spans="2:4" ht="9" customHeight="1" x14ac:dyDescent="0.25">
      <c r="B659" s="2"/>
      <c r="D659" s="59"/>
    </row>
    <row r="660" spans="2:4" ht="9" customHeight="1" x14ac:dyDescent="0.25">
      <c r="B660" s="2"/>
      <c r="D660" s="59"/>
    </row>
    <row r="661" spans="2:4" ht="9" customHeight="1" x14ac:dyDescent="0.25">
      <c r="B661" s="2"/>
      <c r="D661" s="59"/>
    </row>
    <row r="662" spans="2:4" ht="9" customHeight="1" x14ac:dyDescent="0.25">
      <c r="B662" s="2"/>
      <c r="D662" s="59"/>
    </row>
    <row r="663" spans="2:4" ht="9" customHeight="1" x14ac:dyDescent="0.25">
      <c r="B663" s="2"/>
      <c r="D663" s="59"/>
    </row>
    <row r="664" spans="2:4" ht="9" customHeight="1" x14ac:dyDescent="0.25">
      <c r="B664" s="2"/>
      <c r="D664" s="59"/>
    </row>
    <row r="665" spans="2:4" ht="9" customHeight="1" x14ac:dyDescent="0.25">
      <c r="B665" s="2"/>
      <c r="D665" s="59"/>
    </row>
    <row r="666" spans="2:4" ht="9" customHeight="1" x14ac:dyDescent="0.25">
      <c r="B666" s="2"/>
      <c r="D666" s="59"/>
    </row>
    <row r="667" spans="2:4" ht="9" customHeight="1" x14ac:dyDescent="0.25">
      <c r="B667" s="2"/>
      <c r="D667" s="59"/>
    </row>
    <row r="668" spans="2:4" ht="9" customHeight="1" x14ac:dyDescent="0.25">
      <c r="B668" s="2"/>
      <c r="D668" s="59"/>
    </row>
    <row r="669" spans="2:4" ht="9" customHeight="1" x14ac:dyDescent="0.25">
      <c r="B669" s="2"/>
      <c r="D669" s="59"/>
    </row>
    <row r="670" spans="2:4" ht="9" customHeight="1" x14ac:dyDescent="0.25">
      <c r="B670" s="2"/>
      <c r="D670" s="59"/>
    </row>
    <row r="671" spans="2:4" ht="9" customHeight="1" x14ac:dyDescent="0.25">
      <c r="B671" s="2"/>
      <c r="D671" s="59"/>
    </row>
    <row r="672" spans="2:4" ht="9" customHeight="1" x14ac:dyDescent="0.25">
      <c r="B672" s="2"/>
      <c r="D672" s="59"/>
    </row>
    <row r="673" spans="2:4" ht="9" customHeight="1" x14ac:dyDescent="0.25">
      <c r="B673" s="2"/>
      <c r="D673" s="59"/>
    </row>
    <row r="674" spans="2:4" ht="9" customHeight="1" x14ac:dyDescent="0.25">
      <c r="B674" s="2"/>
      <c r="D674" s="59"/>
    </row>
    <row r="675" spans="2:4" ht="9" customHeight="1" x14ac:dyDescent="0.25">
      <c r="B675" s="2"/>
      <c r="D675" s="59"/>
    </row>
    <row r="676" spans="2:4" ht="9" customHeight="1" x14ac:dyDescent="0.25">
      <c r="B676" s="2"/>
      <c r="D676" s="59"/>
    </row>
    <row r="677" spans="2:4" ht="9" customHeight="1" x14ac:dyDescent="0.25">
      <c r="B677" s="2"/>
      <c r="D677" s="59"/>
    </row>
    <row r="678" spans="2:4" ht="9" customHeight="1" x14ac:dyDescent="0.25">
      <c r="B678" s="2"/>
      <c r="D678" s="59"/>
    </row>
    <row r="679" spans="2:4" ht="9" customHeight="1" x14ac:dyDescent="0.25">
      <c r="B679" s="2"/>
      <c r="D679" s="59"/>
    </row>
    <row r="680" spans="2:4" ht="9" customHeight="1" x14ac:dyDescent="0.25">
      <c r="B680" s="2"/>
      <c r="D680" s="59"/>
    </row>
    <row r="681" spans="2:4" ht="9" customHeight="1" x14ac:dyDescent="0.25">
      <c r="B681" s="2"/>
      <c r="D681" s="59"/>
    </row>
    <row r="682" spans="2:4" ht="9" customHeight="1" x14ac:dyDescent="0.25">
      <c r="B682" s="2"/>
      <c r="D682" s="59"/>
    </row>
    <row r="683" spans="2:4" ht="9" customHeight="1" x14ac:dyDescent="0.25">
      <c r="B683" s="2"/>
      <c r="D683" s="59"/>
    </row>
    <row r="684" spans="2:4" ht="9" customHeight="1" x14ac:dyDescent="0.25">
      <c r="B684" s="2"/>
      <c r="D684" s="59"/>
    </row>
    <row r="685" spans="2:4" ht="9" customHeight="1" x14ac:dyDescent="0.25">
      <c r="B685" s="2"/>
      <c r="D685" s="59"/>
    </row>
    <row r="686" spans="2:4" ht="9" customHeight="1" x14ac:dyDescent="0.25">
      <c r="B686" s="2"/>
      <c r="D686" s="59"/>
    </row>
    <row r="687" spans="2:4" ht="9" customHeight="1" x14ac:dyDescent="0.25">
      <c r="B687" s="2"/>
      <c r="D687" s="59"/>
    </row>
    <row r="688" spans="2:4" ht="9" customHeight="1" x14ac:dyDescent="0.25">
      <c r="B688" s="2"/>
      <c r="D688" s="59"/>
    </row>
    <row r="689" spans="2:4" ht="9" customHeight="1" x14ac:dyDescent="0.25">
      <c r="B689" s="2"/>
      <c r="D689" s="59"/>
    </row>
    <row r="690" spans="2:4" ht="9" customHeight="1" x14ac:dyDescent="0.25">
      <c r="B690" s="2"/>
      <c r="D690" s="59"/>
    </row>
    <row r="691" spans="2:4" ht="9" customHeight="1" x14ac:dyDescent="0.25">
      <c r="B691" s="2"/>
      <c r="D691" s="59"/>
    </row>
    <row r="692" spans="2:4" ht="9" customHeight="1" x14ac:dyDescent="0.25">
      <c r="B692" s="2"/>
      <c r="D692" s="59"/>
    </row>
    <row r="693" spans="2:4" ht="9" customHeight="1" x14ac:dyDescent="0.25">
      <c r="B693" s="2"/>
      <c r="D693" s="59"/>
    </row>
    <row r="694" spans="2:4" ht="9" customHeight="1" x14ac:dyDescent="0.25">
      <c r="B694" s="2"/>
      <c r="D694" s="59"/>
    </row>
    <row r="695" spans="2:4" ht="9" customHeight="1" x14ac:dyDescent="0.25">
      <c r="B695" s="2"/>
      <c r="D695" s="59"/>
    </row>
    <row r="696" spans="2:4" ht="9" customHeight="1" x14ac:dyDescent="0.25">
      <c r="B696" s="2"/>
      <c r="D696" s="59"/>
    </row>
    <row r="697" spans="2:4" ht="9" customHeight="1" x14ac:dyDescent="0.25">
      <c r="B697" s="2"/>
      <c r="D697" s="59"/>
    </row>
    <row r="698" spans="2:4" ht="9" customHeight="1" x14ac:dyDescent="0.25">
      <c r="B698" s="2"/>
      <c r="D698" s="59"/>
    </row>
    <row r="699" spans="2:4" ht="9" customHeight="1" x14ac:dyDescent="0.25">
      <c r="B699" s="2"/>
      <c r="D699" s="59"/>
    </row>
    <row r="700" spans="2:4" ht="9" customHeight="1" x14ac:dyDescent="0.25">
      <c r="B700" s="2"/>
      <c r="D700" s="59"/>
    </row>
    <row r="701" spans="2:4" ht="9" customHeight="1" x14ac:dyDescent="0.25">
      <c r="B701" s="2"/>
      <c r="D701" s="59"/>
    </row>
    <row r="702" spans="2:4" ht="9" customHeight="1" x14ac:dyDescent="0.25">
      <c r="B702" s="2"/>
      <c r="D702" s="59"/>
    </row>
    <row r="703" spans="2:4" ht="9" customHeight="1" x14ac:dyDescent="0.25">
      <c r="B703" s="2"/>
      <c r="D703" s="59"/>
    </row>
    <row r="704" spans="2:4" ht="9" customHeight="1" x14ac:dyDescent="0.25">
      <c r="B704" s="2"/>
      <c r="D704" s="59"/>
    </row>
    <row r="705" spans="2:4" ht="9" customHeight="1" x14ac:dyDescent="0.25">
      <c r="B705" s="2"/>
      <c r="D705" s="59"/>
    </row>
    <row r="706" spans="2:4" ht="9" customHeight="1" x14ac:dyDescent="0.25">
      <c r="B706" s="2"/>
      <c r="D706" s="59"/>
    </row>
    <row r="707" spans="2:4" ht="9" customHeight="1" x14ac:dyDescent="0.25">
      <c r="B707" s="2"/>
      <c r="D707" s="59"/>
    </row>
    <row r="708" spans="2:4" ht="9" customHeight="1" x14ac:dyDescent="0.25">
      <c r="B708" s="2"/>
      <c r="D708" s="59"/>
    </row>
    <row r="709" spans="2:4" ht="9" customHeight="1" x14ac:dyDescent="0.25">
      <c r="B709" s="2"/>
      <c r="D709" s="59"/>
    </row>
    <row r="710" spans="2:4" ht="9" customHeight="1" x14ac:dyDescent="0.25">
      <c r="B710" s="2"/>
      <c r="D710" s="59"/>
    </row>
    <row r="711" spans="2:4" ht="9" customHeight="1" x14ac:dyDescent="0.25">
      <c r="B711" s="2"/>
      <c r="D711" s="59"/>
    </row>
    <row r="712" spans="2:4" ht="9" customHeight="1" x14ac:dyDescent="0.25">
      <c r="B712" s="2"/>
      <c r="D712" s="59"/>
    </row>
    <row r="713" spans="2:4" ht="9" customHeight="1" x14ac:dyDescent="0.25">
      <c r="B713" s="2"/>
      <c r="D713" s="59"/>
    </row>
    <row r="714" spans="2:4" ht="9" customHeight="1" x14ac:dyDescent="0.25">
      <c r="B714" s="2"/>
      <c r="D714" s="59"/>
    </row>
    <row r="715" spans="2:4" ht="9" customHeight="1" x14ac:dyDescent="0.25">
      <c r="B715" s="2"/>
      <c r="D715" s="59"/>
    </row>
    <row r="716" spans="2:4" ht="9" customHeight="1" x14ac:dyDescent="0.25">
      <c r="B716" s="2"/>
      <c r="D716" s="59"/>
    </row>
    <row r="717" spans="2:4" ht="9" customHeight="1" x14ac:dyDescent="0.25">
      <c r="B717" s="2"/>
      <c r="D717" s="59"/>
    </row>
    <row r="718" spans="2:4" ht="9" customHeight="1" x14ac:dyDescent="0.25">
      <c r="B718" s="2"/>
      <c r="D718" s="59"/>
    </row>
    <row r="719" spans="2:4" ht="9" customHeight="1" x14ac:dyDescent="0.25">
      <c r="B719" s="2"/>
      <c r="D719" s="59"/>
    </row>
    <row r="720" spans="2:4" ht="9" customHeight="1" x14ac:dyDescent="0.25">
      <c r="B720" s="2"/>
      <c r="D720" s="59"/>
    </row>
    <row r="721" spans="2:4" ht="9" customHeight="1" x14ac:dyDescent="0.25">
      <c r="B721" s="2"/>
      <c r="D721" s="59"/>
    </row>
    <row r="722" spans="2:4" ht="9" customHeight="1" x14ac:dyDescent="0.25">
      <c r="B722" s="2"/>
      <c r="D722" s="59"/>
    </row>
    <row r="723" spans="2:4" ht="9" customHeight="1" x14ac:dyDescent="0.25">
      <c r="B723" s="2"/>
      <c r="D723" s="59"/>
    </row>
    <row r="724" spans="2:4" ht="9" customHeight="1" x14ac:dyDescent="0.25">
      <c r="B724" s="2"/>
      <c r="D724" s="59"/>
    </row>
    <row r="725" spans="2:4" ht="9" customHeight="1" x14ac:dyDescent="0.25">
      <c r="B725" s="2"/>
      <c r="D725" s="59"/>
    </row>
    <row r="726" spans="2:4" ht="9" customHeight="1" x14ac:dyDescent="0.25">
      <c r="B726" s="2"/>
      <c r="D726" s="59"/>
    </row>
    <row r="727" spans="2:4" ht="9" customHeight="1" x14ac:dyDescent="0.25">
      <c r="B727" s="2"/>
      <c r="D727" s="59"/>
    </row>
    <row r="728" spans="2:4" ht="9" customHeight="1" x14ac:dyDescent="0.25">
      <c r="B728" s="2"/>
      <c r="D728" s="59"/>
    </row>
    <row r="729" spans="2:4" ht="9" customHeight="1" x14ac:dyDescent="0.25">
      <c r="B729" s="2"/>
      <c r="D729" s="59"/>
    </row>
    <row r="730" spans="2:4" ht="9" customHeight="1" x14ac:dyDescent="0.25">
      <c r="B730" s="2"/>
      <c r="D730" s="59"/>
    </row>
    <row r="731" spans="2:4" ht="9" customHeight="1" x14ac:dyDescent="0.25">
      <c r="B731" s="2"/>
      <c r="D731" s="59"/>
    </row>
    <row r="732" spans="2:4" ht="9" customHeight="1" x14ac:dyDescent="0.25">
      <c r="B732" s="2"/>
      <c r="D732" s="59"/>
    </row>
    <row r="733" spans="2:4" ht="9" customHeight="1" x14ac:dyDescent="0.25">
      <c r="B733" s="2"/>
      <c r="D733" s="59"/>
    </row>
    <row r="734" spans="2:4" ht="9" customHeight="1" x14ac:dyDescent="0.25">
      <c r="B734" s="2"/>
      <c r="D734" s="59"/>
    </row>
    <row r="735" spans="2:4" ht="9" customHeight="1" x14ac:dyDescent="0.25">
      <c r="B735" s="2"/>
      <c r="D735" s="59"/>
    </row>
    <row r="736" spans="2:4" ht="9" customHeight="1" x14ac:dyDescent="0.25">
      <c r="B736" s="2"/>
      <c r="D736" s="59"/>
    </row>
    <row r="737" spans="2:4" ht="9" customHeight="1" x14ac:dyDescent="0.25">
      <c r="B737" s="2"/>
      <c r="D737" s="59"/>
    </row>
    <row r="738" spans="2:4" ht="9" customHeight="1" x14ac:dyDescent="0.25">
      <c r="B738" s="2"/>
      <c r="D738" s="59"/>
    </row>
    <row r="739" spans="2:4" ht="9" customHeight="1" x14ac:dyDescent="0.25">
      <c r="B739" s="2"/>
      <c r="D739" s="59"/>
    </row>
    <row r="740" spans="2:4" ht="9" customHeight="1" x14ac:dyDescent="0.25">
      <c r="B740" s="2"/>
      <c r="D740" s="59"/>
    </row>
    <row r="741" spans="2:4" ht="9" customHeight="1" x14ac:dyDescent="0.25">
      <c r="B741" s="2"/>
      <c r="D741" s="59"/>
    </row>
    <row r="742" spans="2:4" ht="9" customHeight="1" x14ac:dyDescent="0.25">
      <c r="B742" s="2"/>
      <c r="D742" s="59"/>
    </row>
    <row r="743" spans="2:4" ht="9" customHeight="1" x14ac:dyDescent="0.25">
      <c r="B743" s="2"/>
      <c r="D743" s="59"/>
    </row>
    <row r="744" spans="2:4" ht="9" customHeight="1" x14ac:dyDescent="0.25">
      <c r="B744" s="2"/>
      <c r="D744" s="59"/>
    </row>
    <row r="745" spans="2:4" ht="9" customHeight="1" x14ac:dyDescent="0.25">
      <c r="B745" s="2"/>
      <c r="D745" s="59"/>
    </row>
    <row r="746" spans="2:4" ht="9" customHeight="1" x14ac:dyDescent="0.25">
      <c r="B746" s="2"/>
      <c r="D746" s="59"/>
    </row>
    <row r="747" spans="2:4" ht="9" customHeight="1" x14ac:dyDescent="0.25">
      <c r="B747" s="2"/>
      <c r="D747" s="59"/>
    </row>
    <row r="748" spans="2:4" ht="9" customHeight="1" x14ac:dyDescent="0.25">
      <c r="B748" s="2"/>
      <c r="D748" s="59"/>
    </row>
    <row r="749" spans="2:4" ht="9" customHeight="1" x14ac:dyDescent="0.25">
      <c r="B749" s="2"/>
      <c r="D749" s="59"/>
    </row>
    <row r="750" spans="2:4" ht="9" customHeight="1" x14ac:dyDescent="0.25">
      <c r="B750" s="2"/>
      <c r="D750" s="59"/>
    </row>
    <row r="751" spans="2:4" ht="9" customHeight="1" x14ac:dyDescent="0.25">
      <c r="B751" s="2"/>
      <c r="D751" s="59"/>
    </row>
    <row r="752" spans="2:4" ht="9" customHeight="1" x14ac:dyDescent="0.25">
      <c r="B752" s="2"/>
      <c r="D752" s="59"/>
    </row>
    <row r="753" spans="2:4" ht="9" customHeight="1" x14ac:dyDescent="0.25">
      <c r="B753" s="2"/>
      <c r="D753" s="59"/>
    </row>
    <row r="754" spans="2:4" ht="9" customHeight="1" x14ac:dyDescent="0.25">
      <c r="B754" s="2"/>
      <c r="D754" s="59"/>
    </row>
    <row r="755" spans="2:4" ht="9" customHeight="1" x14ac:dyDescent="0.25">
      <c r="B755" s="2"/>
      <c r="D755" s="59"/>
    </row>
    <row r="756" spans="2:4" ht="9" customHeight="1" x14ac:dyDescent="0.25">
      <c r="B756" s="2"/>
      <c r="D756" s="59"/>
    </row>
    <row r="757" spans="2:4" ht="9" customHeight="1" x14ac:dyDescent="0.25">
      <c r="B757" s="2"/>
      <c r="D757" s="59"/>
    </row>
    <row r="758" spans="2:4" ht="9" customHeight="1" x14ac:dyDescent="0.25">
      <c r="B758" s="2"/>
      <c r="D758" s="59"/>
    </row>
    <row r="759" spans="2:4" ht="9" customHeight="1" x14ac:dyDescent="0.25">
      <c r="B759" s="2"/>
      <c r="D759" s="59"/>
    </row>
    <row r="760" spans="2:4" ht="9" customHeight="1" x14ac:dyDescent="0.25">
      <c r="B760" s="2"/>
      <c r="D760" s="59"/>
    </row>
    <row r="761" spans="2:4" ht="9" customHeight="1" x14ac:dyDescent="0.25">
      <c r="B761" s="2"/>
      <c r="D761" s="59"/>
    </row>
    <row r="762" spans="2:4" ht="9" customHeight="1" x14ac:dyDescent="0.25">
      <c r="B762" s="2"/>
      <c r="D762" s="59"/>
    </row>
    <row r="763" spans="2:4" ht="9" customHeight="1" x14ac:dyDescent="0.25">
      <c r="B763" s="2"/>
      <c r="D763" s="59"/>
    </row>
    <row r="764" spans="2:4" ht="9" customHeight="1" x14ac:dyDescent="0.25">
      <c r="B764" s="2"/>
      <c r="D764" s="59"/>
    </row>
    <row r="765" spans="2:4" ht="9" customHeight="1" x14ac:dyDescent="0.25">
      <c r="B765" s="2"/>
      <c r="D765" s="59"/>
    </row>
    <row r="766" spans="2:4" ht="9" customHeight="1" x14ac:dyDescent="0.25">
      <c r="B766" s="2"/>
      <c r="D766" s="59"/>
    </row>
    <row r="767" spans="2:4" ht="9" customHeight="1" x14ac:dyDescent="0.25">
      <c r="B767" s="2"/>
      <c r="D767" s="59"/>
    </row>
    <row r="768" spans="2:4" ht="9" customHeight="1" x14ac:dyDescent="0.25">
      <c r="B768" s="2"/>
      <c r="D768" s="59"/>
    </row>
    <row r="769" spans="2:4" ht="9" customHeight="1" x14ac:dyDescent="0.25">
      <c r="B769" s="2"/>
      <c r="D769" s="59"/>
    </row>
    <row r="770" spans="2:4" ht="9" customHeight="1" x14ac:dyDescent="0.25">
      <c r="B770" s="2"/>
      <c r="D770" s="59"/>
    </row>
    <row r="771" spans="2:4" ht="9" customHeight="1" x14ac:dyDescent="0.25">
      <c r="B771" s="2"/>
      <c r="D771" s="59"/>
    </row>
    <row r="772" spans="2:4" ht="9" customHeight="1" x14ac:dyDescent="0.25">
      <c r="B772" s="2"/>
      <c r="D772" s="59"/>
    </row>
    <row r="773" spans="2:4" ht="9" customHeight="1" x14ac:dyDescent="0.25">
      <c r="B773" s="2"/>
      <c r="D773" s="59"/>
    </row>
    <row r="774" spans="2:4" ht="9" customHeight="1" x14ac:dyDescent="0.25">
      <c r="B774" s="2"/>
      <c r="D774" s="59"/>
    </row>
    <row r="775" spans="2:4" ht="9" customHeight="1" x14ac:dyDescent="0.25">
      <c r="B775" s="2"/>
      <c r="D775" s="59"/>
    </row>
    <row r="776" spans="2:4" ht="9" customHeight="1" x14ac:dyDescent="0.25">
      <c r="B776" s="2"/>
      <c r="D776" s="59"/>
    </row>
    <row r="777" spans="2:4" ht="9" customHeight="1" x14ac:dyDescent="0.25">
      <c r="B777" s="2"/>
      <c r="D777" s="59"/>
    </row>
    <row r="778" spans="2:4" ht="9" customHeight="1" x14ac:dyDescent="0.25">
      <c r="B778" s="2"/>
      <c r="D778" s="59"/>
    </row>
    <row r="779" spans="2:4" ht="9" customHeight="1" x14ac:dyDescent="0.25">
      <c r="B779" s="2"/>
      <c r="D779" s="59"/>
    </row>
    <row r="780" spans="2:4" ht="9" customHeight="1" x14ac:dyDescent="0.25">
      <c r="B780" s="2"/>
      <c r="D780" s="59"/>
    </row>
    <row r="781" spans="2:4" ht="9" customHeight="1" x14ac:dyDescent="0.25">
      <c r="B781" s="2"/>
      <c r="D781" s="59"/>
    </row>
    <row r="782" spans="2:4" ht="9" customHeight="1" x14ac:dyDescent="0.25">
      <c r="B782" s="2"/>
      <c r="D782" s="59"/>
    </row>
    <row r="783" spans="2:4" ht="9" customHeight="1" x14ac:dyDescent="0.25">
      <c r="B783" s="2"/>
      <c r="D783" s="59"/>
    </row>
    <row r="784" spans="2:4" ht="9" customHeight="1" x14ac:dyDescent="0.25">
      <c r="B784" s="2"/>
      <c r="D784" s="59"/>
    </row>
    <row r="785" spans="2:4" ht="9" customHeight="1" x14ac:dyDescent="0.25">
      <c r="B785" s="2"/>
      <c r="D785" s="59"/>
    </row>
    <row r="786" spans="2:4" ht="9" customHeight="1" x14ac:dyDescent="0.25">
      <c r="B786" s="2"/>
      <c r="D786" s="59"/>
    </row>
    <row r="787" spans="2:4" ht="9" customHeight="1" x14ac:dyDescent="0.25">
      <c r="B787" s="2"/>
      <c r="D787" s="59"/>
    </row>
    <row r="788" spans="2:4" ht="9" customHeight="1" x14ac:dyDescent="0.25">
      <c r="B788" s="2"/>
      <c r="D788" s="59"/>
    </row>
    <row r="789" spans="2:4" ht="9" customHeight="1" x14ac:dyDescent="0.25">
      <c r="B789" s="2"/>
      <c r="D789" s="59"/>
    </row>
    <row r="790" spans="2:4" ht="9" customHeight="1" x14ac:dyDescent="0.25">
      <c r="B790" s="2"/>
      <c r="D790" s="59"/>
    </row>
    <row r="791" spans="2:4" ht="9" customHeight="1" x14ac:dyDescent="0.25">
      <c r="B791" s="2"/>
      <c r="D791" s="59"/>
    </row>
    <row r="792" spans="2:4" ht="9" customHeight="1" x14ac:dyDescent="0.25">
      <c r="B792" s="2"/>
      <c r="D792" s="59"/>
    </row>
    <row r="793" spans="2:4" ht="9" customHeight="1" x14ac:dyDescent="0.25">
      <c r="B793" s="2"/>
      <c r="D793" s="59"/>
    </row>
    <row r="794" spans="2:4" ht="9" customHeight="1" x14ac:dyDescent="0.25">
      <c r="B794" s="2"/>
      <c r="D794" s="59"/>
    </row>
    <row r="795" spans="2:4" ht="9" customHeight="1" x14ac:dyDescent="0.25">
      <c r="B795" s="2"/>
      <c r="D795" s="59"/>
    </row>
    <row r="796" spans="2:4" ht="9" customHeight="1" x14ac:dyDescent="0.25">
      <c r="B796" s="2"/>
      <c r="D796" s="59"/>
    </row>
    <row r="797" spans="2:4" ht="9" customHeight="1" x14ac:dyDescent="0.25">
      <c r="B797" s="2"/>
      <c r="D797" s="59"/>
    </row>
    <row r="798" spans="2:4" ht="9" customHeight="1" x14ac:dyDescent="0.25">
      <c r="B798" s="2"/>
      <c r="D798" s="59"/>
    </row>
    <row r="799" spans="2:4" ht="9" customHeight="1" x14ac:dyDescent="0.25">
      <c r="B799" s="2"/>
      <c r="D799" s="59"/>
    </row>
    <row r="800" spans="2:4" ht="9" customHeight="1" x14ac:dyDescent="0.25">
      <c r="B800" s="2"/>
      <c r="D800" s="59"/>
    </row>
    <row r="801" spans="2:4" ht="9" customHeight="1" x14ac:dyDescent="0.25">
      <c r="B801" s="2"/>
      <c r="D801" s="59"/>
    </row>
    <row r="802" spans="2:4" ht="9" customHeight="1" x14ac:dyDescent="0.25">
      <c r="B802" s="2"/>
      <c r="D802" s="59"/>
    </row>
    <row r="803" spans="2:4" ht="9" customHeight="1" x14ac:dyDescent="0.25">
      <c r="B803" s="2"/>
      <c r="D803" s="59"/>
    </row>
    <row r="804" spans="2:4" ht="9" customHeight="1" x14ac:dyDescent="0.25">
      <c r="B804" s="2"/>
      <c r="D804" s="59"/>
    </row>
    <row r="805" spans="2:4" ht="9" customHeight="1" x14ac:dyDescent="0.25">
      <c r="B805" s="2"/>
      <c r="D805" s="59"/>
    </row>
    <row r="806" spans="2:4" ht="9" customHeight="1" x14ac:dyDescent="0.25">
      <c r="B806" s="2"/>
      <c r="D806" s="59"/>
    </row>
    <row r="807" spans="2:4" ht="9" customHeight="1" x14ac:dyDescent="0.25">
      <c r="B807" s="2"/>
      <c r="D807" s="59"/>
    </row>
    <row r="808" spans="2:4" ht="9" customHeight="1" x14ac:dyDescent="0.25">
      <c r="B808" s="2"/>
      <c r="D808" s="59"/>
    </row>
    <row r="809" spans="2:4" ht="9" customHeight="1" x14ac:dyDescent="0.25">
      <c r="B809" s="2"/>
      <c r="D809" s="59"/>
    </row>
    <row r="810" spans="2:4" ht="9" customHeight="1" x14ac:dyDescent="0.25">
      <c r="B810" s="2"/>
      <c r="D810" s="59"/>
    </row>
    <row r="811" spans="2:4" ht="9" customHeight="1" x14ac:dyDescent="0.25">
      <c r="B811" s="2"/>
      <c r="D811" s="59"/>
    </row>
    <row r="812" spans="2:4" ht="9" customHeight="1" x14ac:dyDescent="0.25">
      <c r="B812" s="2"/>
      <c r="D812" s="59"/>
    </row>
    <row r="813" spans="2:4" ht="9" customHeight="1" x14ac:dyDescent="0.25">
      <c r="B813" s="2"/>
      <c r="D813" s="59"/>
    </row>
    <row r="814" spans="2:4" ht="9" customHeight="1" x14ac:dyDescent="0.25">
      <c r="B814" s="2"/>
      <c r="D814" s="59"/>
    </row>
    <row r="815" spans="2:4" ht="9" customHeight="1" x14ac:dyDescent="0.25">
      <c r="B815" s="2"/>
      <c r="D815" s="59"/>
    </row>
    <row r="816" spans="2:4" ht="9" customHeight="1" x14ac:dyDescent="0.25">
      <c r="B816" s="2"/>
      <c r="D816" s="59"/>
    </row>
    <row r="817" spans="2:4" ht="9" customHeight="1" x14ac:dyDescent="0.25">
      <c r="B817" s="2"/>
      <c r="D817" s="59"/>
    </row>
    <row r="818" spans="2:4" ht="9" customHeight="1" x14ac:dyDescent="0.25">
      <c r="B818" s="2"/>
      <c r="D818" s="59"/>
    </row>
    <row r="819" spans="2:4" ht="9" customHeight="1" x14ac:dyDescent="0.25">
      <c r="B819" s="2"/>
      <c r="D819" s="59"/>
    </row>
    <row r="820" spans="2:4" ht="9" customHeight="1" x14ac:dyDescent="0.25">
      <c r="B820" s="2"/>
      <c r="D820" s="59"/>
    </row>
    <row r="821" spans="2:4" ht="9" customHeight="1" x14ac:dyDescent="0.25">
      <c r="B821" s="2"/>
      <c r="D821" s="59"/>
    </row>
    <row r="822" spans="2:4" ht="9" customHeight="1" x14ac:dyDescent="0.25">
      <c r="B822" s="2"/>
      <c r="D822" s="59"/>
    </row>
    <row r="823" spans="2:4" ht="9" customHeight="1" x14ac:dyDescent="0.25">
      <c r="B823" s="2"/>
      <c r="D823" s="59"/>
    </row>
    <row r="824" spans="2:4" ht="9" customHeight="1" x14ac:dyDescent="0.25">
      <c r="B824" s="2"/>
      <c r="D824" s="59"/>
    </row>
    <row r="825" spans="2:4" ht="9" customHeight="1" x14ac:dyDescent="0.25">
      <c r="B825" s="2"/>
      <c r="D825" s="59"/>
    </row>
    <row r="826" spans="2:4" ht="9" customHeight="1" x14ac:dyDescent="0.25">
      <c r="B826" s="2"/>
      <c r="D826" s="59"/>
    </row>
    <row r="827" spans="2:4" ht="9" customHeight="1" x14ac:dyDescent="0.25">
      <c r="B827" s="2"/>
      <c r="D827" s="59"/>
    </row>
    <row r="828" spans="2:4" ht="9" customHeight="1" x14ac:dyDescent="0.25">
      <c r="B828" s="2"/>
      <c r="D828" s="59"/>
    </row>
    <row r="829" spans="2:4" ht="9" customHeight="1" x14ac:dyDescent="0.25">
      <c r="B829" s="2"/>
      <c r="D829" s="59"/>
    </row>
    <row r="830" spans="2:4" ht="9" customHeight="1" x14ac:dyDescent="0.25">
      <c r="B830" s="2"/>
      <c r="D830" s="59"/>
    </row>
    <row r="831" spans="2:4" ht="9" customHeight="1" x14ac:dyDescent="0.25">
      <c r="B831" s="2"/>
      <c r="D831" s="59"/>
    </row>
    <row r="832" spans="2:4" ht="9" customHeight="1" x14ac:dyDescent="0.25">
      <c r="B832" s="2"/>
      <c r="D832" s="59"/>
    </row>
    <row r="833" spans="2:4" ht="9" customHeight="1" x14ac:dyDescent="0.25">
      <c r="B833" s="2"/>
      <c r="D833" s="59"/>
    </row>
    <row r="834" spans="2:4" ht="9" customHeight="1" x14ac:dyDescent="0.25">
      <c r="B834" s="2"/>
      <c r="D834" s="59"/>
    </row>
    <row r="835" spans="2:4" ht="9" customHeight="1" x14ac:dyDescent="0.25">
      <c r="B835" s="2"/>
      <c r="D835" s="59"/>
    </row>
    <row r="836" spans="2:4" ht="9" customHeight="1" x14ac:dyDescent="0.25">
      <c r="B836" s="2"/>
      <c r="D836" s="59"/>
    </row>
    <row r="837" spans="2:4" ht="9" customHeight="1" x14ac:dyDescent="0.25">
      <c r="B837" s="2"/>
      <c r="D837" s="59"/>
    </row>
    <row r="838" spans="2:4" ht="9" customHeight="1" x14ac:dyDescent="0.25">
      <c r="B838" s="2"/>
      <c r="D838" s="59"/>
    </row>
    <row r="839" spans="2:4" ht="9" customHeight="1" x14ac:dyDescent="0.25">
      <c r="B839" s="2"/>
      <c r="D839" s="59"/>
    </row>
    <row r="840" spans="2:4" ht="9" customHeight="1" x14ac:dyDescent="0.25">
      <c r="B840" s="2"/>
      <c r="D840" s="59"/>
    </row>
    <row r="841" spans="2:4" ht="9" customHeight="1" x14ac:dyDescent="0.25">
      <c r="B841" s="2"/>
      <c r="D841" s="59"/>
    </row>
    <row r="842" spans="2:4" ht="9" customHeight="1" x14ac:dyDescent="0.25">
      <c r="B842" s="2"/>
      <c r="D842" s="59"/>
    </row>
    <row r="843" spans="2:4" ht="9" customHeight="1" x14ac:dyDescent="0.25">
      <c r="B843" s="2"/>
      <c r="D843" s="59"/>
    </row>
    <row r="844" spans="2:4" ht="9" customHeight="1" x14ac:dyDescent="0.25">
      <c r="B844" s="2"/>
      <c r="D844" s="59"/>
    </row>
    <row r="845" spans="2:4" ht="9" customHeight="1" x14ac:dyDescent="0.25">
      <c r="B845" s="2"/>
      <c r="D845" s="59"/>
    </row>
    <row r="846" spans="2:4" ht="9" customHeight="1" x14ac:dyDescent="0.25">
      <c r="B846" s="2"/>
      <c r="D846" s="59"/>
    </row>
    <row r="847" spans="2:4" ht="9" customHeight="1" x14ac:dyDescent="0.25">
      <c r="B847" s="2"/>
      <c r="D847" s="59"/>
    </row>
    <row r="848" spans="2:4" ht="9" customHeight="1" x14ac:dyDescent="0.25">
      <c r="B848" s="2"/>
      <c r="D848" s="59"/>
    </row>
    <row r="849" spans="2:4" ht="9" customHeight="1" x14ac:dyDescent="0.25">
      <c r="B849" s="2"/>
      <c r="D849" s="59"/>
    </row>
    <row r="850" spans="2:4" ht="9" customHeight="1" x14ac:dyDescent="0.25">
      <c r="B850" s="2"/>
      <c r="D850" s="59"/>
    </row>
    <row r="851" spans="2:4" ht="9" customHeight="1" x14ac:dyDescent="0.25">
      <c r="B851" s="2"/>
      <c r="D851" s="59"/>
    </row>
    <row r="852" spans="2:4" ht="9" customHeight="1" x14ac:dyDescent="0.25">
      <c r="B852" s="2"/>
      <c r="D852" s="59"/>
    </row>
    <row r="853" spans="2:4" ht="9" customHeight="1" x14ac:dyDescent="0.25">
      <c r="B853" s="2"/>
      <c r="D853" s="59"/>
    </row>
    <row r="854" spans="2:4" ht="9" customHeight="1" x14ac:dyDescent="0.25">
      <c r="B854" s="2"/>
      <c r="D854" s="59"/>
    </row>
    <row r="855" spans="2:4" ht="9" customHeight="1" x14ac:dyDescent="0.25">
      <c r="B855" s="2"/>
      <c r="D855" s="59"/>
    </row>
    <row r="856" spans="2:4" ht="9" customHeight="1" x14ac:dyDescent="0.25">
      <c r="B856" s="2"/>
      <c r="D856" s="59"/>
    </row>
    <row r="857" spans="2:4" ht="9" customHeight="1" x14ac:dyDescent="0.25">
      <c r="B857" s="2"/>
      <c r="D857" s="59"/>
    </row>
    <row r="858" spans="2:4" ht="9" customHeight="1" x14ac:dyDescent="0.25">
      <c r="B858" s="2"/>
      <c r="D858" s="59"/>
    </row>
    <row r="859" spans="2:4" ht="9" customHeight="1" x14ac:dyDescent="0.25">
      <c r="B859" s="2"/>
      <c r="D859" s="59"/>
    </row>
    <row r="860" spans="2:4" ht="9" customHeight="1" x14ac:dyDescent="0.25">
      <c r="B860" s="2"/>
      <c r="D860" s="59"/>
    </row>
    <row r="861" spans="2:4" ht="9" customHeight="1" x14ac:dyDescent="0.25">
      <c r="B861" s="2"/>
      <c r="D861" s="59"/>
    </row>
    <row r="862" spans="2:4" ht="9" customHeight="1" x14ac:dyDescent="0.25">
      <c r="B862" s="2"/>
      <c r="D862" s="59"/>
    </row>
    <row r="863" spans="2:4" ht="9" customHeight="1" x14ac:dyDescent="0.25">
      <c r="B863" s="2"/>
      <c r="D863" s="59"/>
    </row>
    <row r="864" spans="2:4" ht="9" customHeight="1" x14ac:dyDescent="0.25">
      <c r="B864" s="2"/>
      <c r="D864" s="59"/>
    </row>
    <row r="865" spans="2:4" ht="9" customHeight="1" x14ac:dyDescent="0.25">
      <c r="B865" s="2"/>
      <c r="D865" s="59"/>
    </row>
    <row r="866" spans="2:4" ht="9" customHeight="1" x14ac:dyDescent="0.25">
      <c r="B866" s="2"/>
      <c r="D866" s="59"/>
    </row>
    <row r="867" spans="2:4" ht="9" customHeight="1" x14ac:dyDescent="0.25">
      <c r="B867" s="2"/>
      <c r="D867" s="59"/>
    </row>
    <row r="868" spans="2:4" ht="9" customHeight="1" x14ac:dyDescent="0.25">
      <c r="B868" s="2"/>
      <c r="D868" s="59"/>
    </row>
    <row r="869" spans="2:4" ht="9" customHeight="1" x14ac:dyDescent="0.25">
      <c r="B869" s="2"/>
      <c r="D869" s="59"/>
    </row>
    <row r="870" spans="2:4" ht="9" customHeight="1" x14ac:dyDescent="0.25">
      <c r="B870" s="2"/>
      <c r="D870" s="59"/>
    </row>
    <row r="871" spans="2:4" ht="9" customHeight="1" x14ac:dyDescent="0.25">
      <c r="B871" s="2"/>
      <c r="D871" s="59"/>
    </row>
    <row r="872" spans="2:4" ht="9" customHeight="1" x14ac:dyDescent="0.25">
      <c r="B872" s="2"/>
      <c r="D872" s="59"/>
    </row>
    <row r="873" spans="2:4" ht="9" customHeight="1" x14ac:dyDescent="0.25">
      <c r="B873" s="2"/>
      <c r="D873" s="59"/>
    </row>
    <row r="874" spans="2:4" ht="9" customHeight="1" x14ac:dyDescent="0.25">
      <c r="B874" s="2"/>
      <c r="D874" s="59"/>
    </row>
    <row r="875" spans="2:4" ht="9" customHeight="1" x14ac:dyDescent="0.25">
      <c r="B875" s="2"/>
      <c r="D875" s="59"/>
    </row>
    <row r="876" spans="2:4" ht="9" customHeight="1" x14ac:dyDescent="0.25">
      <c r="B876" s="2"/>
      <c r="D876" s="59"/>
    </row>
    <row r="877" spans="2:4" ht="9" customHeight="1" x14ac:dyDescent="0.25">
      <c r="B877" s="2"/>
      <c r="D877" s="59"/>
    </row>
    <row r="878" spans="2:4" ht="9" customHeight="1" x14ac:dyDescent="0.25">
      <c r="B878" s="2"/>
      <c r="D878" s="59"/>
    </row>
    <row r="879" spans="2:4" ht="9" customHeight="1" x14ac:dyDescent="0.25">
      <c r="B879" s="2"/>
      <c r="D879" s="59"/>
    </row>
    <row r="880" spans="2:4" ht="9" customHeight="1" x14ac:dyDescent="0.25">
      <c r="B880" s="2"/>
      <c r="D880" s="59"/>
    </row>
    <row r="881" spans="2:4" ht="9" customHeight="1" x14ac:dyDescent="0.25">
      <c r="B881" s="2"/>
      <c r="D881" s="59"/>
    </row>
    <row r="882" spans="2:4" ht="9" customHeight="1" x14ac:dyDescent="0.25">
      <c r="B882" s="2"/>
      <c r="D882" s="59"/>
    </row>
    <row r="883" spans="2:4" ht="9" customHeight="1" x14ac:dyDescent="0.25">
      <c r="B883" s="2"/>
      <c r="D883" s="59"/>
    </row>
    <row r="884" spans="2:4" ht="9" customHeight="1" x14ac:dyDescent="0.25">
      <c r="B884" s="2"/>
      <c r="D884" s="59"/>
    </row>
    <row r="885" spans="2:4" ht="9" customHeight="1" x14ac:dyDescent="0.25">
      <c r="B885" s="2"/>
      <c r="D885" s="59"/>
    </row>
    <row r="886" spans="2:4" ht="9" customHeight="1" x14ac:dyDescent="0.25">
      <c r="B886" s="2"/>
      <c r="D886" s="59"/>
    </row>
    <row r="887" spans="2:4" ht="9" customHeight="1" x14ac:dyDescent="0.25">
      <c r="B887" s="2"/>
      <c r="D887" s="59"/>
    </row>
    <row r="888" spans="2:4" ht="9" customHeight="1" x14ac:dyDescent="0.25">
      <c r="B888" s="2"/>
      <c r="D888" s="59"/>
    </row>
    <row r="889" spans="2:4" ht="9" customHeight="1" x14ac:dyDescent="0.25">
      <c r="B889" s="2"/>
      <c r="D889" s="59"/>
    </row>
    <row r="890" spans="2:4" ht="9" customHeight="1" x14ac:dyDescent="0.25">
      <c r="B890" s="2"/>
      <c r="D890" s="59"/>
    </row>
    <row r="891" spans="2:4" ht="9" customHeight="1" x14ac:dyDescent="0.25">
      <c r="B891" s="2"/>
      <c r="D891" s="59"/>
    </row>
    <row r="892" spans="2:4" ht="9" customHeight="1" x14ac:dyDescent="0.25">
      <c r="B892" s="2"/>
      <c r="D892" s="59"/>
    </row>
    <row r="893" spans="2:4" ht="9" customHeight="1" x14ac:dyDescent="0.25">
      <c r="B893" s="2"/>
      <c r="D893" s="59"/>
    </row>
    <row r="894" spans="2:4" ht="9" customHeight="1" x14ac:dyDescent="0.25">
      <c r="B894" s="2"/>
      <c r="D894" s="59"/>
    </row>
    <row r="895" spans="2:4" ht="9" customHeight="1" x14ac:dyDescent="0.25">
      <c r="B895" s="2"/>
      <c r="D895" s="59"/>
    </row>
    <row r="896" spans="2:4" ht="9" customHeight="1" x14ac:dyDescent="0.25">
      <c r="B896" s="2"/>
      <c r="D896" s="59"/>
    </row>
    <row r="897" spans="2:4" ht="9" customHeight="1" x14ac:dyDescent="0.25">
      <c r="B897" s="2"/>
      <c r="D897" s="59"/>
    </row>
    <row r="898" spans="2:4" ht="9" customHeight="1" x14ac:dyDescent="0.25">
      <c r="B898" s="2"/>
      <c r="D898" s="59"/>
    </row>
    <row r="899" spans="2:4" ht="9" customHeight="1" x14ac:dyDescent="0.25">
      <c r="B899" s="2"/>
      <c r="D899" s="59"/>
    </row>
    <row r="900" spans="2:4" ht="9" customHeight="1" x14ac:dyDescent="0.25">
      <c r="B900" s="2"/>
      <c r="D900" s="59"/>
    </row>
    <row r="901" spans="2:4" ht="9" customHeight="1" x14ac:dyDescent="0.25">
      <c r="B901" s="2"/>
      <c r="D901" s="59"/>
    </row>
    <row r="902" spans="2:4" ht="9" customHeight="1" x14ac:dyDescent="0.25">
      <c r="B902" s="2"/>
      <c r="D902" s="59"/>
    </row>
    <row r="903" spans="2:4" ht="9" customHeight="1" x14ac:dyDescent="0.25">
      <c r="B903" s="2"/>
      <c r="D903" s="59"/>
    </row>
    <row r="904" spans="2:4" ht="9" customHeight="1" x14ac:dyDescent="0.25">
      <c r="B904" s="2"/>
      <c r="D904" s="59"/>
    </row>
    <row r="905" spans="2:4" ht="9" customHeight="1" x14ac:dyDescent="0.25">
      <c r="B905" s="2"/>
      <c r="D905" s="59"/>
    </row>
    <row r="906" spans="2:4" ht="9" customHeight="1" x14ac:dyDescent="0.25">
      <c r="B906" s="2"/>
      <c r="D906" s="59"/>
    </row>
    <row r="907" spans="2:4" ht="9" customHeight="1" x14ac:dyDescent="0.25">
      <c r="B907" s="2"/>
      <c r="D907" s="59"/>
    </row>
    <row r="908" spans="2:4" ht="9" customHeight="1" x14ac:dyDescent="0.25">
      <c r="B908" s="2"/>
      <c r="D908" s="59"/>
    </row>
    <row r="909" spans="2:4" ht="9" customHeight="1" x14ac:dyDescent="0.25">
      <c r="B909" s="2"/>
      <c r="D909" s="59"/>
    </row>
    <row r="910" spans="2:4" ht="9" customHeight="1" x14ac:dyDescent="0.25">
      <c r="B910" s="2"/>
      <c r="D910" s="59"/>
    </row>
    <row r="911" spans="2:4" ht="9" customHeight="1" x14ac:dyDescent="0.25">
      <c r="B911" s="2"/>
      <c r="D911" s="59"/>
    </row>
    <row r="912" spans="2:4" ht="9" customHeight="1" x14ac:dyDescent="0.25">
      <c r="B912" s="2"/>
      <c r="D912" s="59"/>
    </row>
    <row r="913" spans="2:4" ht="9" customHeight="1" x14ac:dyDescent="0.25">
      <c r="B913" s="2"/>
      <c r="D913" s="59"/>
    </row>
    <row r="914" spans="2:4" ht="9" customHeight="1" x14ac:dyDescent="0.25">
      <c r="B914" s="2"/>
      <c r="D914" s="59"/>
    </row>
    <row r="915" spans="2:4" ht="9" customHeight="1" x14ac:dyDescent="0.25">
      <c r="B915" s="2"/>
      <c r="D915" s="59"/>
    </row>
    <row r="916" spans="2:4" ht="9" customHeight="1" x14ac:dyDescent="0.25">
      <c r="B916" s="2"/>
      <c r="D916" s="59"/>
    </row>
    <row r="917" spans="2:4" ht="9" customHeight="1" x14ac:dyDescent="0.25">
      <c r="B917" s="2"/>
      <c r="D917" s="59"/>
    </row>
    <row r="918" spans="2:4" ht="9" customHeight="1" x14ac:dyDescent="0.25">
      <c r="B918" s="2"/>
      <c r="D918" s="59"/>
    </row>
    <row r="919" spans="2:4" ht="9" customHeight="1" x14ac:dyDescent="0.25">
      <c r="B919" s="2"/>
      <c r="D919" s="59"/>
    </row>
    <row r="920" spans="2:4" ht="9" customHeight="1" x14ac:dyDescent="0.25">
      <c r="B920" s="2"/>
      <c r="D920" s="59"/>
    </row>
    <row r="921" spans="2:4" ht="9" customHeight="1" x14ac:dyDescent="0.25">
      <c r="B921" s="2"/>
      <c r="D921" s="59"/>
    </row>
    <row r="922" spans="2:4" ht="9" customHeight="1" x14ac:dyDescent="0.25">
      <c r="B922" s="2"/>
      <c r="D922" s="59"/>
    </row>
    <row r="923" spans="2:4" ht="9" customHeight="1" x14ac:dyDescent="0.25">
      <c r="B923" s="2"/>
      <c r="D923" s="59"/>
    </row>
    <row r="924" spans="2:4" ht="9" customHeight="1" x14ac:dyDescent="0.25">
      <c r="B924" s="2"/>
      <c r="D924" s="59"/>
    </row>
    <row r="925" spans="2:4" ht="9" customHeight="1" x14ac:dyDescent="0.25">
      <c r="B925" s="2"/>
      <c r="D925" s="59"/>
    </row>
    <row r="926" spans="2:4" ht="9" customHeight="1" x14ac:dyDescent="0.25">
      <c r="B926" s="2"/>
      <c r="D926" s="59"/>
    </row>
    <row r="927" spans="2:4" ht="9" customHeight="1" x14ac:dyDescent="0.25">
      <c r="B927" s="2"/>
      <c r="D927" s="59"/>
    </row>
    <row r="928" spans="2:4" ht="9" customHeight="1" x14ac:dyDescent="0.25">
      <c r="B928" s="2"/>
      <c r="D928" s="59"/>
    </row>
    <row r="929" spans="2:4" ht="9" customHeight="1" x14ac:dyDescent="0.25">
      <c r="B929" s="2"/>
      <c r="D929" s="59"/>
    </row>
    <row r="930" spans="2:4" ht="9" customHeight="1" x14ac:dyDescent="0.25">
      <c r="B930" s="2"/>
      <c r="D930" s="59"/>
    </row>
    <row r="931" spans="2:4" ht="9" customHeight="1" x14ac:dyDescent="0.25">
      <c r="B931" s="2"/>
      <c r="D931" s="59"/>
    </row>
    <row r="932" spans="2:4" ht="9" customHeight="1" x14ac:dyDescent="0.25">
      <c r="B932" s="2"/>
      <c r="D932" s="59"/>
    </row>
    <row r="933" spans="2:4" ht="9" customHeight="1" x14ac:dyDescent="0.25">
      <c r="B933" s="2"/>
      <c r="D933" s="59"/>
    </row>
    <row r="934" spans="2:4" ht="9" customHeight="1" x14ac:dyDescent="0.25">
      <c r="B934" s="2"/>
      <c r="D934" s="59"/>
    </row>
    <row r="935" spans="2:4" ht="9" customHeight="1" x14ac:dyDescent="0.25">
      <c r="B935" s="2"/>
      <c r="D935" s="59"/>
    </row>
    <row r="936" spans="2:4" ht="9" customHeight="1" x14ac:dyDescent="0.25">
      <c r="B936" s="2"/>
      <c r="D936" s="59"/>
    </row>
    <row r="937" spans="2:4" ht="9" customHeight="1" x14ac:dyDescent="0.25">
      <c r="B937" s="2"/>
      <c r="D937" s="59"/>
    </row>
    <row r="938" spans="2:4" ht="9" customHeight="1" x14ac:dyDescent="0.25">
      <c r="B938" s="2"/>
      <c r="D938" s="59"/>
    </row>
    <row r="939" spans="2:4" ht="9" customHeight="1" x14ac:dyDescent="0.25">
      <c r="B939" s="2"/>
      <c r="D939" s="59"/>
    </row>
    <row r="940" spans="2:4" ht="9" customHeight="1" x14ac:dyDescent="0.25">
      <c r="B940" s="2"/>
      <c r="D940" s="59"/>
    </row>
    <row r="941" spans="2:4" ht="9" customHeight="1" x14ac:dyDescent="0.25">
      <c r="B941" s="2"/>
      <c r="D941" s="59"/>
    </row>
    <row r="942" spans="2:4" ht="9" customHeight="1" x14ac:dyDescent="0.25">
      <c r="B942" s="2"/>
      <c r="D942" s="59"/>
    </row>
    <row r="943" spans="2:4" ht="9" customHeight="1" x14ac:dyDescent="0.25">
      <c r="B943" s="2"/>
      <c r="D943" s="59"/>
    </row>
    <row r="944" spans="2:4" ht="9" customHeight="1" x14ac:dyDescent="0.25">
      <c r="B944" s="2"/>
      <c r="D944" s="59"/>
    </row>
    <row r="945" spans="2:4" ht="9" customHeight="1" x14ac:dyDescent="0.25">
      <c r="B945" s="2"/>
      <c r="D945" s="59"/>
    </row>
    <row r="946" spans="2:4" ht="9" customHeight="1" x14ac:dyDescent="0.25">
      <c r="B946" s="2"/>
      <c r="D946" s="59"/>
    </row>
    <row r="947" spans="2:4" ht="9" customHeight="1" x14ac:dyDescent="0.25">
      <c r="B947" s="2"/>
      <c r="D947" s="59"/>
    </row>
    <row r="948" spans="2:4" ht="9" customHeight="1" x14ac:dyDescent="0.25">
      <c r="B948" s="2"/>
      <c r="D948" s="59"/>
    </row>
    <row r="949" spans="2:4" ht="9" customHeight="1" x14ac:dyDescent="0.25">
      <c r="B949" s="2"/>
      <c r="D949" s="59"/>
    </row>
    <row r="950" spans="2:4" ht="9" customHeight="1" x14ac:dyDescent="0.25">
      <c r="B950" s="2"/>
      <c r="D950" s="59"/>
    </row>
    <row r="951" spans="2:4" ht="9" customHeight="1" x14ac:dyDescent="0.25">
      <c r="B951" s="2"/>
      <c r="D951" s="59"/>
    </row>
    <row r="952" spans="2:4" ht="9" customHeight="1" x14ac:dyDescent="0.25">
      <c r="B952" s="2"/>
      <c r="D952" s="59"/>
    </row>
    <row r="953" spans="2:4" ht="9" customHeight="1" x14ac:dyDescent="0.25">
      <c r="B953" s="2"/>
      <c r="D953" s="59"/>
    </row>
    <row r="954" spans="2:4" ht="9" customHeight="1" x14ac:dyDescent="0.25">
      <c r="B954" s="2"/>
      <c r="D954" s="59"/>
    </row>
    <row r="955" spans="2:4" ht="9" customHeight="1" x14ac:dyDescent="0.25">
      <c r="B955" s="2"/>
      <c r="D955" s="59"/>
    </row>
    <row r="956" spans="2:4" ht="9" customHeight="1" x14ac:dyDescent="0.25">
      <c r="B956" s="2"/>
      <c r="D956" s="59"/>
    </row>
    <row r="957" spans="2:4" ht="9" customHeight="1" x14ac:dyDescent="0.25">
      <c r="B957" s="2"/>
      <c r="D957" s="59"/>
    </row>
    <row r="958" spans="2:4" ht="9" customHeight="1" x14ac:dyDescent="0.25">
      <c r="B958" s="2"/>
      <c r="D958" s="59"/>
    </row>
    <row r="959" spans="2:4" ht="9" customHeight="1" x14ac:dyDescent="0.25">
      <c r="B959" s="2"/>
      <c r="D959" s="59"/>
    </row>
    <row r="960" spans="2:4" ht="9" customHeight="1" x14ac:dyDescent="0.25">
      <c r="B960" s="2"/>
      <c r="D960" s="59"/>
    </row>
    <row r="961" spans="2:4" ht="9" customHeight="1" x14ac:dyDescent="0.25">
      <c r="B961" s="2"/>
      <c r="D961" s="59"/>
    </row>
    <row r="962" spans="2:4" ht="9" customHeight="1" x14ac:dyDescent="0.25">
      <c r="B962" s="2"/>
      <c r="D962" s="59"/>
    </row>
    <row r="963" spans="2:4" ht="9" customHeight="1" x14ac:dyDescent="0.25">
      <c r="B963" s="2"/>
      <c r="D963" s="59"/>
    </row>
    <row r="964" spans="2:4" ht="9" customHeight="1" x14ac:dyDescent="0.25">
      <c r="B964" s="2"/>
      <c r="D964" s="59"/>
    </row>
    <row r="965" spans="2:4" ht="9" customHeight="1" x14ac:dyDescent="0.25">
      <c r="B965" s="2"/>
      <c r="D965" s="59"/>
    </row>
    <row r="966" spans="2:4" ht="9" customHeight="1" x14ac:dyDescent="0.25">
      <c r="B966" s="2"/>
      <c r="D966" s="59"/>
    </row>
    <row r="967" spans="2:4" ht="9" customHeight="1" x14ac:dyDescent="0.25">
      <c r="B967" s="2"/>
      <c r="D967" s="59"/>
    </row>
    <row r="968" spans="2:4" ht="9" customHeight="1" x14ac:dyDescent="0.25">
      <c r="B968" s="2"/>
      <c r="D968" s="59"/>
    </row>
    <row r="969" spans="2:4" ht="9" customHeight="1" x14ac:dyDescent="0.25">
      <c r="B969" s="2"/>
      <c r="D969" s="59"/>
    </row>
    <row r="970" spans="2:4" ht="9" customHeight="1" x14ac:dyDescent="0.25">
      <c r="B970" s="2"/>
      <c r="D970" s="59"/>
    </row>
    <row r="971" spans="2:4" ht="9" customHeight="1" x14ac:dyDescent="0.25">
      <c r="B971" s="2"/>
      <c r="D971" s="59"/>
    </row>
    <row r="972" spans="2:4" ht="9" customHeight="1" x14ac:dyDescent="0.25">
      <c r="B972" s="2"/>
      <c r="D972" s="59"/>
    </row>
    <row r="973" spans="2:4" ht="9" customHeight="1" x14ac:dyDescent="0.25">
      <c r="B973" s="2"/>
      <c r="D973" s="59"/>
    </row>
    <row r="974" spans="2:4" ht="9" customHeight="1" x14ac:dyDescent="0.25">
      <c r="B974" s="2"/>
      <c r="D974" s="59"/>
    </row>
    <row r="975" spans="2:4" ht="9" customHeight="1" x14ac:dyDescent="0.25">
      <c r="B975" s="2"/>
      <c r="D975" s="59"/>
    </row>
    <row r="976" spans="2:4" ht="9" customHeight="1" x14ac:dyDescent="0.25">
      <c r="B976" s="2"/>
      <c r="D976" s="59"/>
    </row>
    <row r="977" spans="2:4" ht="9" customHeight="1" x14ac:dyDescent="0.25">
      <c r="B977" s="2"/>
      <c r="D977" s="59"/>
    </row>
    <row r="978" spans="2:4" ht="9" customHeight="1" x14ac:dyDescent="0.25">
      <c r="B978" s="2"/>
      <c r="D978" s="59"/>
    </row>
    <row r="979" spans="2:4" ht="9" customHeight="1" x14ac:dyDescent="0.25">
      <c r="B979" s="2"/>
      <c r="D979" s="59"/>
    </row>
    <row r="980" spans="2:4" ht="9" customHeight="1" x14ac:dyDescent="0.25">
      <c r="B980" s="2"/>
      <c r="D980" s="59"/>
    </row>
    <row r="981" spans="2:4" ht="9" customHeight="1" x14ac:dyDescent="0.25">
      <c r="B981" s="2"/>
      <c r="D981" s="59"/>
    </row>
    <row r="982" spans="2:4" ht="9" customHeight="1" x14ac:dyDescent="0.25">
      <c r="B982" s="2"/>
      <c r="D982" s="59"/>
    </row>
    <row r="983" spans="2:4" ht="9" customHeight="1" x14ac:dyDescent="0.25">
      <c r="B983" s="2"/>
      <c r="D983" s="59"/>
    </row>
    <row r="984" spans="2:4" ht="9" customHeight="1" x14ac:dyDescent="0.25">
      <c r="B984" s="2"/>
      <c r="D984" s="59"/>
    </row>
    <row r="985" spans="2:4" ht="9" customHeight="1" x14ac:dyDescent="0.25">
      <c r="B985" s="2"/>
      <c r="D985" s="59"/>
    </row>
    <row r="986" spans="2:4" ht="9" customHeight="1" x14ac:dyDescent="0.25">
      <c r="B986" s="2"/>
      <c r="D986" s="59"/>
    </row>
    <row r="987" spans="2:4" ht="9" customHeight="1" x14ac:dyDescent="0.25">
      <c r="B987" s="2"/>
      <c r="D987" s="59"/>
    </row>
    <row r="988" spans="2:4" ht="9" customHeight="1" x14ac:dyDescent="0.25">
      <c r="B988" s="2"/>
      <c r="D988" s="59"/>
    </row>
    <row r="989" spans="2:4" ht="9" customHeight="1" x14ac:dyDescent="0.25">
      <c r="B989" s="2"/>
      <c r="D989" s="59"/>
    </row>
    <row r="990" spans="2:4" ht="9" customHeight="1" x14ac:dyDescent="0.25">
      <c r="B990" s="2"/>
      <c r="D990" s="59"/>
    </row>
    <row r="991" spans="2:4" ht="9" customHeight="1" x14ac:dyDescent="0.25">
      <c r="B991" s="2"/>
      <c r="D991" s="59"/>
    </row>
    <row r="992" spans="2:4" ht="9" customHeight="1" x14ac:dyDescent="0.25">
      <c r="B992" s="2"/>
      <c r="D992" s="59"/>
    </row>
    <row r="993" spans="2:4" ht="9" customHeight="1" x14ac:dyDescent="0.25">
      <c r="B993" s="2"/>
      <c r="D993" s="59"/>
    </row>
    <row r="994" spans="2:4" ht="9" customHeight="1" x14ac:dyDescent="0.25">
      <c r="B994" s="2"/>
      <c r="D994" s="59"/>
    </row>
    <row r="995" spans="2:4" ht="9" customHeight="1" x14ac:dyDescent="0.25">
      <c r="B995" s="2"/>
      <c r="D995" s="59"/>
    </row>
    <row r="996" spans="2:4" ht="9" customHeight="1" x14ac:dyDescent="0.25">
      <c r="B996" s="2"/>
      <c r="D996" s="59"/>
    </row>
    <row r="997" spans="2:4" ht="9" customHeight="1" x14ac:dyDescent="0.25">
      <c r="B997" s="2"/>
      <c r="D997" s="59"/>
    </row>
    <row r="998" spans="2:4" ht="9" customHeight="1" x14ac:dyDescent="0.25">
      <c r="B998" s="2"/>
      <c r="D998" s="59"/>
    </row>
    <row r="999" spans="2:4" ht="9" customHeight="1" x14ac:dyDescent="0.25">
      <c r="B999" s="2"/>
      <c r="D999" s="59"/>
    </row>
    <row r="1000" spans="2:4" ht="9" customHeight="1" x14ac:dyDescent="0.25">
      <c r="B1000" s="2"/>
      <c r="D1000" s="59"/>
    </row>
  </sheetData>
  <autoFilter ref="A8:AJ8" xr:uid="{00000000-0009-0000-0000-000005000000}"/>
  <mergeCells count="1">
    <mergeCell ref="U7:AH7"/>
  </mergeCells>
  <conditionalFormatting sqref="B9:B70">
    <cfRule type="colorScale" priority="1">
      <colorScale>
        <cfvo type="formula" val="0"/>
        <cfvo type="formula" val="4"/>
        <cfvo type="formula" val="10"/>
        <color rgb="FFFFFFCC"/>
        <color rgb="FFFFC000"/>
        <color rgb="FFC00000"/>
      </colorScale>
    </cfRule>
  </conditionalFormatting>
  <conditionalFormatting sqref="D9:D70">
    <cfRule type="colorScale" priority="2">
      <colorScale>
        <cfvo type="formula" val="15"/>
        <cfvo type="percentile" val="60"/>
        <cfvo type="percent" val="80"/>
        <color rgb="FFFFFFCC"/>
        <color rgb="FFFFC000"/>
        <color rgb="FF00B050"/>
      </colorScale>
    </cfRule>
  </conditionalFormatting>
  <conditionalFormatting sqref="F9:S70">
    <cfRule type="colorScale" priority="3">
      <colorScale>
        <cfvo type="min"/>
        <cfvo type="percentile" val="50"/>
        <cfvo type="percentile" val="90"/>
        <color rgb="FFECECEC"/>
        <color theme="6"/>
        <color rgb="FF00B050"/>
      </colorScale>
    </cfRule>
  </conditionalFormatting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HNSCC (UK)</vt:lpstr>
      <vt:lpstr>HNSCC (IN-KGMU)</vt:lpstr>
      <vt:lpstr>HNSCC (IN-MU)</vt:lpstr>
      <vt:lpstr>Sheet1</vt:lpstr>
      <vt:lpstr>HNSCC (CN)</vt:lpstr>
      <vt:lpstr>NPSCC (CN)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Teck Teh</dc:creator>
  <cp:lastModifiedBy>Ferid Ben Ali [Student-PECS]</cp:lastModifiedBy>
  <dcterms:created xsi:type="dcterms:W3CDTF">2021-02-22T10:16:12Z</dcterms:created>
  <dcterms:modified xsi:type="dcterms:W3CDTF">2026-02-09T19:14:44Z</dcterms:modified>
</cp:coreProperties>
</file>